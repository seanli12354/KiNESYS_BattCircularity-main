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hidePivotFieldList="1"/>
  <bookViews>
    <workbookView windowWidth="18350" windowHeight="8710" firstSheet="12" activeTab="16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  <sheet name="batteries" sheetId="20" r:id="rId17"/>
  </sheets>
  <definedNames>
    <definedName name="_xlnm._FilterDatabase" localSheetId="11" hidden="1">Assumptions!$E$2:$F$103</definedName>
    <definedName name="_xlnm._FilterDatabase" localSheetId="15" hidden="1">'fuel tech'!$A$40:$A$52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</definedNames>
  <calcPr calcId="191029"/>
  <pivotCaches>
    <pivotCache cacheId="0" r:id="rId1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xli9</author>
  </authors>
  <commentList>
    <comment ref="G4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<sst xmlns="http://schemas.openxmlformats.org/spreadsheetml/2006/main" count="5380" uniqueCount="614">
  <si>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</si>
  <si>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</si>
  <si>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</si>
  <si>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</si>
  <si>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</si>
  <si>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</si>
  <si>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</si>
  <si>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</si>
  <si>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</si>
  <si>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</si>
  <si>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</si>
  <si>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</si>
  <si>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</si>
  <si>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</si>
  <si>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</si>
  <si>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</si>
  <si>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</si>
  <si>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</si>
  <si>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</si>
  <si>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</si>
  <si>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</si>
  <si>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</si>
  <si>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</si>
  <si>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</si>
  <si>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</si>
  <si>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</si>
  <si>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</si>
  <si>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</si>
  <si>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</si>
  <si>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</si>
  <si>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</si>
  <si>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</si>
  <si>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</si>
  <si>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</si>
  <si>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</si>
  <si>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</si>
  <si>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</si>
  <si>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</si>
  <si>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</si>
  <si>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</si>
  <si>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</si>
  <si>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</si>
  <si>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</si>
  <si>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</si>
  <si>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</si>
  <si>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</si>
  <si>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</si>
  <si>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</si>
  <si>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</si>
  <si>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</si>
  <si>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</si>
  <si>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</si>
  <si>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</si>
  <si>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</si>
  <si>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</si>
  <si>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</si>
  <si>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</si>
  <si>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</si>
  <si>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</si>
  <si>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</si>
  <si>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</si>
  <si>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</si>
  <si>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</si>
  <si>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</si>
  <si>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</si>
  <si>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</si>
  <si>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</si>
  <si>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</si>
  <si>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</si>
  <si>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</si>
  <si>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</si>
  <si>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</si>
  <si>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</si>
  <si>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</si>
  <si>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</si>
  <si>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</si>
  <si>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</si>
  <si>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</si>
  <si>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</si>
  <si>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</si>
  <si>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</si>
  <si>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</si>
  <si>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</si>
  <si>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</si>
  <si>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</si>
  <si>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</si>
  <si>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</si>
  <si>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</si>
  <si>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</si>
  <si>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</si>
  <si>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</si>
  <si>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</si>
  <si>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</si>
  <si>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</si>
  <si>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</si>
  <si>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</si>
  <si>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</si>
  <si>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</si>
  <si>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</si>
  <si>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</si>
  <si>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</si>
  <si>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</si>
  <si>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</si>
  <si>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</si>
  <si>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</si>
  <si>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</si>
  <si>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</si>
  <si>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</si>
  <si>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</si>
  <si>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</si>
  <si>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</si>
  <si>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</si>
  <si>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</si>
  <si>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</si>
  <si>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</si>
  <si>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</si>
  <si>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</si>
  <si>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</si>
  <si>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</si>
  <si>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</si>
  <si>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</si>
  <si>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</si>
  <si>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</si>
  <si>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</si>
  <si>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</si>
  <si>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</si>
  <si>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</si>
  <si>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</si>
  <si>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</si>
  <si>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</si>
  <si>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</si>
  <si>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</si>
  <si>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</si>
  <si>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</si>
  <si>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</si>
  <si>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</si>
  <si>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</si>
  <si>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</si>
  <si>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</si>
  <si>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</si>
  <si>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</si>
  <si>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</si>
  <si>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</si>
  <si>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</si>
  <si>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</si>
  <si>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</si>
  <si>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</si>
  <si>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</si>
  <si>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</si>
  <si>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</si>
  <si>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</si>
  <si>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</si>
  <si>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</si>
  <si>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</si>
  <si>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</si>
  <si>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</si>
  <si>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</si>
  <si>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</si>
  <si>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</si>
  <si>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</si>
  <si>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</si>
  <si>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</si>
  <si>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</si>
  <si>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</si>
  <si>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</si>
  <si>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</si>
  <si>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</si>
  <si>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</si>
  <si>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</si>
  <si>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</si>
  <si>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</si>
  <si>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</si>
  <si>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</si>
  <si>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</si>
  <si>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</si>
  <si>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</si>
  <si>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</si>
  <si>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</si>
  <si>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</si>
  <si>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</si>
  <si>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</si>
  <si>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</si>
  <si>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</si>
  <si>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</si>
  <si>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</si>
  <si>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</si>
  <si>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</si>
  <si>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</si>
  <si>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</si>
  <si>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</si>
  <si>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</si>
  <si>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</si>
  <si>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</si>
  <si>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</si>
  <si>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</si>
  <si>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</si>
  <si>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</si>
  <si>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</si>
  <si>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</si>
  <si>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</si>
  <si>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</si>
  <si>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</si>
  <si>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</si>
  <si>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</si>
  <si>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</si>
  <si>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</si>
  <si>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</si>
  <si>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</si>
  <si>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</si>
  <si>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</si>
  <si>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</si>
  <si>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</si>
  <si>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</si>
  <si>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</si>
  <si>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</si>
  <si>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</si>
  <si>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</si>
  <si>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</si>
  <si>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</si>
  <si>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</si>
  <si>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</si>
  <si>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</si>
  <si>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</si>
  <si>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</si>
  <si>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</si>
  <si>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</si>
  <si>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</si>
  <si>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</si>
  <si>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</si>
  <si>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</si>
  <si>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</si>
  <si>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</si>
  <si>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</si>
  <si>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</si>
  <si>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</si>
  <si>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</si>
  <si>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</si>
  <si>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</si>
  <si>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</si>
  <si>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</si>
  <si>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</si>
  <si>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</si>
  <si>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</si>
  <si>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</si>
  <si>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</si>
  <si>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</si>
  <si>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</si>
  <si>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</si>
  <si>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</si>
  <si>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</si>
  <si>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</si>
  <si>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</si>
  <si>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</si>
  <si>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</si>
  <si>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</si>
  <si>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</si>
  <si>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</si>
  <si>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</si>
  <si>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</si>
  <si>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</si>
  <si>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</si>
  <si>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</si>
  <si>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</si>
  <si>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</si>
  <si>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</si>
  <si>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</si>
  <si>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</si>
  <si>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</si>
  <si>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</si>
  <si>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</si>
  <si>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</si>
  <si>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</si>
  <si>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</si>
  <si>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</si>
  <si>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</si>
  <si>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</si>
  <si>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</si>
  <si>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</si>
  <si>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</si>
  <si>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</si>
  <si>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</si>
  <si>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</si>
  <si>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</si>
  <si>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</si>
  <si>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</si>
  <si>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</si>
  <si>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</si>
  <si>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</si>
  <si>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</si>
  <si>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</si>
  <si>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</si>
  <si>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</si>
  <si>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</si>
  <si>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</si>
  <si>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</si>
  <si>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</si>
  <si>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</si>
  <si>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</si>
  <si>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</si>
  <si>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</si>
  <si>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</si>
  <si>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</si>
  <si>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</si>
  <si>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</si>
  <si>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</si>
  <si>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</si>
  <si>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</si>
  <si>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</si>
  <si>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</si>
  <si>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</si>
  <si>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</si>
  <si>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</si>
  <si>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</si>
  <si>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</si>
  <si>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</si>
  <si>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</si>
  <si>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</si>
  <si>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</si>
  <si>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</si>
  <si>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</si>
  <si>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</si>
  <si>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</si>
  <si>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</si>
  <si>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</si>
  <si>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</si>
  <si>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</si>
  <si>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</si>
  <si>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</si>
  <si>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</si>
  <si>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</si>
  <si>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</si>
  <si>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</si>
  <si>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</si>
  <si>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</si>
  <si>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</si>
  <si>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</si>
  <si>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</si>
  <si>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</si>
  <si>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</si>
  <si>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</si>
  <si>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</si>
  <si>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</si>
  <si>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</si>
  <si>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</si>
  <si>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</si>
  <si>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</si>
  <si>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</si>
  <si>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</si>
  <si>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</si>
  <si>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</si>
  <si>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</si>
  <si>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</si>
  <si>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</si>
  <si>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</si>
  <si>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</si>
  <si>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</si>
  <si>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</si>
  <si>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</si>
  <si>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</si>
  <si>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</si>
  <si>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</si>
  <si>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</si>
  <si>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</si>
  <si>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</si>
  <si>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</si>
  <si>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</si>
  <si>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</si>
  <si>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</si>
  <si>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</si>
  <si>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</si>
  <si>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</si>
  <si>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</si>
  <si>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</si>
  <si>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</si>
  <si>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</si>
  <si>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</si>
  <si>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</si>
  <si>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</si>
  <si>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</si>
  <si>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</si>
  <si>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</si>
  <si>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</si>
  <si>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</si>
  <si>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</si>
  <si>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</si>
  <si>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</si>
  <si>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</si>
  <si>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</si>
  <si>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</si>
  <si>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</si>
  <si>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</si>
  <si>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</si>
  <si>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</si>
  <si>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</si>
  <si>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</si>
  <si>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</si>
  <si>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</si>
  <si>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</si>
  <si>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</si>
  <si>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</si>
  <si>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</si>
  <si>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</si>
  <si>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</si>
  <si>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</si>
  <si>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</si>
  <si>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</si>
  <si>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</si>
  <si>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</si>
  <si>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</si>
  <si>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</si>
  <si>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</si>
  <si>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</si>
  <si>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</si>
  <si>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</si>
  <si>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</si>
  <si>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</si>
  <si>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</si>
  <si>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</si>
  <si>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</si>
  <si>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</si>
  <si>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</si>
  <si>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</si>
  <si>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</si>
  <si>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</si>
  <si>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</si>
  <si>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</si>
  <si>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</si>
  <si>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</si>
  <si>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</si>
  <si>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</si>
  <si>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</si>
  <si>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</si>
  <si>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</si>
  <si>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</si>
  <si>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</si>
  <si>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</si>
  <si>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</si>
  <si>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</si>
  <si>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</si>
  <si>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</si>
  <si>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</si>
  <si>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</si>
  <si>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</si>
  <si>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</si>
  <si>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</si>
  <si>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</si>
  <si>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</si>
  <si>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</si>
  <si>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</si>
  <si>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</si>
  <si>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</si>
  <si>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</si>
  <si>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</si>
  <si>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TAI_Generic</t>
  </si>
  <si>
    <t>UP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</si>
  <si>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</si>
  <si>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</si>
  <si>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</si>
  <si>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</si>
  <si>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</si>
  <si>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</si>
  <si>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</si>
  <si>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</si>
  <si>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</si>
  <si>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</si>
  <si>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</si>
  <si>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</si>
  <si>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</si>
  <si>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</si>
  <si>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</si>
  <si>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</si>
  <si>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</si>
  <si>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</si>
  <si>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</si>
  <si>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</si>
  <si>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</si>
  <si>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</si>
  <si>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</si>
  <si>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</si>
  <si>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</si>
  <si>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</si>
  <si>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</si>
  <si>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</si>
  <si>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</si>
  <si>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</si>
  <si>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</si>
  <si>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</si>
  <si>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</si>
  <si>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</si>
  <si>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</si>
  <si>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</si>
  <si>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</si>
  <si>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</si>
  <si>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</si>
  <si>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</si>
  <si>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</si>
  <si>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</si>
  <si>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</si>
  <si>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</si>
  <si>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</si>
  <si>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</si>
  <si>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</si>
  <si>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</si>
  <si>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</si>
  <si>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</si>
  <si>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</si>
  <si>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</si>
  <si>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</si>
  <si>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</si>
  <si>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</si>
  <si>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</si>
  <si>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</si>
  <si>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</si>
  <si>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</si>
  <si>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</si>
  <si>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</si>
  <si>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</si>
  <si>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</si>
  <si>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</si>
  <si>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</si>
  <si>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</si>
  <si>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</si>
  <si>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</si>
  <si>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</si>
  <si>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</si>
  <si>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</si>
  <si>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</si>
  <si>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</si>
  <si>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</si>
  <si>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</si>
  <si>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</si>
  <si>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</si>
  <si>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</si>
  <si>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</si>
  <si>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</si>
  <si>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</si>
  <si>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</si>
  <si>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</si>
  <si>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</si>
  <si>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</si>
  <si>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</si>
  <si>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</si>
  <si>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</si>
  <si>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</si>
  <si>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</si>
  <si>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</si>
  <si>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</si>
  <si>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</si>
  <si>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</si>
  <si>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</si>
  <si>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</si>
  <si>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</si>
  <si>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</si>
  <si>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</si>
  <si>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</si>
  <si>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</si>
  <si>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</si>
  <si>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</si>
  <si>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</si>
  <si>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</si>
  <si>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</si>
  <si>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</si>
  <si>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</si>
  <si>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</si>
  <si>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</si>
  <si>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</si>
  <si>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</si>
  <si>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</si>
  <si>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</si>
  <si>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</si>
  <si>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</si>
  <si>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</si>
  <si>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</si>
  <si>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</si>
  <si>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</si>
  <si>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</si>
  <si>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</si>
  <si>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</si>
  <si>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</si>
  <si>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</si>
  <si>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</si>
  <si>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</si>
  <si>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</si>
  <si>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</si>
  <si>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</si>
  <si>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</si>
  <si>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</si>
  <si>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</si>
  <si>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</si>
  <si>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</si>
  <si>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</si>
  <si>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</si>
  <si>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</si>
  <si>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</si>
  <si>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</si>
  <si>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</si>
  <si>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</si>
  <si>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</si>
  <si>
    <t>~FI_T: PASTI</t>
  </si>
  <si>
    <t>MINBatMaterials_LI</t>
  </si>
  <si>
    <t>MINBatMaterials_NI</t>
  </si>
  <si>
    <t>MINBatMaterials_COB</t>
  </si>
  <si>
    <t>MINBatMaterials_MN</t>
  </si>
  <si>
    <t>MINBatMaterials_AL</t>
  </si>
  <si>
    <t>MINBatMaterials_COP</t>
  </si>
  <si>
    <t>MINBatMaterials_GR</t>
  </si>
  <si>
    <t>Tra_EV_Batt-LFP_virgin, Tra_EV_Batt-LFP_virgin_pack</t>
  </si>
  <si>
    <t>Tra_EV_Batt-NMC622_virgin, Tra_EV_Batt-NMC622_virgin_pack</t>
  </si>
  <si>
    <t>Tra_EV_Batt-NMC811_virgin, Tra_EV_Batt-NMC811_virgin_pack</t>
  </si>
  <si>
    <t>Tra_EV_Batt-NMC532_virgin, Tra_EV_Batt-NMC532_virgin_pack</t>
  </si>
  <si>
    <t>Tra_EV_Batt-NCA_virgin, Tra_EV_Batt-NCA_virgin_pack</t>
  </si>
  <si>
    <t>Tra_EV_Batt-LMO_virgin, Tra_EV_Batt-LMO_virgin_pack</t>
  </si>
  <si>
    <t>Tra_EV_Batt-Sodium_virgin, Tra_EV_Batt-Sodium_virgin_pack</t>
  </si>
  <si>
    <t>Tra_EV_Batt-NMC111_virgin, Tra_EV_Batt-NMC111_virgin_pack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</si>
</sst>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4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45066682943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4506668294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9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7" fillId="17" borderId="18" applyNumberFormat="0" applyAlignment="0" applyProtection="0"/>
    <xf numFmtId="0" fontId="36" fillId="20" borderId="21" applyNumberFormat="0" applyAlignment="0" applyProtection="0">
      <alignment vertical="center"/>
    </xf>
    <xf numFmtId="0" fontId="37" fillId="20" borderId="18" applyNumberFormat="0" applyAlignment="0" applyProtection="0"/>
    <xf numFmtId="0" fontId="38" fillId="21" borderId="22" applyNumberFormat="0" applyAlignment="0" applyProtection="0">
      <alignment vertical="center"/>
    </xf>
    <xf numFmtId="0" fontId="12" fillId="0" borderId="15" applyNumberFormat="0" applyFill="0" applyAlignment="0" applyProtection="0"/>
    <xf numFmtId="0" fontId="39" fillId="0" borderId="23" applyNumberFormat="0" applyFill="0" applyAlignment="0" applyProtection="0">
      <alignment vertical="center"/>
    </xf>
    <xf numFmtId="0" fontId="24" fillId="16" borderId="0" applyNumberFormat="0" applyBorder="0" applyAlignment="0" applyProtection="0"/>
    <xf numFmtId="0" fontId="21" fillId="14" borderId="0" applyNumberFormat="0" applyBorder="0" applyAlignment="0" applyProtection="0"/>
    <xf numFmtId="0" fontId="28" fillId="18" borderId="0" applyNumberFormat="0" applyBorder="0" applyAlignment="0" applyProtection="0"/>
    <xf numFmtId="0" fontId="40" fillId="2" borderId="0" applyNumberFormat="0" applyBorder="0" applyAlignment="0" applyProtection="0">
      <alignment vertical="center"/>
    </xf>
    <xf numFmtId="0" fontId="0" fillId="5" borderId="0" applyNumberFormat="0" applyBorder="0" applyAlignment="0" applyProtection="0"/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4" fontId="44" fillId="51" borderId="9">
      <alignment horizontal="right" vertical="center"/>
    </xf>
    <xf numFmtId="4" fontId="44" fillId="51" borderId="9">
      <alignment horizontal="right" vertical="center"/>
    </xf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49" fontId="6" fillId="52" borderId="26">
      <alignment vertical="top" wrapText="1"/>
    </xf>
    <xf numFmtId="49" fontId="6" fillId="52" borderId="26">
      <alignment vertical="top" wrapText="1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181" fontId="6" fillId="0" borderId="0" applyFont="0" applyFill="0" applyBorder="0" applyAlignment="0" applyProtection="0"/>
    <xf numFmtId="181" fontId="6" fillId="0" borderId="0" applyFont="0" applyFill="0" applyBorder="0" applyAlignment="0" applyProtection="0"/>
    <xf numFmtId="0" fontId="50" fillId="0" borderId="27">
      <alignment horizontal="left" vertical="center" wrapText="1" indent="2"/>
    </xf>
    <xf numFmtId="182" fontId="51" fillId="0" borderId="0">
      <protection locked="0"/>
    </xf>
    <xf numFmtId="182" fontId="51" fillId="0" borderId="0">
      <protection locked="0"/>
    </xf>
    <xf numFmtId="3" fontId="52" fillId="0" borderId="26">
      <alignment horizontal="right" vertical="top"/>
    </xf>
    <xf numFmtId="0" fontId="53" fillId="59" borderId="9">
      <alignment horizontal="centerContinuous" vertical="top" wrapText="1"/>
    </xf>
    <xf numFmtId="0" fontId="54" fillId="0" borderId="0">
      <alignment vertical="top" wrapText="1"/>
    </xf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1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1" borderId="24" applyNumberFormat="0" applyAlignment="0" applyProtection="0"/>
    <xf numFmtId="0" fontId="65" fillId="54" borderId="24" applyNumberFormat="0" applyAlignment="0" applyProtection="0"/>
    <xf numFmtId="4" fontId="50" fillId="0" borderId="0" applyBorder="0">
      <alignment horizontal="right" vertical="center"/>
    </xf>
    <xf numFmtId="0" fontId="66" fillId="0" borderId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190" fontId="6" fillId="0" borderId="0" applyFont="0" applyFill="0" applyBorder="0" applyAlignment="0" applyProtection="0"/>
    <xf numFmtId="0" fontId="69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1" fillId="54" borderId="0" applyNumberFormat="0" applyBorder="0" applyAlignment="0" applyProtection="0"/>
    <xf numFmtId="0" fontId="70" fillId="54" borderId="0" applyNumberFormat="0" applyBorder="0" applyAlignment="0" applyProtection="0"/>
    <xf numFmtId="0" fontId="69" fillId="5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2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" fontId="50" fillId="0" borderId="9" applyFill="0" applyBorder="0" applyProtection="0">
      <alignment horizontal="right" vertical="center"/>
    </xf>
    <xf numFmtId="0" fontId="73" fillId="0" borderId="0" applyNumberFormat="0" applyFill="0" applyBorder="0" applyProtection="0">
      <alignment horizontal="left" vertical="center"/>
    </xf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74" fillId="0" borderId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193" fontId="75" fillId="0" borderId="0">
      <alignment horizontal="right"/>
    </xf>
    <xf numFmtId="194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80" fontId="77" fillId="0" borderId="0" applyFont="0" applyFill="0" applyBorder="0" applyAlignment="0" applyProtection="0"/>
    <xf numFmtId="195" fontId="77" fillId="0" borderId="0" applyFont="0" applyFill="0" applyBorder="0" applyAlignment="0" applyProtection="0"/>
    <xf numFmtId="196" fontId="77" fillId="0" borderId="0" applyFont="0" applyFill="0" applyBorder="0" applyAlignment="0" applyProtection="0"/>
    <xf numFmtId="0" fontId="54" fillId="0" borderId="0">
      <alignment vertical="top" wrapText="1"/>
    </xf>
    <xf numFmtId="0" fontId="6" fillId="0" borderId="0"/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53" fillId="68" borderId="9" applyNumberFormat="0" applyProtection="0">
      <alignment horizontal="right"/>
    </xf>
    <xf numFmtId="0" fontId="78" fillId="68" borderId="0" applyNumberFormat="0" applyBorder="0" applyProtection="0">
      <alignment horizontal="left"/>
    </xf>
    <xf numFmtId="0" fontId="53" fillId="68" borderId="9" applyNumberFormat="0" applyProtection="0">
      <alignment horizontal="left"/>
    </xf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79" fillId="61" borderId="0" applyNumberFormat="0" applyBorder="0" applyProtection="0">
      <alignment horizontal="left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198" fontId="80" fillId="69" borderId="38">
      <alignment vertical="center"/>
    </xf>
    <xf numFmtId="179" fontId="81" fillId="69" borderId="38">
      <alignment vertical="center"/>
    </xf>
    <xf numFmtId="198" fontId="82" fillId="70" borderId="38">
      <alignment vertical="center"/>
    </xf>
    <xf numFmtId="0" fontId="6" fillId="71" borderId="39" applyBorder="0">
      <alignment horizontal="left" vertical="center"/>
    </xf>
    <xf numFmtId="0" fontId="6" fillId="71" borderId="39" applyBorder="0">
      <alignment horizontal="left" vertical="center"/>
    </xf>
    <xf numFmtId="49" fontId="6" fillId="72" borderId="9">
      <alignment vertical="center" wrapText="1"/>
    </xf>
    <xf numFmtId="49" fontId="6" fillId="72" borderId="9">
      <alignment vertical="center" wrapText="1"/>
    </xf>
    <xf numFmtId="0" fontId="6" fillId="73" borderId="40">
      <alignment horizontal="left" vertical="center" wrapText="1"/>
    </xf>
    <xf numFmtId="0" fontId="6" fillId="73" borderId="40">
      <alignment horizontal="left" vertical="center" wrapText="1"/>
    </xf>
    <xf numFmtId="0" fontId="83" fillId="74" borderId="9">
      <alignment horizontal="left" vertical="center" wrapText="1"/>
    </xf>
    <xf numFmtId="0" fontId="6" fillId="60" borderId="9">
      <alignment horizontal="left" vertical="center" wrapText="1"/>
    </xf>
    <xf numFmtId="0" fontId="6" fillId="60" borderId="9">
      <alignment horizontal="left" vertical="center" wrapText="1"/>
    </xf>
    <xf numFmtId="0" fontId="6" fillId="75" borderId="9">
      <alignment horizontal="left" vertical="center" wrapText="1"/>
    </xf>
    <xf numFmtId="0" fontId="6" fillId="75" borderId="9">
      <alignment horizontal="left" vertical="center" wrapText="1"/>
    </xf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199" fontId="77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4" fontId="50" fillId="0" borderId="0"/>
    <xf numFmtId="0" fontId="87" fillId="0" borderId="0" applyNumberFormat="0" applyFill="0" applyBorder="0" applyAlignment="0" applyProtection="0">
      <alignment vertical="center"/>
    </xf>
  </cellStyleXfs>
  <cellXfs count="121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/>
    <xf numFmtId="0" fontId="3" fillId="0" borderId="0" xfId="1457"/>
    <xf numFmtId="0" fontId="4" fillId="0" borderId="2" xfId="1457" applyFont="1" applyBorder="1" applyAlignment="1">
      <alignment horizontal="center" vertical="center" wrapText="1"/>
    </xf>
    <xf numFmtId="0" fontId="4" fillId="0" borderId="3" xfId="1457" applyFont="1" applyBorder="1" applyAlignment="1">
      <alignment horizontal="center" vertical="center" wrapText="1"/>
    </xf>
    <xf numFmtId="0" fontId="4" fillId="0" borderId="4" xfId="1457" applyFont="1" applyBorder="1" applyAlignment="1">
      <alignment horizontal="center" vertical="center" wrapText="1"/>
    </xf>
    <xf numFmtId="0" fontId="3" fillId="0" borderId="5" xfId="1457" applyBorder="1"/>
    <xf numFmtId="0" fontId="3" fillId="0" borderId="6" xfId="1457" applyBorder="1"/>
    <xf numFmtId="0" fontId="3" fillId="0" borderId="7" xfId="1457" applyBorder="1"/>
    <xf numFmtId="0" fontId="3" fillId="0" borderId="8" xfId="1457" applyBorder="1"/>
    <xf numFmtId="200" fontId="5" fillId="0" borderId="9" xfId="806" applyNumberFormat="1" applyFont="1" applyFill="1" applyBorder="1" applyAlignment="1" applyProtection="1">
      <alignment horizontal="right" vertical="top" wrapText="1"/>
    </xf>
    <xf numFmtId="0" fontId="3" fillId="0" borderId="10" xfId="1457" applyBorder="1" applyAlignment="1">
      <alignment horizontal="center"/>
    </xf>
    <xf numFmtId="201" fontId="3" fillId="0" borderId="0" xfId="1457" applyNumberFormat="1"/>
    <xf numFmtId="3" fontId="3" fillId="0" borderId="9" xfId="753" applyNumberFormat="1" applyFont="1" applyFill="1" applyBorder="1" applyAlignment="1">
      <alignment horizontal="right" wrapText="1"/>
    </xf>
    <xf numFmtId="3" fontId="6" fillId="0" borderId="9" xfId="753" applyNumberFormat="1" applyFont="1" applyFill="1" applyBorder="1" applyAlignment="1">
      <alignment horizontal="right" wrapText="1"/>
    </xf>
    <xf numFmtId="0" fontId="3" fillId="0" borderId="0" xfId="1457" applyAlignment="1">
      <alignment horizontal="left" wrapText="1"/>
    </xf>
    <xf numFmtId="0" fontId="3" fillId="0" borderId="11" xfId="1457" applyBorder="1"/>
    <xf numFmtId="200" fontId="5" fillId="0" borderId="12" xfId="806" applyNumberFormat="1" applyFont="1" applyFill="1" applyBorder="1" applyAlignment="1" applyProtection="1">
      <alignment horizontal="right" vertical="top" wrapText="1"/>
    </xf>
    <xf numFmtId="0" fontId="3" fillId="0" borderId="13" xfId="1457" applyBorder="1" applyAlignment="1">
      <alignment horizontal="center"/>
    </xf>
    <xf numFmtId="0" fontId="3" fillId="0" borderId="14" xfId="1457" applyBorder="1"/>
    <xf numFmtId="0" fontId="7" fillId="0" borderId="0" xfId="1457" applyFont="1" applyAlignment="1">
      <alignment horizontal="left" wrapText="1"/>
    </xf>
    <xf numFmtId="0" fontId="3" fillId="0" borderId="0" xfId="1457" applyAlignment="1">
      <alignment horizontal="center" vertical="center"/>
    </xf>
    <xf numFmtId="0" fontId="3" fillId="0" borderId="0" xfId="1457" applyAlignment="1">
      <alignment wrapText="1"/>
    </xf>
    <xf numFmtId="0" fontId="7" fillId="0" borderId="0" xfId="1457" applyFont="1"/>
    <xf numFmtId="3" fontId="6" fillId="0" borderId="0" xfId="753" applyNumberFormat="1" applyFont="1" applyFill="1" applyBorder="1" applyAlignment="1">
      <alignment horizontal="right" wrapText="1"/>
    </xf>
    <xf numFmtId="0" fontId="3" fillId="0" borderId="0" xfId="1457" applyAlignment="1">
      <alignment horizontal="center"/>
    </xf>
    <xf numFmtId="0" fontId="7" fillId="0" borderId="0" xfId="1457" applyFont="1" applyAlignment="1">
      <alignment horizontal="left" vertical="top" wrapText="1"/>
    </xf>
    <xf numFmtId="0" fontId="3" fillId="0" borderId="0" xfId="1457" applyAlignment="1">
      <alignment horizontal="left" vertical="top"/>
    </xf>
    <xf numFmtId="0" fontId="6" fillId="0" borderId="0" xfId="1732"/>
    <xf numFmtId="0" fontId="6" fillId="0" borderId="0" xfId="1732" applyAlignment="1">
      <alignment horizontal="left"/>
    </xf>
    <xf numFmtId="2" fontId="3" fillId="0" borderId="0" xfId="1457" applyNumberFormat="1"/>
    <xf numFmtId="0" fontId="8" fillId="0" borderId="0" xfId="1457" applyFont="1"/>
    <xf numFmtId="0" fontId="9" fillId="0" borderId="0" xfId="1457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11" fillId="5" borderId="0" xfId="26" applyFont="1"/>
    <xf numFmtId="202" fontId="10" fillId="0" borderId="0" xfId="0" applyNumberFormat="1" applyFont="1"/>
    <xf numFmtId="0" fontId="12" fillId="0" borderId="15" xfId="20"/>
    <xf numFmtId="1" fontId="12" fillId="0" borderId="15" xfId="20" applyNumberFormat="1"/>
    <xf numFmtId="0" fontId="0" fillId="6" borderId="0" xfId="0" applyFill="1"/>
    <xf numFmtId="0" fontId="10" fillId="6" borderId="0" xfId="0" applyFont="1" applyFill="1"/>
    <xf numFmtId="9" fontId="0" fillId="6" borderId="0" xfId="0" applyNumberFormat="1" applyFill="1"/>
    <xf numFmtId="0" fontId="10" fillId="2" borderId="0" xfId="0" applyFont="1" applyFill="1"/>
    <xf numFmtId="2" fontId="10" fillId="6" borderId="0" xfId="0" applyNumberFormat="1" applyFont="1" applyFill="1"/>
    <xf numFmtId="0" fontId="13" fillId="0" borderId="0" xfId="0" applyFont="1"/>
    <xf numFmtId="16" fontId="0" fillId="0" borderId="0" xfId="0" applyNumberFormat="1"/>
    <xf numFmtId="0" fontId="11" fillId="7" borderId="0" xfId="0" applyFont="1" applyFill="1"/>
    <xf numFmtId="0" fontId="11" fillId="0" borderId="0" xfId="0" applyFont="1" applyAlignment="1">
      <alignment horizontal="right"/>
    </xf>
    <xf numFmtId="0" fontId="10" fillId="7" borderId="0" xfId="0" applyFont="1" applyFill="1"/>
    <xf numFmtId="0" fontId="14" fillId="8" borderId="0" xfId="0" applyFont="1" applyFill="1"/>
    <xf numFmtId="0" fontId="15" fillId="9" borderId="0" xfId="1732" applyFont="1" applyFill="1"/>
    <xf numFmtId="2" fontId="10" fillId="7" borderId="0" xfId="0" applyNumberFormat="1" applyFont="1" applyFill="1" applyAlignment="1">
      <alignment horizontal="right"/>
    </xf>
    <xf numFmtId="0" fontId="10" fillId="7" borderId="16" xfId="0" applyFont="1" applyFill="1" applyBorder="1"/>
    <xf numFmtId="2" fontId="16" fillId="7" borderId="16" xfId="18" applyNumberFormat="1" applyFont="1" applyFill="1" applyBorder="1" applyAlignment="1">
      <alignment horizontal="right"/>
    </xf>
    <xf numFmtId="0" fontId="15" fillId="9" borderId="16" xfId="1732" applyFont="1" applyFill="1" applyBorder="1"/>
    <xf numFmtId="2" fontId="17" fillId="7" borderId="16" xfId="18" applyNumberFormat="1" applyFont="1" applyFill="1" applyBorder="1" applyAlignment="1">
      <alignment horizontal="right"/>
    </xf>
    <xf numFmtId="0" fontId="10" fillId="10" borderId="0" xfId="0" applyFont="1" applyFill="1"/>
    <xf numFmtId="0" fontId="14" fillId="11" borderId="0" xfId="0" applyFont="1" applyFill="1"/>
    <xf numFmtId="0" fontId="18" fillId="11" borderId="0" xfId="0" applyFont="1" applyFill="1"/>
    <xf numFmtId="2" fontId="10" fillId="12" borderId="0" xfId="0" applyNumberFormat="1" applyFont="1" applyFill="1" applyAlignment="1">
      <alignment horizontal="right"/>
    </xf>
    <xf numFmtId="0" fontId="19" fillId="8" borderId="0" xfId="0" applyFont="1" applyFill="1"/>
    <xf numFmtId="2" fontId="16" fillId="7" borderId="0" xfId="18" applyNumberFormat="1" applyFont="1" applyFill="1" applyBorder="1" applyAlignment="1">
      <alignment horizontal="right"/>
    </xf>
    <xf numFmtId="2" fontId="16" fillId="10" borderId="0" xfId="18" applyNumberFormat="1" applyFont="1" applyFill="1" applyBorder="1" applyAlignment="1">
      <alignment horizontal="left"/>
    </xf>
    <xf numFmtId="2" fontId="16" fillId="7" borderId="0" xfId="18" applyNumberFormat="1" applyFont="1" applyFill="1" applyBorder="1"/>
    <xf numFmtId="0" fontId="14" fillId="8" borderId="16" xfId="0" applyFont="1" applyFill="1" applyBorder="1"/>
    <xf numFmtId="2" fontId="16" fillId="7" borderId="16" xfId="18" applyNumberFormat="1" applyFont="1" applyFill="1" applyBorder="1"/>
    <xf numFmtId="2" fontId="16" fillId="0" borderId="0" xfId="18" applyNumberFormat="1" applyFont="1" applyFill="1" applyBorder="1" applyAlignment="1">
      <alignment horizontal="right"/>
    </xf>
    <xf numFmtId="0" fontId="15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20" fillId="0" borderId="0" xfId="0" applyNumberFormat="1" applyFont="1"/>
    <xf numFmtId="2" fontId="20" fillId="0" borderId="17" xfId="0" applyNumberFormat="1" applyFont="1" applyBorder="1"/>
    <xf numFmtId="2" fontId="1" fillId="0" borderId="1" xfId="14" applyNumberFormat="1" applyFill="1"/>
    <xf numFmtId="2" fontId="20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20" fillId="0" borderId="0" xfId="0" applyFont="1" applyAlignment="1">
      <alignment horizontal="left" indent="1"/>
    </xf>
    <xf numFmtId="1" fontId="20" fillId="0" borderId="0" xfId="0" applyNumberFormat="1" applyFont="1"/>
    <xf numFmtId="0" fontId="20" fillId="0" borderId="17" xfId="0" applyFont="1" applyBorder="1" applyAlignment="1">
      <alignment horizontal="left"/>
    </xf>
    <xf numFmtId="1" fontId="20" fillId="0" borderId="17" xfId="0" applyNumberFormat="1" applyFont="1" applyBorder="1"/>
    <xf numFmtId="0" fontId="10" fillId="7" borderId="0" xfId="0" applyFont="1" applyFill="1" applyAlignment="1">
      <alignment horizontal="right"/>
    </xf>
    <xf numFmtId="0" fontId="0" fillId="13" borderId="0" xfId="0" applyFill="1"/>
    <xf numFmtId="0" fontId="21" fillId="14" borderId="0" xfId="23"/>
    <xf numFmtId="2" fontId="22" fillId="7" borderId="16" xfId="18" applyNumberFormat="1" applyFont="1" applyFill="1" applyBorder="1" applyAlignment="1">
      <alignment horizontal="right"/>
    </xf>
    <xf numFmtId="2" fontId="14" fillId="10" borderId="0" xfId="18" applyNumberFormat="1" applyFont="1" applyFill="1" applyBorder="1" applyAlignment="1">
      <alignment horizontal="left"/>
    </xf>
    <xf numFmtId="2" fontId="22" fillId="10" borderId="0" xfId="18" applyNumberFormat="1" applyFont="1" applyFill="1" applyBorder="1" applyAlignment="1">
      <alignment horizontal="left"/>
    </xf>
    <xf numFmtId="2" fontId="14" fillId="4" borderId="0" xfId="18" applyNumberFormat="1" applyFont="1" applyFill="1" applyBorder="1" applyAlignment="1">
      <alignment horizontal="left"/>
    </xf>
    <xf numFmtId="2" fontId="11" fillId="7" borderId="0" xfId="0" applyNumberFormat="1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14" fillId="13" borderId="0" xfId="18" applyNumberFormat="1" applyFont="1" applyFill="1" applyBorder="1" applyAlignment="1">
      <alignment horizontal="left"/>
    </xf>
    <xf numFmtId="2" fontId="14" fillId="15" borderId="0" xfId="18" applyNumberFormat="1" applyFont="1" applyFill="1" applyBorder="1" applyAlignment="1">
      <alignment horizontal="left"/>
    </xf>
    <xf numFmtId="2" fontId="10" fillId="4" borderId="0" xfId="0" applyNumberFormat="1" applyFont="1" applyFill="1" applyAlignment="1">
      <alignment horizontal="right"/>
    </xf>
    <xf numFmtId="0" fontId="23" fillId="0" borderId="0" xfId="0" applyFont="1"/>
    <xf numFmtId="9" fontId="0" fillId="0" borderId="0" xfId="3" applyFont="1"/>
    <xf numFmtId="2" fontId="21" fillId="14" borderId="0" xfId="23" applyNumberFormat="1"/>
    <xf numFmtId="2" fontId="24" fillId="16" borderId="0" xfId="22" applyNumberFormat="1"/>
    <xf numFmtId="1" fontId="25" fillId="0" borderId="0" xfId="0" applyNumberFormat="1" applyFont="1" applyAlignment="1">
      <alignment horizontal="right"/>
    </xf>
    <xf numFmtId="0" fontId="20" fillId="0" borderId="0" xfId="0" applyFont="1"/>
    <xf numFmtId="2" fontId="26" fillId="16" borderId="0" xfId="22" applyNumberFormat="1" applyFont="1"/>
    <xf numFmtId="0" fontId="27" fillId="17" borderId="18" xfId="16"/>
    <xf numFmtId="1" fontId="24" fillId="16" borderId="0" xfId="22" applyNumberFormat="1"/>
    <xf numFmtId="202" fontId="20" fillId="4" borderId="0" xfId="0" applyNumberFormat="1" applyFont="1" applyFill="1"/>
    <xf numFmtId="0" fontId="0" fillId="4" borderId="0" xfId="0" applyFill="1"/>
    <xf numFmtId="1" fontId="0" fillId="4" borderId="0" xfId="0" applyNumberFormat="1" applyFill="1"/>
    <xf numFmtId="9" fontId="0" fillId="4" borderId="0" xfId="3" applyFont="1" applyFill="1"/>
    <xf numFmtId="202" fontId="0" fillId="4" borderId="0" xfId="0" applyNumberFormat="1" applyFill="1"/>
    <xf numFmtId="2" fontId="0" fillId="4" borderId="0" xfId="0" applyNumberFormat="1" applyFill="1"/>
    <xf numFmtId="2" fontId="27" fillId="17" borderId="18" xfId="16" applyNumberFormat="1"/>
    <xf numFmtId="0" fontId="1" fillId="7" borderId="1" xfId="14" applyFill="1"/>
    <xf numFmtId="203" fontId="24" fillId="16" borderId="0" xfId="22" applyNumberFormat="1"/>
    <xf numFmtId="0" fontId="24" fillId="16" borderId="0" xfId="22"/>
    <xf numFmtId="0" fontId="0" fillId="0" borderId="0" xfId="0" applyAlignment="1">
      <alignment horizontal="right"/>
    </xf>
    <xf numFmtId="0" fontId="28" fillId="18" borderId="0" xfId="24"/>
    <xf numFmtId="2" fontId="0" fillId="13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eetMetadata" Target="metadata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pivotCacheDefinition" Target="pivotCache/pivotCacheDefinition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76" zoomScaleNormal="76" workbookViewId="0">
      <pane xSplit="4" ySplit="4" topLeftCell="AV5" activePane="bottomRight" state="frozen"/>
      <selection/>
      <selection pane="topRight"/>
      <selection pane="bottomLeft"/>
      <selection pane="bottomRight" activeCell="L19" sqref="L19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14">
        <v>0.041868</v>
      </c>
      <c r="B1" s="99" t="s">
        <v>0</v>
      </c>
    </row>
    <row r="2" spans="1:55">
      <c r="D2" s="1"/>
      <c r="L2" s="76">
        <f>SUM(L16:L24)</f>
        <v>11358.9358507224</v>
      </c>
      <c r="Z2" s="76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88" t="s">
        <v>1</v>
      </c>
      <c r="C4" s="38" t="s">
        <v>2</v>
      </c>
      <c r="D4" s="38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15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2"/>
      <c r="F5" s="42"/>
      <c r="G5" s="42"/>
      <c r="H5" s="42"/>
      <c r="I5" s="42"/>
      <c r="J5" s="42"/>
      <c r="K5" s="42">
        <v>6.1607003544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>
        <v>2.5819618788</v>
      </c>
      <c r="AA5" s="42"/>
      <c r="AB5" s="42">
        <v>0.023990364</v>
      </c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2"/>
      <c r="F6" s="42">
        <v>2.370189348</v>
      </c>
      <c r="G6" s="42"/>
      <c r="H6" s="42"/>
      <c r="I6" s="42"/>
      <c r="J6" s="42"/>
      <c r="K6" s="42"/>
      <c r="L6" s="42">
        <v>1314.7580152476</v>
      </c>
      <c r="M6" s="42"/>
      <c r="N6" s="42"/>
      <c r="O6" s="42"/>
      <c r="P6" s="42"/>
      <c r="Q6" s="42">
        <v>0.011388096</v>
      </c>
      <c r="R6" s="42">
        <v>0.0471140604</v>
      </c>
      <c r="S6" s="42"/>
      <c r="T6" s="42"/>
      <c r="U6" s="42"/>
      <c r="V6" s="42"/>
      <c r="W6" s="42"/>
      <c r="X6" s="42">
        <v>0.3742454916</v>
      </c>
      <c r="Y6" s="42">
        <v>1.7316018648</v>
      </c>
      <c r="Z6" s="42">
        <v>22.4800010208</v>
      </c>
      <c r="AA6" s="42">
        <v>0.0794403432</v>
      </c>
      <c r="AB6" s="42">
        <v>0.0110364048</v>
      </c>
      <c r="AC6" s="42">
        <v>0.5005277532</v>
      </c>
      <c r="AD6" s="42"/>
      <c r="AE6" s="42"/>
      <c r="AF6" s="42">
        <v>3.601924974</v>
      </c>
      <c r="AG6" s="42"/>
      <c r="AH6" s="42"/>
      <c r="AI6" s="42"/>
      <c r="AJ6" s="42"/>
      <c r="AK6" s="42"/>
      <c r="AL6" s="42">
        <v>15.3699018984</v>
      </c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2">
        <v>0.2772205884</v>
      </c>
      <c r="F7" s="42"/>
      <c r="G7" s="42"/>
      <c r="H7" s="42"/>
      <c r="I7" s="42"/>
      <c r="J7" s="42">
        <v>0.0753791472</v>
      </c>
      <c r="K7" s="42"/>
      <c r="L7" s="42"/>
      <c r="M7" s="42"/>
      <c r="N7" s="42"/>
      <c r="O7" s="42"/>
      <c r="P7" s="42"/>
      <c r="Q7" s="42"/>
      <c r="R7" s="42">
        <v>0.0033159456</v>
      </c>
      <c r="S7" s="42"/>
      <c r="T7" s="42"/>
      <c r="U7" s="42"/>
      <c r="V7" s="42"/>
      <c r="W7" s="42"/>
      <c r="X7" s="42">
        <v>0.2399496948</v>
      </c>
      <c r="Y7" s="42"/>
      <c r="Z7" s="42"/>
      <c r="AA7" s="42"/>
      <c r="AB7" s="42"/>
      <c r="AC7" s="42">
        <v>0.691198812</v>
      </c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2">
        <v>2.5678104948</v>
      </c>
      <c r="F8" s="42">
        <v>2.118478932</v>
      </c>
      <c r="G8" s="42"/>
      <c r="H8" s="42">
        <v>0.6179423724</v>
      </c>
      <c r="I8" s="42">
        <v>2.251409832</v>
      </c>
      <c r="J8" s="42">
        <v>5.7442561056</v>
      </c>
      <c r="K8" s="42"/>
      <c r="L8" s="42">
        <v>99.0935550252</v>
      </c>
      <c r="M8" s="42">
        <v>0.7771998708</v>
      </c>
      <c r="N8" s="42">
        <v>8.4419997516</v>
      </c>
      <c r="O8" s="42">
        <v>12.396298374</v>
      </c>
      <c r="P8" s="42">
        <v>13.18800132</v>
      </c>
      <c r="Q8" s="42">
        <v>0.845252118</v>
      </c>
      <c r="R8" s="42">
        <v>5.9773855032</v>
      </c>
      <c r="S8" s="42">
        <v>0.1489830912</v>
      </c>
      <c r="T8" s="42"/>
      <c r="U8" s="42">
        <v>1.2904513092</v>
      </c>
      <c r="V8" s="42">
        <v>9.231600924</v>
      </c>
      <c r="W8" s="42">
        <v>56.6852275512</v>
      </c>
      <c r="X8" s="42">
        <v>2.2883667156</v>
      </c>
      <c r="Y8" s="42">
        <v>8.2227202884</v>
      </c>
      <c r="Z8" s="42">
        <v>126.7059950676</v>
      </c>
      <c r="AA8" s="42">
        <v>1.8940329576</v>
      </c>
      <c r="AB8" s="42">
        <v>16.8218548308</v>
      </c>
      <c r="AC8" s="42">
        <v>41.8178672568</v>
      </c>
      <c r="AD8" s="42"/>
      <c r="AE8" s="42"/>
      <c r="AF8" s="42">
        <v>6.0861250728</v>
      </c>
      <c r="AG8" s="42">
        <v>10.9913590188</v>
      </c>
      <c r="AH8" s="42">
        <v>1.7354411604</v>
      </c>
      <c r="AI8" s="42">
        <v>1.2379069692</v>
      </c>
      <c r="AJ8" s="42">
        <v>7.5179981124</v>
      </c>
      <c r="AK8" s="42">
        <v>5.717870892</v>
      </c>
      <c r="AL8" s="42">
        <v>2.0426643576</v>
      </c>
      <c r="AM8" s="42">
        <v>1.3844156616</v>
      </c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2"/>
      <c r="F9" s="42">
        <v>0.1432471752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>
        <v>261.4400032896</v>
      </c>
      <c r="AA9" s="42"/>
      <c r="AB9" s="42"/>
      <c r="AC9" s="42">
        <v>3.0110795712</v>
      </c>
      <c r="AD9" s="42"/>
      <c r="AE9" s="42"/>
      <c r="AF9" s="42"/>
      <c r="AG9" s="42"/>
      <c r="AH9" s="42"/>
      <c r="AI9" s="42"/>
      <c r="AJ9" s="42"/>
      <c r="AK9" s="42"/>
      <c r="AL9" s="42">
        <v>0.0359981064</v>
      </c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2"/>
      <c r="F10" s="42">
        <v>0.046243206</v>
      </c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>
        <v>0.3086425224</v>
      </c>
      <c r="Y10" s="42"/>
      <c r="Z10" s="42"/>
      <c r="AA10" s="42"/>
      <c r="AB10" s="42"/>
      <c r="AC10" s="42">
        <v>0.0688142448</v>
      </c>
      <c r="AD10" s="42"/>
      <c r="AE10" s="42"/>
      <c r="AF10" s="42">
        <v>0.7461631224</v>
      </c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>
        <v>0.0309320784</v>
      </c>
      <c r="V11" s="42"/>
      <c r="W11" s="42"/>
      <c r="X11" s="42">
        <v>0.690884802</v>
      </c>
      <c r="Y11" s="42"/>
      <c r="Z11" s="42"/>
      <c r="AA11" s="42"/>
      <c r="AB11" s="42"/>
      <c r="AC11" s="42">
        <v>0.008959752</v>
      </c>
      <c r="AD11" s="42"/>
      <c r="AE11" s="42"/>
      <c r="AF11" s="42"/>
      <c r="AG11" s="42"/>
      <c r="AH11" s="42">
        <v>4.60548e-5</v>
      </c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2">
        <v>0.0119993688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>
        <v>0.0005945256</v>
      </c>
      <c r="AD12" s="42"/>
      <c r="AE12" s="42"/>
      <c r="AF12" s="42"/>
      <c r="AG12" s="42"/>
      <c r="AH12" s="42"/>
      <c r="AI12" s="42"/>
      <c r="AJ12" s="42"/>
      <c r="AK12" s="42"/>
      <c r="AL12" s="42">
        <v>7.6400014644</v>
      </c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2">
        <v>28.892667186</v>
      </c>
      <c r="F13" s="42">
        <v>22.6259235612</v>
      </c>
      <c r="G13" s="42">
        <v>123.7186965204</v>
      </c>
      <c r="H13" s="42">
        <v>1.3079814408</v>
      </c>
      <c r="I13" s="42">
        <v>0.0886638636</v>
      </c>
      <c r="J13" s="42">
        <v>0.552531996</v>
      </c>
      <c r="K13" s="42">
        <v>140.169186378</v>
      </c>
      <c r="L13" s="42">
        <v>1141.7510237796</v>
      </c>
      <c r="M13" s="42">
        <v>0.469675224</v>
      </c>
      <c r="N13" s="42">
        <v>1.9810011672</v>
      </c>
      <c r="O13" s="42">
        <v>67.7992305024</v>
      </c>
      <c r="P13" s="42">
        <v>30.7530005904</v>
      </c>
      <c r="Q13" s="42">
        <v>9.4633277436</v>
      </c>
      <c r="R13" s="42">
        <v>3.19829652</v>
      </c>
      <c r="S13" s="42">
        <v>0.3797260128</v>
      </c>
      <c r="T13" s="42">
        <v>179.286291306</v>
      </c>
      <c r="U13" s="42">
        <v>0.2140962048</v>
      </c>
      <c r="V13" s="42">
        <v>37.9845252864</v>
      </c>
      <c r="W13" s="42">
        <v>147.5997682932</v>
      </c>
      <c r="X13" s="42">
        <v>89.0664621012</v>
      </c>
      <c r="Y13" s="42">
        <v>60.2006741712</v>
      </c>
      <c r="Z13" s="42">
        <v>2814.8464867644</v>
      </c>
      <c r="AA13" s="42">
        <v>14.7001143816</v>
      </c>
      <c r="AB13" s="42">
        <v>1.416206034</v>
      </c>
      <c r="AC13" s="42">
        <v>364.0769141436</v>
      </c>
      <c r="AD13" s="42">
        <v>245.790197064</v>
      </c>
      <c r="AE13" s="42">
        <v>40.8475344888</v>
      </c>
      <c r="AF13" s="42">
        <v>51.9971336136</v>
      </c>
      <c r="AG13" s="42">
        <v>104.0678460504</v>
      </c>
      <c r="AH13" s="42">
        <v>10.7713468656</v>
      </c>
      <c r="AI13" s="42">
        <v>2.769819408</v>
      </c>
      <c r="AJ13" s="42">
        <v>50.4389992464</v>
      </c>
      <c r="AK13" s="42">
        <v>37.1254944096</v>
      </c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>
        <v>-5.0799993516</v>
      </c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2">
        <v>-99.1230300972</v>
      </c>
      <c r="F15" s="42">
        <v>-192.0928039704</v>
      </c>
      <c r="G15" s="42">
        <v>-211.3565345388</v>
      </c>
      <c r="H15" s="42">
        <v>-39.6794089152</v>
      </c>
      <c r="I15" s="42">
        <v>-14.5334462472</v>
      </c>
      <c r="J15" s="42">
        <v>-260.8231662324</v>
      </c>
      <c r="K15" s="42">
        <v>-101.4462184284</v>
      </c>
      <c r="L15" s="42">
        <v>-449.183894364</v>
      </c>
      <c r="M15" s="42">
        <v>-9.4939499988</v>
      </c>
      <c r="N15" s="42">
        <v>-19.3069969596</v>
      </c>
      <c r="O15" s="42">
        <v>-260.0460249768</v>
      </c>
      <c r="P15" s="42">
        <v>-409.8760011468</v>
      </c>
      <c r="Q15" s="42">
        <v>-60.3557197488</v>
      </c>
      <c r="R15" s="42">
        <v>-28.1800487052</v>
      </c>
      <c r="S15" s="42">
        <v>-13.0422420648</v>
      </c>
      <c r="T15" s="42">
        <v>-177.4691070624</v>
      </c>
      <c r="U15" s="42">
        <v>-45.3314591244</v>
      </c>
      <c r="V15" s="42">
        <v>-173.0543776704</v>
      </c>
      <c r="W15" s="42">
        <v>-305.523649476</v>
      </c>
      <c r="X15" s="42">
        <v>-322.4176638048</v>
      </c>
      <c r="Y15" s="42">
        <v>-762.824241792</v>
      </c>
      <c r="Z15" s="42">
        <v>-1284.8589878796</v>
      </c>
      <c r="AA15" s="42">
        <v>-22.9425293772</v>
      </c>
      <c r="AB15" s="42">
        <v>-45.0546614028</v>
      </c>
      <c r="AC15" s="42">
        <v>-1737.5925643272</v>
      </c>
      <c r="AD15" s="42">
        <v>-253.1128809564</v>
      </c>
      <c r="AE15" s="42">
        <v>-153.0961909596</v>
      </c>
      <c r="AF15" s="42">
        <v>-46.0725980868</v>
      </c>
      <c r="AG15" s="42">
        <v>-260.6991071616</v>
      </c>
      <c r="AH15" s="42">
        <v>-115.4657935908</v>
      </c>
      <c r="AI15" s="42">
        <v>-77.9501857176</v>
      </c>
      <c r="AJ15" s="42">
        <v>-184.4269992576</v>
      </c>
      <c r="AK15" s="42">
        <v>-493.2392126616</v>
      </c>
      <c r="AL15" s="42">
        <v>-2.211739902</v>
      </c>
      <c r="AM15" s="42">
        <v>-9.5715565236</v>
      </c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2"/>
      <c r="F16" s="42"/>
      <c r="G16" s="42">
        <v>0.036801972</v>
      </c>
      <c r="H16" s="42">
        <v>17.8244803872</v>
      </c>
      <c r="I16" s="42">
        <v>4.5833402016</v>
      </c>
      <c r="J16" s="42">
        <v>36.9299080476</v>
      </c>
      <c r="K16" s="42">
        <v>651.0299242968</v>
      </c>
      <c r="L16" s="42">
        <v>37.904000562</v>
      </c>
      <c r="M16" s="42">
        <v>6.3832957632</v>
      </c>
      <c r="N16" s="42">
        <v>16.7298499008</v>
      </c>
      <c r="O16" s="42">
        <v>105.7032561852</v>
      </c>
      <c r="P16" s="42">
        <v>79.0938896868</v>
      </c>
      <c r="Q16" s="42">
        <v>7.1657333208</v>
      </c>
      <c r="R16" s="42">
        <v>25.9116404652</v>
      </c>
      <c r="S16" s="42">
        <v>0.648933066</v>
      </c>
      <c r="T16" s="42">
        <v>1.6369383168</v>
      </c>
      <c r="U16" s="42">
        <v>6.781820508</v>
      </c>
      <c r="V16" s="42">
        <v>52.6092814548</v>
      </c>
      <c r="W16" s="42">
        <v>0.519246936</v>
      </c>
      <c r="X16" s="42">
        <v>74.2635282852</v>
      </c>
      <c r="Y16" s="42"/>
      <c r="Z16" s="42">
        <v>204.2394309</v>
      </c>
      <c r="AA16" s="42">
        <v>17.542524528</v>
      </c>
      <c r="AB16" s="42">
        <v>35.0764075008</v>
      </c>
      <c r="AC16" s="42">
        <v>285.0645916944</v>
      </c>
      <c r="AD16" s="42">
        <v>0.0720003996</v>
      </c>
      <c r="AE16" s="42"/>
      <c r="AF16" s="42"/>
      <c r="AG16" s="42">
        <v>73.5846721596</v>
      </c>
      <c r="AH16" s="42">
        <v>71.6650494804</v>
      </c>
      <c r="AI16" s="42">
        <v>6.273249912</v>
      </c>
      <c r="AJ16" s="42">
        <v>4.7795001552</v>
      </c>
      <c r="AK16" s="42">
        <v>52.8856018812</v>
      </c>
      <c r="AL16" s="42"/>
      <c r="AM16" s="42">
        <v>5.0352592068</v>
      </c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2"/>
      <c r="F17" s="42">
        <v>1.9221473196</v>
      </c>
      <c r="G17" s="42">
        <v>5.3332002684</v>
      </c>
      <c r="H17" s="42">
        <v>2.3656341096</v>
      </c>
      <c r="I17" s="42">
        <v>1.0224877356</v>
      </c>
      <c r="J17" s="42">
        <v>14.5589354856</v>
      </c>
      <c r="K17" s="42">
        <v>235.9535491116</v>
      </c>
      <c r="L17" s="42">
        <v>85.7599996032</v>
      </c>
      <c r="M17" s="42">
        <v>0.21750426</v>
      </c>
      <c r="N17" s="42">
        <v>3.9087001836</v>
      </c>
      <c r="O17" s="42">
        <v>27.3519331596</v>
      </c>
      <c r="P17" s="42">
        <v>30.0974942484</v>
      </c>
      <c r="Q17" s="42">
        <v>1.0531602324</v>
      </c>
      <c r="R17" s="42">
        <v>7.3426088736</v>
      </c>
      <c r="S17" s="42">
        <v>0.1685061396</v>
      </c>
      <c r="T17" s="42">
        <v>36.8208167868</v>
      </c>
      <c r="U17" s="42">
        <v>1.0967029524</v>
      </c>
      <c r="V17" s="42">
        <v>1.274294448</v>
      </c>
      <c r="W17" s="42">
        <v>16.6368485124</v>
      </c>
      <c r="X17" s="42">
        <v>53.0895325356</v>
      </c>
      <c r="Y17" s="42"/>
      <c r="Z17" s="42">
        <v>1435.2023327184</v>
      </c>
      <c r="AA17" s="42">
        <v>1.7838866232</v>
      </c>
      <c r="AB17" s="42">
        <v>7.8426342108</v>
      </c>
      <c r="AC17" s="42">
        <v>53.438619546</v>
      </c>
      <c r="AD17" s="42"/>
      <c r="AE17" s="42"/>
      <c r="AF17" s="42"/>
      <c r="AG17" s="42">
        <v>5.7976587396</v>
      </c>
      <c r="AH17" s="42">
        <v>9.3798262044</v>
      </c>
      <c r="AI17" s="42">
        <v>1.3390098156</v>
      </c>
      <c r="AJ17" s="42">
        <v>2.2267998216</v>
      </c>
      <c r="AK17" s="42">
        <v>16.0151212728</v>
      </c>
      <c r="AL17" s="42">
        <v>3.6889769196</v>
      </c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2">
        <v>1112.020548606</v>
      </c>
      <c r="F18" s="42">
        <v>988.2276201216</v>
      </c>
      <c r="G18" s="42">
        <v>575.6379110604</v>
      </c>
      <c r="H18" s="42">
        <v>258.6505436028</v>
      </c>
      <c r="I18" s="42">
        <v>121.270054914</v>
      </c>
      <c r="J18" s="42">
        <v>548.2321817076</v>
      </c>
      <c r="K18" s="42">
        <v>1435.9916282544</v>
      </c>
      <c r="L18" s="42">
        <v>3881.3716127844</v>
      </c>
      <c r="M18" s="42">
        <v>120.494031534</v>
      </c>
      <c r="N18" s="42">
        <v>258.1985994768</v>
      </c>
      <c r="O18" s="42">
        <v>1286.4001238388</v>
      </c>
      <c r="P18" s="42">
        <v>1389.27119823</v>
      </c>
      <c r="Q18" s="42">
        <v>112.3477580268</v>
      </c>
      <c r="R18" s="42">
        <v>402.8434750548</v>
      </c>
      <c r="S18" s="42">
        <v>7.7045954148</v>
      </c>
      <c r="T18" s="42">
        <v>2433.6589206996</v>
      </c>
      <c r="U18" s="42">
        <v>123.344635248</v>
      </c>
      <c r="V18" s="42">
        <v>900.0449831268</v>
      </c>
      <c r="W18" s="42">
        <v>913.2709838436</v>
      </c>
      <c r="X18" s="42">
        <v>1474.3679375376</v>
      </c>
      <c r="Y18" s="42">
        <v>1497.7659279528</v>
      </c>
      <c r="Z18" s="42">
        <v>6300.1461203532</v>
      </c>
      <c r="AA18" s="42">
        <v>88.600161438</v>
      </c>
      <c r="AB18" s="42">
        <v>592.7982142428</v>
      </c>
      <c r="AC18" s="42">
        <v>4015.3713777036</v>
      </c>
      <c r="AD18" s="42">
        <v>701.329528224</v>
      </c>
      <c r="AE18" s="42">
        <v>851.798724084</v>
      </c>
      <c r="AF18" s="42">
        <v>347.1281908992</v>
      </c>
      <c r="AG18" s="42">
        <v>1074.182301738</v>
      </c>
      <c r="AH18" s="42">
        <v>322.4629147392</v>
      </c>
      <c r="AI18" s="42">
        <v>113.815185372</v>
      </c>
      <c r="AJ18" s="42">
        <v>822.3504015492</v>
      </c>
      <c r="AK18" s="42">
        <v>1014.1394322456</v>
      </c>
      <c r="AL18" s="42">
        <v>181.7944022196</v>
      </c>
      <c r="AM18" s="42">
        <v>187.720599906</v>
      </c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BA18" s="116">
        <f>31536000/10^9</f>
        <v>0.031536</v>
      </c>
      <c r="BB18" s="117" t="s">
        <v>79</v>
      </c>
      <c r="BD18" s="78">
        <f>1/BA18</f>
        <v>31.7097919837646</v>
      </c>
      <c r="BE18" s="99" t="s">
        <v>80</v>
      </c>
      <c r="BF18" s="99" t="s">
        <v>81</v>
      </c>
      <c r="BJ18" s="78">
        <f>100/BD18</f>
        <v>3.1536</v>
      </c>
      <c r="BK18" s="104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2"/>
      <c r="F19" s="42"/>
      <c r="G19" s="42">
        <v>0.0863988048</v>
      </c>
      <c r="H19" s="42">
        <v>0.0513552888</v>
      </c>
      <c r="I19" s="42">
        <v>0.2918660148</v>
      </c>
      <c r="J19" s="42">
        <v>2.319026652</v>
      </c>
      <c r="K19" s="42"/>
      <c r="L19" s="42">
        <v>245.3630136732</v>
      </c>
      <c r="M19" s="42">
        <v>0.0128869704</v>
      </c>
      <c r="N19" s="42">
        <v>0.3348853848</v>
      </c>
      <c r="O19" s="42">
        <v>1.1790573084</v>
      </c>
      <c r="P19" s="42">
        <v>1.2096000144</v>
      </c>
      <c r="Q19" s="42">
        <v>0.0738593388</v>
      </c>
      <c r="R19" s="42">
        <v>0.423348282</v>
      </c>
      <c r="S19" s="42">
        <v>0.0811987992</v>
      </c>
      <c r="T19" s="42"/>
      <c r="U19" s="42">
        <v>0.0975901212</v>
      </c>
      <c r="V19" s="42">
        <v>0.4974462684</v>
      </c>
      <c r="W19" s="42"/>
      <c r="X19" s="42">
        <v>2.9411097696</v>
      </c>
      <c r="Y19" s="42"/>
      <c r="Z19" s="42">
        <v>28.0445136156</v>
      </c>
      <c r="AA19" s="42">
        <v>3.0923997876</v>
      </c>
      <c r="AB19" s="42">
        <v>0.1181054412</v>
      </c>
      <c r="AC19" s="42">
        <v>1.7672650272</v>
      </c>
      <c r="AD19" s="42">
        <v>0.5507986608</v>
      </c>
      <c r="AE19" s="42"/>
      <c r="AF19" s="42">
        <v>0.1933506108</v>
      </c>
      <c r="AG19" s="42">
        <v>0.6004206144</v>
      </c>
      <c r="AH19" s="42">
        <v>1.3584365676</v>
      </c>
      <c r="AI19" s="42"/>
      <c r="AJ19" s="42"/>
      <c r="AK19" s="42">
        <v>1.31936535</v>
      </c>
      <c r="AL19" s="42"/>
      <c r="AM19" s="42">
        <v>0.0131381784</v>
      </c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BA19" s="117">
        <v>0.038</v>
      </c>
      <c r="BB19" s="117" t="s">
        <v>83</v>
      </c>
      <c r="BD19" s="78">
        <f>1/BA19</f>
        <v>26.3157894736842</v>
      </c>
      <c r="BE19" s="99" t="s">
        <v>80</v>
      </c>
      <c r="BF19" s="99" t="s">
        <v>81</v>
      </c>
      <c r="BJ19" s="78">
        <f>100/BD19</f>
        <v>3.8</v>
      </c>
      <c r="BK19" s="104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2">
        <v>715.6702937484</v>
      </c>
      <c r="F20" s="42">
        <v>1242.7521769944</v>
      </c>
      <c r="G20" s="42">
        <v>568.9218358728</v>
      </c>
      <c r="H20" s="42">
        <v>69.2441705448</v>
      </c>
      <c r="I20" s="42">
        <v>28.9159206732</v>
      </c>
      <c r="J20" s="42">
        <v>267.9120382788</v>
      </c>
      <c r="K20" s="42">
        <v>898.1818403796</v>
      </c>
      <c r="L20" s="42">
        <v>6001.894737324</v>
      </c>
      <c r="M20" s="42">
        <v>37.5854604444</v>
      </c>
      <c r="N20" s="42">
        <v>89.100002556</v>
      </c>
      <c r="O20" s="42">
        <v>329.1032339676</v>
      </c>
      <c r="P20" s="42">
        <v>722.6119997748</v>
      </c>
      <c r="Q20" s="42">
        <v>113.015318166</v>
      </c>
      <c r="R20" s="42">
        <v>138.8675228184</v>
      </c>
      <c r="S20" s="42">
        <v>5.2247370276</v>
      </c>
      <c r="T20" s="42">
        <v>1342.8800014104</v>
      </c>
      <c r="U20" s="42">
        <v>32.2326826992</v>
      </c>
      <c r="V20" s="42">
        <v>326.479734846</v>
      </c>
      <c r="W20" s="42">
        <v>1584.5382288072</v>
      </c>
      <c r="X20" s="42">
        <v>1707.7906162908</v>
      </c>
      <c r="Y20" s="42">
        <v>2359.623895398</v>
      </c>
      <c r="Z20" s="42">
        <v>18347.2493096016</v>
      </c>
      <c r="AA20" s="42">
        <v>27.8958696552</v>
      </c>
      <c r="AB20" s="42">
        <v>194.3168907456</v>
      </c>
      <c r="AC20" s="42">
        <v>4523.0065127928</v>
      </c>
      <c r="AD20" s="42">
        <v>1546.9669616148</v>
      </c>
      <c r="AE20" s="42">
        <v>1019.3706881208</v>
      </c>
      <c r="AF20" s="42">
        <v>316.5744484944</v>
      </c>
      <c r="AG20" s="42">
        <v>271.1386919952</v>
      </c>
      <c r="AH20" s="42">
        <v>190.163074356</v>
      </c>
      <c r="AI20" s="42">
        <v>99.8733130308</v>
      </c>
      <c r="AJ20" s="42">
        <v>99.3079987344</v>
      </c>
      <c r="AK20" s="42">
        <v>515.3909183208</v>
      </c>
      <c r="AL20" s="42">
        <v>77.1504817968</v>
      </c>
      <c r="AM20" s="42">
        <v>39.1192108884</v>
      </c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>
        <v>0.0020808396</v>
      </c>
      <c r="R21" s="42"/>
      <c r="S21" s="42"/>
      <c r="T21" s="42">
        <v>0.0642003912</v>
      </c>
      <c r="U21" s="42"/>
      <c r="V21" s="42"/>
      <c r="W21" s="42"/>
      <c r="X21" s="42">
        <v>0.0904516272</v>
      </c>
      <c r="Y21" s="42"/>
      <c r="Z21" s="42"/>
      <c r="AA21" s="42"/>
      <c r="AB21" s="42"/>
      <c r="AC21" s="42">
        <v>0.3567614148</v>
      </c>
      <c r="AD21" s="42"/>
      <c r="AE21" s="42"/>
      <c r="AF21" s="42">
        <v>0.749311596</v>
      </c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0.3245565492</v>
      </c>
      <c r="Y22" s="42"/>
      <c r="Z22" s="42"/>
      <c r="AA22" s="42"/>
      <c r="AB22" s="42"/>
      <c r="AC22" s="42">
        <v>0.0283153284</v>
      </c>
      <c r="AD22" s="42"/>
      <c r="AE22" s="42"/>
      <c r="AF22" s="42">
        <v>2.5273995012</v>
      </c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2">
        <v>42.9399924588</v>
      </c>
      <c r="F23" s="42">
        <v>0.0246435048</v>
      </c>
      <c r="G23" s="42">
        <v>15.2077596948</v>
      </c>
      <c r="H23" s="42">
        <v>0.2193757596</v>
      </c>
      <c r="I23" s="42">
        <v>6.9182599464</v>
      </c>
      <c r="J23" s="42">
        <v>8.1889663068</v>
      </c>
      <c r="K23" s="42"/>
      <c r="L23" s="42">
        <v>78.3021574332</v>
      </c>
      <c r="M23" s="42">
        <v>3.6899356968</v>
      </c>
      <c r="N23" s="42">
        <v>4.0479992064</v>
      </c>
      <c r="O23" s="42">
        <v>2.4205649256</v>
      </c>
      <c r="P23" s="42">
        <v>15.5940003684</v>
      </c>
      <c r="Q23" s="42">
        <v>10.0846028088</v>
      </c>
      <c r="R23" s="42">
        <v>23.3167790556</v>
      </c>
      <c r="S23" s="42"/>
      <c r="T23" s="42">
        <v>8.13087027</v>
      </c>
      <c r="U23" s="42">
        <v>0.0665156916</v>
      </c>
      <c r="V23" s="42">
        <v>76.0717653372</v>
      </c>
      <c r="W23" s="42">
        <v>29.8482749784</v>
      </c>
      <c r="X23" s="42">
        <v>34.597140318</v>
      </c>
      <c r="Y23" s="42">
        <v>2.8085347476</v>
      </c>
      <c r="Z23" s="42">
        <v>73.8265059144</v>
      </c>
      <c r="AA23" s="42">
        <v>0.2147284116</v>
      </c>
      <c r="AB23" s="42">
        <v>89.0099989164</v>
      </c>
      <c r="AC23" s="42">
        <v>232.2317518668</v>
      </c>
      <c r="AD23" s="42">
        <v>59.5230824592</v>
      </c>
      <c r="AE23" s="42"/>
      <c r="AF23" s="42">
        <v>0.65408283</v>
      </c>
      <c r="AG23" s="42">
        <v>5.6658624624</v>
      </c>
      <c r="AH23" s="42"/>
      <c r="AI23" s="42">
        <v>0.0707485464</v>
      </c>
      <c r="AJ23" s="42">
        <v>154.28399868</v>
      </c>
      <c r="AK23" s="42">
        <v>2.89799829</v>
      </c>
      <c r="AL23" s="42">
        <v>83.334339342</v>
      </c>
      <c r="AM23" s="42">
        <v>10.48133979</v>
      </c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Y23" s="42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2">
        <v>20.3480531532</v>
      </c>
      <c r="F24" s="42">
        <v>0.0746883252</v>
      </c>
      <c r="G24" s="42">
        <v>3.1234532832</v>
      </c>
      <c r="H24" s="42">
        <v>0.7839866736</v>
      </c>
      <c r="I24" s="42">
        <v>0.8042507856</v>
      </c>
      <c r="J24" s="42">
        <v>3.83688819</v>
      </c>
      <c r="K24" s="42">
        <v>84.1730684256</v>
      </c>
      <c r="L24" s="42">
        <v>1028.3403293424</v>
      </c>
      <c r="M24" s="42">
        <v>0.3512432124</v>
      </c>
      <c r="N24" s="42">
        <v>3.1564536408</v>
      </c>
      <c r="O24" s="42">
        <v>6.812070138</v>
      </c>
      <c r="P24" s="42">
        <v>8.3365510068</v>
      </c>
      <c r="Q24" s="42">
        <v>0.749060388</v>
      </c>
      <c r="R24" s="42">
        <v>4.0482462276</v>
      </c>
      <c r="S24" s="42">
        <v>0.074441304</v>
      </c>
      <c r="T24" s="42">
        <v>123.3807422112</v>
      </c>
      <c r="U24" s="42"/>
      <c r="V24" s="42">
        <v>40.1888796732</v>
      </c>
      <c r="W24" s="42">
        <v>1.3990066596</v>
      </c>
      <c r="X24" s="42">
        <v>161.8819604856</v>
      </c>
      <c r="Y24" s="42">
        <v>279.4431134988</v>
      </c>
      <c r="Z24" s="42">
        <v>54.3484446804</v>
      </c>
      <c r="AA24" s="42">
        <v>2.3698250964</v>
      </c>
      <c r="AB24" s="42">
        <v>0.7183669572</v>
      </c>
      <c r="AC24" s="42">
        <v>364.8950357976</v>
      </c>
      <c r="AD24" s="42">
        <v>8.905616676</v>
      </c>
      <c r="AE24" s="42"/>
      <c r="AF24" s="42">
        <v>0.0073310868</v>
      </c>
      <c r="AG24" s="42">
        <v>8.86816575</v>
      </c>
      <c r="AH24" s="42">
        <v>5.2760630088</v>
      </c>
      <c r="AI24" s="42">
        <v>0.5840879076</v>
      </c>
      <c r="AJ24" s="42">
        <v>3.3435910404</v>
      </c>
      <c r="AK24" s="42">
        <v>0.5697020628</v>
      </c>
      <c r="AL24" s="42">
        <v>1.3454993556</v>
      </c>
      <c r="AM24" s="42">
        <v>0.5497184664</v>
      </c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Y24" s="42"/>
      <c r="BA24" s="118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2"/>
      <c r="F25" s="42"/>
      <c r="G25" s="42"/>
      <c r="H25" s="42">
        <v>0.0770119992</v>
      </c>
      <c r="I25" s="42">
        <v>0.128388222</v>
      </c>
      <c r="J25" s="42">
        <v>0.0693459684</v>
      </c>
      <c r="K25" s="42">
        <v>4.3922839572</v>
      </c>
      <c r="L25" s="42"/>
      <c r="M25" s="42"/>
      <c r="N25" s="42">
        <v>0.1849979448</v>
      </c>
      <c r="O25" s="42">
        <v>0.3419317692</v>
      </c>
      <c r="P25" s="42">
        <v>0.5937259212</v>
      </c>
      <c r="Q25" s="42"/>
      <c r="R25" s="42"/>
      <c r="S25" s="42"/>
      <c r="T25" s="42"/>
      <c r="U25" s="42"/>
      <c r="V25" s="42"/>
      <c r="W25" s="42"/>
      <c r="X25" s="42"/>
      <c r="Y25" s="42"/>
      <c r="Z25" s="42">
        <v>17.2090333476</v>
      </c>
      <c r="AA25" s="42"/>
      <c r="AB25" s="42"/>
      <c r="AC25" s="42">
        <v>0.0012602268</v>
      </c>
      <c r="AD25" s="42"/>
      <c r="AE25" s="42"/>
      <c r="AF25" s="42"/>
      <c r="AG25" s="42"/>
      <c r="AH25" s="42"/>
      <c r="AI25" s="42">
        <v>0.0129832668</v>
      </c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2"/>
      <c r="F26" s="42">
        <v>0.1461570012</v>
      </c>
      <c r="G26" s="42"/>
      <c r="H26" s="42">
        <v>0.0042998436</v>
      </c>
      <c r="I26" s="42"/>
      <c r="J26" s="42">
        <v>0.0026293104</v>
      </c>
      <c r="K26" s="42"/>
      <c r="L26" s="42"/>
      <c r="M26" s="42">
        <v>0.0042998436</v>
      </c>
      <c r="N26" s="42">
        <v>0.0131632992</v>
      </c>
      <c r="O26" s="42"/>
      <c r="P26" s="42"/>
      <c r="Q26" s="42"/>
      <c r="R26" s="42"/>
      <c r="S26" s="42"/>
      <c r="T26" s="42"/>
      <c r="U26" s="42"/>
      <c r="V26" s="42"/>
      <c r="W26" s="42">
        <v>0.0359897328</v>
      </c>
      <c r="X26" s="42"/>
      <c r="Y26" s="42"/>
      <c r="Z26" s="42"/>
      <c r="AA26" s="42"/>
      <c r="AB26" s="42"/>
      <c r="AC26" s="42">
        <v>1.4617458576</v>
      </c>
      <c r="AD26" s="42">
        <v>0.2425245768</v>
      </c>
      <c r="AE26" s="42"/>
      <c r="AF26" s="42"/>
      <c r="AG26" s="42"/>
      <c r="AH26" s="42"/>
      <c r="AI26" s="42"/>
      <c r="AJ26" s="42"/>
      <c r="AK26" s="42">
        <v>0.410683212</v>
      </c>
      <c r="AL26" s="42">
        <v>0.197847234</v>
      </c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2">
        <v>2.6678205864</v>
      </c>
      <c r="F27" s="42">
        <v>15.0845547312</v>
      </c>
      <c r="G27" s="42">
        <v>47.6682922368</v>
      </c>
      <c r="H27" s="42">
        <v>1.3269476448</v>
      </c>
      <c r="I27" s="42">
        <v>4.6106423244</v>
      </c>
      <c r="J27" s="42">
        <v>1.8967627512</v>
      </c>
      <c r="K27" s="42">
        <v>40.7857708152</v>
      </c>
      <c r="L27" s="42">
        <v>114.1181799012</v>
      </c>
      <c r="M27" s="42">
        <v>0.9207945504</v>
      </c>
      <c r="N27" s="42">
        <v>3.2801987016</v>
      </c>
      <c r="O27" s="42">
        <v>4.9130172072</v>
      </c>
      <c r="P27" s="42">
        <v>10.7351980344</v>
      </c>
      <c r="Q27" s="42">
        <v>0.4441483044</v>
      </c>
      <c r="R27" s="42">
        <v>7.4542708296</v>
      </c>
      <c r="S27" s="42"/>
      <c r="T27" s="42">
        <v>109.9560192192</v>
      </c>
      <c r="U27" s="42">
        <v>1.6395048252</v>
      </c>
      <c r="V27" s="42">
        <v>1.8318003624</v>
      </c>
      <c r="W27" s="42">
        <v>6.6902007636</v>
      </c>
      <c r="X27" s="42">
        <v>1.9532133756</v>
      </c>
      <c r="Y27" s="42">
        <v>3.4297930656</v>
      </c>
      <c r="Z27" s="42">
        <v>683.8874910828</v>
      </c>
      <c r="AA27" s="42">
        <v>0.5694759756</v>
      </c>
      <c r="AB27" s="42">
        <v>3.5821925856</v>
      </c>
      <c r="AC27" s="42">
        <v>77.809040316</v>
      </c>
      <c r="AD27" s="42">
        <v>172.0139788044</v>
      </c>
      <c r="AE27" s="42"/>
      <c r="AF27" s="42">
        <v>5.0480498808</v>
      </c>
      <c r="AG27" s="42">
        <v>3.8659069008</v>
      </c>
      <c r="AH27" s="42">
        <v>4.5532580436</v>
      </c>
      <c r="AI27" s="42">
        <v>0.3794371236</v>
      </c>
      <c r="AJ27" s="42">
        <v>4.8563991108</v>
      </c>
      <c r="AK27" s="42">
        <v>27.0309772584</v>
      </c>
      <c r="AL27" s="42">
        <v>1.4202295488</v>
      </c>
      <c r="AM27" s="42">
        <v>0.7832079288</v>
      </c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2">
        <v>7.7860747296</v>
      </c>
      <c r="F28" s="42">
        <v>0.1818871524</v>
      </c>
      <c r="G28" s="42">
        <v>11.6640019332</v>
      </c>
      <c r="H28" s="42">
        <v>7.15220577</v>
      </c>
      <c r="I28" s="42">
        <v>0.3407175972</v>
      </c>
      <c r="J28" s="42">
        <v>12.1599032724</v>
      </c>
      <c r="K28" s="42">
        <v>8.102044152</v>
      </c>
      <c r="L28" s="42">
        <v>351.0923243148</v>
      </c>
      <c r="M28" s="42">
        <v>1.6635579912</v>
      </c>
      <c r="N28" s="42">
        <v>7.4760924312</v>
      </c>
      <c r="O28" s="42">
        <v>30.4929082008</v>
      </c>
      <c r="P28" s="42">
        <v>40.5684005328</v>
      </c>
      <c r="Q28" s="42">
        <v>0.6561594828</v>
      </c>
      <c r="R28" s="42">
        <v>8.8579373976</v>
      </c>
      <c r="S28" s="42"/>
      <c r="T28" s="42">
        <v>68.9327982288</v>
      </c>
      <c r="U28" s="42">
        <v>0.1866098628</v>
      </c>
      <c r="V28" s="42">
        <v>19.9794682152</v>
      </c>
      <c r="W28" s="42">
        <v>62.294203962</v>
      </c>
      <c r="X28" s="42">
        <v>5.2044101136</v>
      </c>
      <c r="Y28" s="42"/>
      <c r="Z28" s="42">
        <v>30.3831219312</v>
      </c>
      <c r="AA28" s="42">
        <v>2.1131993772</v>
      </c>
      <c r="AB28" s="42">
        <v>11.3277725856</v>
      </c>
      <c r="AC28" s="42">
        <v>50.950467108</v>
      </c>
      <c r="AD28" s="42">
        <v>192.8264401872</v>
      </c>
      <c r="AE28" s="42"/>
      <c r="AF28" s="42">
        <v>9.3600017064</v>
      </c>
      <c r="AG28" s="42">
        <v>14.2327418976</v>
      </c>
      <c r="AH28" s="42">
        <v>13.2546426156</v>
      </c>
      <c r="AI28" s="42">
        <v>10.9500018084</v>
      </c>
      <c r="AJ28" s="42">
        <v>4.6356207732</v>
      </c>
      <c r="AK28" s="42">
        <v>20.3567742576</v>
      </c>
      <c r="AL28" s="42">
        <v>19.2675573036</v>
      </c>
      <c r="AM28" s="42">
        <v>1.6868575332</v>
      </c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2"/>
      <c r="F29" s="42"/>
      <c r="G29" s="42">
        <v>0.0445559256</v>
      </c>
      <c r="H29" s="42"/>
      <c r="I29" s="42"/>
      <c r="J29" s="42"/>
      <c r="K29" s="42"/>
      <c r="L29" s="42"/>
      <c r="M29" s="42"/>
      <c r="N29" s="42"/>
      <c r="O29" s="42"/>
      <c r="P29" s="42"/>
      <c r="Q29" s="42">
        <v>0.010111122</v>
      </c>
      <c r="R29" s="42"/>
      <c r="S29" s="42"/>
      <c r="T29" s="42"/>
      <c r="U29" s="42"/>
      <c r="V29" s="42"/>
      <c r="W29" s="42"/>
      <c r="X29" s="42">
        <v>0.0222193476</v>
      </c>
      <c r="Y29" s="42"/>
      <c r="Z29" s="42"/>
      <c r="AA29" s="42"/>
      <c r="AB29" s="42"/>
      <c r="AC29" s="42">
        <v>0.0826767396</v>
      </c>
      <c r="AD29" s="42">
        <v>1.1968009668</v>
      </c>
      <c r="AE29" s="42"/>
      <c r="AF29" s="42">
        <v>1.3372053048</v>
      </c>
      <c r="AG29" s="42"/>
      <c r="AH29" s="42">
        <v>8.79228e-5</v>
      </c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2">
        <v>4.2400016676</v>
      </c>
      <c r="F30" s="42"/>
      <c r="G30" s="42">
        <v>0.0017040276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>
        <v>0.0223030836</v>
      </c>
      <c r="AD30" s="42">
        <v>0.0871984836</v>
      </c>
      <c r="AE30" s="42"/>
      <c r="AF30" s="42">
        <v>3.0902728932</v>
      </c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2"/>
      <c r="F31" s="42"/>
      <c r="G31" s="42"/>
      <c r="H31" s="42"/>
      <c r="I31" s="42"/>
      <c r="J31" s="42">
        <v>0.1182477924</v>
      </c>
      <c r="K31" s="42"/>
      <c r="L31" s="42"/>
      <c r="M31" s="42"/>
      <c r="N31" s="42"/>
      <c r="O31" s="42">
        <v>0.1783828008</v>
      </c>
      <c r="P31" s="42"/>
      <c r="Q31" s="42">
        <v>0.0169649136</v>
      </c>
      <c r="R31" s="42"/>
      <c r="S31" s="42">
        <v>4.1868e-5</v>
      </c>
      <c r="T31" s="42"/>
      <c r="U31" s="42"/>
      <c r="V31" s="42"/>
      <c r="W31" s="42"/>
      <c r="X31" s="42"/>
      <c r="Y31" s="42"/>
      <c r="Z31" s="42">
        <v>4.5131526864</v>
      </c>
      <c r="AA31" s="42"/>
      <c r="AB31" s="42"/>
      <c r="AC31" s="42">
        <v>0.2565629172</v>
      </c>
      <c r="AD31" s="42"/>
      <c r="AE31" s="42"/>
      <c r="AF31" s="42"/>
      <c r="AG31" s="42">
        <v>0.1059637212</v>
      </c>
      <c r="AH31" s="42">
        <v>0.16820469</v>
      </c>
      <c r="AI31" s="42">
        <v>0.0289684692</v>
      </c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2">
        <v>2.251598238</v>
      </c>
      <c r="F32" s="42">
        <v>20.462294178</v>
      </c>
      <c r="G32" s="42">
        <v>12.196211202</v>
      </c>
      <c r="H32" s="42">
        <v>1.039142826</v>
      </c>
      <c r="I32" s="42">
        <v>0.5173754364</v>
      </c>
      <c r="J32" s="42">
        <v>17.810081982</v>
      </c>
      <c r="K32" s="42">
        <v>13.3221798864</v>
      </c>
      <c r="L32" s="42">
        <v>622.7079095772</v>
      </c>
      <c r="M32" s="42">
        <v>2.0970592632</v>
      </c>
      <c r="N32" s="42">
        <v>0.2129992632</v>
      </c>
      <c r="O32" s="42">
        <v>7.3308230316</v>
      </c>
      <c r="P32" s="42">
        <v>11.2463979408</v>
      </c>
      <c r="Q32" s="42">
        <v>12.4834633632</v>
      </c>
      <c r="R32" s="42">
        <v>2.037966768</v>
      </c>
      <c r="S32" s="42">
        <v>0.5060878236</v>
      </c>
      <c r="T32" s="42">
        <v>35.0816619348</v>
      </c>
      <c r="U32" s="42">
        <v>3.6805991328</v>
      </c>
      <c r="V32" s="42">
        <v>10.8362171448</v>
      </c>
      <c r="W32" s="42">
        <v>42.246633258</v>
      </c>
      <c r="X32" s="42">
        <v>34.985403216</v>
      </c>
      <c r="Y32" s="42"/>
      <c r="Z32" s="42">
        <v>204.4855812456</v>
      </c>
      <c r="AA32" s="42">
        <v>36.077299722</v>
      </c>
      <c r="AB32" s="42">
        <v>0.077958216</v>
      </c>
      <c r="AC32" s="42">
        <v>246.6527992812</v>
      </c>
      <c r="AD32" s="42">
        <v>17.1489569544</v>
      </c>
      <c r="AE32" s="42"/>
      <c r="AF32" s="42">
        <v>11.0169654876</v>
      </c>
      <c r="AG32" s="42">
        <v>20.6911153584</v>
      </c>
      <c r="AH32" s="42">
        <v>10.993741308</v>
      </c>
      <c r="AI32" s="42">
        <v>0.9950097672</v>
      </c>
      <c r="AJ32" s="42">
        <v>14.8248014724</v>
      </c>
      <c r="AK32" s="42">
        <v>36.8485752708</v>
      </c>
      <c r="AL32" s="42">
        <v>5.6338711236</v>
      </c>
      <c r="AM32" s="42">
        <v>1.5225465672</v>
      </c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2"/>
      <c r="F33" s="42">
        <v>2.8287653652</v>
      </c>
      <c r="G33" s="42">
        <v>11.2423199976</v>
      </c>
      <c r="H33" s="42">
        <v>0.0985614588</v>
      </c>
      <c r="I33" s="42">
        <v>0.0038267352</v>
      </c>
      <c r="J33" s="42">
        <v>0.0018463788</v>
      </c>
      <c r="K33" s="42"/>
      <c r="L33" s="42"/>
      <c r="M33" s="42"/>
      <c r="N33" s="42"/>
      <c r="O33" s="42">
        <v>13.1102859384</v>
      </c>
      <c r="P33" s="42"/>
      <c r="Q33" s="42">
        <v>0.0027716616</v>
      </c>
      <c r="R33" s="42"/>
      <c r="S33" s="42"/>
      <c r="T33" s="42"/>
      <c r="U33" s="42"/>
      <c r="V33" s="42">
        <v>0.0174673296</v>
      </c>
      <c r="W33" s="42"/>
      <c r="X33" s="42">
        <v>0.3360283812</v>
      </c>
      <c r="Y33" s="42"/>
      <c r="Z33" s="42">
        <v>198.2089986408</v>
      </c>
      <c r="AA33" s="42">
        <v>2.637097848</v>
      </c>
      <c r="AB33" s="42"/>
      <c r="AC33" s="42">
        <v>9.0982597176</v>
      </c>
      <c r="AD33" s="42">
        <v>0.5852015964</v>
      </c>
      <c r="AE33" s="42"/>
      <c r="AF33" s="42">
        <v>0.0382296708</v>
      </c>
      <c r="AG33" s="42"/>
      <c r="AH33" s="42">
        <v>1.3640008248</v>
      </c>
      <c r="AI33" s="42">
        <v>0.5246981496</v>
      </c>
      <c r="AJ33" s="42"/>
      <c r="AK33" s="42"/>
      <c r="AL33" s="42"/>
      <c r="AM33" s="42">
        <v>0.2992012884</v>
      </c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2">
        <v>9.781474302</v>
      </c>
      <c r="F34" s="42">
        <v>0.2633162256</v>
      </c>
      <c r="G34" s="42">
        <v>5.7484010376</v>
      </c>
      <c r="H34" s="42"/>
      <c r="I34" s="42"/>
      <c r="J34" s="42">
        <v>0.0280013184</v>
      </c>
      <c r="K34" s="42">
        <v>40.9893539652</v>
      </c>
      <c r="L34" s="42">
        <v>395.318158416</v>
      </c>
      <c r="M34" s="42"/>
      <c r="N34" s="42"/>
      <c r="O34" s="42">
        <v>0.4738787712</v>
      </c>
      <c r="P34" s="42"/>
      <c r="Q34" s="42">
        <v>14.360242518</v>
      </c>
      <c r="R34" s="42"/>
      <c r="S34" s="42">
        <v>0.1928816892</v>
      </c>
      <c r="T34" s="42">
        <v>29.293741692</v>
      </c>
      <c r="U34" s="42"/>
      <c r="V34" s="42">
        <v>15.0862796928</v>
      </c>
      <c r="W34" s="42">
        <v>88.7551818948</v>
      </c>
      <c r="X34" s="42">
        <v>16.62421275</v>
      </c>
      <c r="Y34" s="42"/>
      <c r="Z34" s="42">
        <v>38.4725638152</v>
      </c>
      <c r="AA34" s="42">
        <v>0.1321605288</v>
      </c>
      <c r="AB34" s="42"/>
      <c r="AC34" s="42">
        <v>24.9210100908</v>
      </c>
      <c r="AD34" s="42">
        <v>7.8600010572</v>
      </c>
      <c r="AE34" s="42"/>
      <c r="AF34" s="42"/>
      <c r="AG34" s="42">
        <v>25.9033589748</v>
      </c>
      <c r="AH34" s="42">
        <v>3.920917266</v>
      </c>
      <c r="AI34" s="42"/>
      <c r="AJ34" s="42">
        <v>1.3999989312</v>
      </c>
      <c r="AK34" s="42">
        <v>0.330401322</v>
      </c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>
        <v>3.1542220764</v>
      </c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2"/>
      <c r="F36" s="42"/>
      <c r="G36" s="42"/>
      <c r="H36" s="42"/>
      <c r="I36" s="42"/>
      <c r="J36" s="42">
        <v>-1.9816836156</v>
      </c>
      <c r="K36" s="42"/>
      <c r="L36" s="42"/>
      <c r="M36" s="42"/>
      <c r="N36" s="42"/>
      <c r="O36" s="42"/>
      <c r="P36" s="42"/>
      <c r="Q36" s="42">
        <v>-0.0015449292</v>
      </c>
      <c r="R36" s="42"/>
      <c r="S36" s="42"/>
      <c r="T36" s="42"/>
      <c r="U36" s="42"/>
      <c r="V36" s="42"/>
      <c r="W36" s="42"/>
      <c r="X36" s="42"/>
      <c r="Y36" s="42"/>
      <c r="Z36" s="42">
        <v>-8.568746748</v>
      </c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2">
        <v>-9.1431003456</v>
      </c>
      <c r="F37" s="42">
        <v>-35.0189646048</v>
      </c>
      <c r="G37" s="42">
        <v>-3.261370662</v>
      </c>
      <c r="H37" s="42">
        <v>-0.6130145088</v>
      </c>
      <c r="I37" s="42">
        <v>-16.5952987092</v>
      </c>
      <c r="J37" s="42">
        <v>-133.0551809712</v>
      </c>
      <c r="K37" s="42">
        <v>-19.718090478</v>
      </c>
      <c r="L37" s="42">
        <v>-32.5625606712</v>
      </c>
      <c r="M37" s="42">
        <v>-2.0533783788</v>
      </c>
      <c r="N37" s="42"/>
      <c r="O37" s="42">
        <v>-5.9298778836</v>
      </c>
      <c r="P37" s="42">
        <v>-30.0756014712</v>
      </c>
      <c r="Q37" s="42">
        <v>-21.6378806292</v>
      </c>
      <c r="R37" s="42">
        <v>-3.9072557376</v>
      </c>
      <c r="S37" s="42">
        <v>-1.9252204308</v>
      </c>
      <c r="T37" s="42">
        <v>-2.3815020816</v>
      </c>
      <c r="U37" s="42">
        <v>-5.431033224</v>
      </c>
      <c r="V37" s="42">
        <v>-38.059728588</v>
      </c>
      <c r="W37" s="42">
        <v>-5.2803126108</v>
      </c>
      <c r="X37" s="42">
        <v>-69.3036021708</v>
      </c>
      <c r="Y37" s="42">
        <v>-35.6048737704</v>
      </c>
      <c r="Z37" s="42">
        <v>-461.7399526524</v>
      </c>
      <c r="AA37" s="42">
        <v>-10.1505993372</v>
      </c>
      <c r="AB37" s="42">
        <v>-8.1779215284</v>
      </c>
      <c r="AC37" s="42">
        <v>-407.6181896976</v>
      </c>
      <c r="AD37" s="42">
        <v>-364.0144429008</v>
      </c>
      <c r="AE37" s="42"/>
      <c r="AF37" s="42">
        <v>-68.6750295132</v>
      </c>
      <c r="AG37" s="42">
        <v>-74.4356183256</v>
      </c>
      <c r="AH37" s="42">
        <v>-38.8497903084</v>
      </c>
      <c r="AI37" s="42">
        <v>-0.1114861104</v>
      </c>
      <c r="AJ37" s="42">
        <v>-6.1769995668</v>
      </c>
      <c r="AK37" s="42">
        <v>-67.5705014316</v>
      </c>
      <c r="AL37" s="42"/>
      <c r="AM37" s="42">
        <v>-2.0118118284</v>
      </c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2">
        <v>-26.7034690152</v>
      </c>
      <c r="F38" s="42">
        <v>-53.4079177416</v>
      </c>
      <c r="G38" s="42">
        <v>-28.8359402328</v>
      </c>
      <c r="H38" s="42"/>
      <c r="I38" s="42">
        <v>-10.7372411928</v>
      </c>
      <c r="J38" s="42">
        <v>-673.11487143</v>
      </c>
      <c r="K38" s="42">
        <v>-119.4358555152</v>
      </c>
      <c r="L38" s="42">
        <v>-443.043952164</v>
      </c>
      <c r="M38" s="42">
        <v>-6.7915506312</v>
      </c>
      <c r="N38" s="42"/>
      <c r="O38" s="42">
        <v>-65.1582389304</v>
      </c>
      <c r="P38" s="42">
        <v>-26.7199985016</v>
      </c>
      <c r="Q38" s="42">
        <v>-95.4450184068</v>
      </c>
      <c r="R38" s="42">
        <v>-0.7002171792</v>
      </c>
      <c r="S38" s="42">
        <v>-0.7731596088</v>
      </c>
      <c r="T38" s="42">
        <v>-65.7674392644</v>
      </c>
      <c r="U38" s="42">
        <v>-0.4159208988</v>
      </c>
      <c r="V38" s="42">
        <v>-167.7687896916</v>
      </c>
      <c r="W38" s="42">
        <v>-182.8881785988</v>
      </c>
      <c r="X38" s="42">
        <v>-291.7926034488</v>
      </c>
      <c r="Y38" s="42">
        <v>-833.7040485588</v>
      </c>
      <c r="Z38" s="42">
        <v>-544.7975487012</v>
      </c>
      <c r="AA38" s="42">
        <v>-1.4256012132</v>
      </c>
      <c r="AB38" s="42">
        <v>-3.2242002516</v>
      </c>
      <c r="AC38" s="42">
        <v>-2460.6435793896</v>
      </c>
      <c r="AD38" s="42">
        <v>-88.480000278</v>
      </c>
      <c r="AE38" s="42">
        <v>-135.0102909672</v>
      </c>
      <c r="AF38" s="42">
        <v>-57.6899339472</v>
      </c>
      <c r="AG38" s="42">
        <v>-261.79840593</v>
      </c>
      <c r="AH38" s="42">
        <v>-88.967678742</v>
      </c>
      <c r="AI38" s="42"/>
      <c r="AJ38" s="42">
        <v>-30.7200002328</v>
      </c>
      <c r="AK38" s="42">
        <v>-27.6513186672</v>
      </c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>
        <v>-6.9025133916</v>
      </c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2"/>
      <c r="F40" s="42"/>
      <c r="G40" s="42"/>
      <c r="H40" s="42"/>
      <c r="I40" s="42">
        <v>-0.8522985024</v>
      </c>
      <c r="J40" s="42">
        <v>-2.8695364236</v>
      </c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>
        <v>-2.2015199232</v>
      </c>
      <c r="AB40" s="42"/>
      <c r="AC40" s="42"/>
      <c r="AD40" s="42"/>
      <c r="AE40" s="42"/>
      <c r="AF40" s="42"/>
      <c r="AG40" s="42">
        <v>-1.4913004788</v>
      </c>
      <c r="AH40" s="42">
        <v>-0.74190096</v>
      </c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</row>
    <row r="41" spans="1:53"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  <c r="AQ41" s="76"/>
      <c r="AR41" s="76"/>
      <c r="AS41" s="76"/>
      <c r="AT41" s="76"/>
      <c r="AU41" s="76"/>
      <c r="AV41" s="76"/>
      <c r="AW41" s="76"/>
      <c r="AX41" s="76"/>
      <c r="AY41" s="76"/>
    </row>
    <row r="42" spans="1:53">
      <c r="E42" s="76">
        <f t="shared" ref="E42:AY42" si="1">SUMIF($A$5:$A$40,"RR",E$5:E$40)</f>
        <v>1905.67278495</v>
      </c>
      <c r="F42" s="76">
        <f t="shared" si="1"/>
        <v>2248.4138751504</v>
      </c>
      <c r="G42" s="76">
        <f t="shared" si="1"/>
        <v>1227.7259150796</v>
      </c>
      <c r="H42" s="76">
        <f t="shared" si="1"/>
        <v>357.700011624</v>
      </c>
      <c r="I42" s="76">
        <f t="shared" si="1"/>
        <v>168.8859284148</v>
      </c>
      <c r="J42" s="76">
        <f t="shared" si="1"/>
        <v>896.1065859708</v>
      </c>
      <c r="K42" s="76">
        <f t="shared" si="1"/>
        <v>3358.6101093924</v>
      </c>
      <c r="L42" s="76">
        <f t="shared" si="1"/>
        <v>11824.1463549384</v>
      </c>
      <c r="M42" s="76">
        <f t="shared" si="1"/>
        <v>171.3230102664</v>
      </c>
      <c r="N42" s="76">
        <f t="shared" si="1"/>
        <v>386.430942726</v>
      </c>
      <c r="O42" s="76">
        <f t="shared" si="1"/>
        <v>1794.7180967004</v>
      </c>
      <c r="P42" s="76">
        <f t="shared" si="1"/>
        <v>2298.112057818</v>
      </c>
      <c r="Q42" s="76">
        <f t="shared" si="1"/>
        <v>245.6019920304</v>
      </c>
      <c r="R42" s="76">
        <f t="shared" si="1"/>
        <v>619.0658290044</v>
      </c>
      <c r="S42" s="76">
        <f t="shared" si="1"/>
        <v>13.9024117512</v>
      </c>
      <c r="T42" s="76">
        <f t="shared" si="1"/>
        <v>4125.461307534</v>
      </c>
      <c r="U42" s="76">
        <f t="shared" si="1"/>
        <v>165.4460619084</v>
      </c>
      <c r="V42" s="76">
        <f t="shared" si="1"/>
        <v>1418.977653732</v>
      </c>
      <c r="W42" s="76">
        <f t="shared" si="1"/>
        <v>2615.2329841956</v>
      </c>
      <c r="X42" s="76">
        <f t="shared" si="1"/>
        <v>3516.5266762356</v>
      </c>
      <c r="Y42" s="76">
        <f t="shared" si="1"/>
        <v>4143.0712646628</v>
      </c>
      <c r="Z42" s="76">
        <f t="shared" si="1"/>
        <v>27174.5363041452</v>
      </c>
      <c r="AA42" s="76">
        <f t="shared" si="1"/>
        <v>144.1820708928</v>
      </c>
      <c r="AB42" s="76">
        <f t="shared" si="1"/>
        <v>934.790583186</v>
      </c>
      <c r="AC42" s="76">
        <f t="shared" si="1"/>
        <v>9606.4877245032</v>
      </c>
      <c r="AD42" s="76">
        <f t="shared" si="1"/>
        <v>2683.7149310532</v>
      </c>
      <c r="AE42" s="76">
        <f t="shared" si="1"/>
        <v>1871.1694122048</v>
      </c>
      <c r="AF42" s="76">
        <f t="shared" si="1"/>
        <v>686.6696448036</v>
      </c>
      <c r="AG42" s="76">
        <f t="shared" si="1"/>
        <v>1457.9364222576</v>
      </c>
      <c r="AH42" s="76">
        <f t="shared" si="1"/>
        <v>618.1133529384</v>
      </c>
      <c r="AI42" s="76">
        <f t="shared" si="1"/>
        <v>233.2980167832</v>
      </c>
      <c r="AJ42" s="76">
        <f t="shared" si="1"/>
        <v>1095.7843098648</v>
      </c>
      <c r="AK42" s="76">
        <f t="shared" si="1"/>
        <v>1651.0165741512</v>
      </c>
      <c r="AL42" s="76">
        <f t="shared" si="1"/>
        <v>368.19933372</v>
      </c>
      <c r="AM42" s="76">
        <f t="shared" si="1"/>
        <v>245.389331898</v>
      </c>
      <c r="AN42" s="76">
        <f t="shared" si="1"/>
        <v>0</v>
      </c>
      <c r="AO42" s="76">
        <f t="shared" si="1"/>
        <v>0</v>
      </c>
      <c r="AP42" s="76">
        <f t="shared" si="1"/>
        <v>0</v>
      </c>
      <c r="AQ42" s="76">
        <f t="shared" si="1"/>
        <v>0</v>
      </c>
      <c r="AR42" s="76">
        <f t="shared" si="1"/>
        <v>0</v>
      </c>
      <c r="AS42" s="76">
        <f t="shared" si="1"/>
        <v>0</v>
      </c>
      <c r="AT42" s="76">
        <f t="shared" si="1"/>
        <v>0</v>
      </c>
      <c r="AU42" s="76">
        <f t="shared" si="1"/>
        <v>0</v>
      </c>
      <c r="AV42" s="76">
        <f t="shared" si="1"/>
        <v>0</v>
      </c>
      <c r="AW42" s="76">
        <f t="shared" si="1"/>
        <v>0</v>
      </c>
      <c r="AX42" s="76">
        <f t="shared" si="1"/>
        <v>0</v>
      </c>
      <c r="AY42" s="76">
        <f t="shared" si="1"/>
        <v>0</v>
      </c>
    </row>
    <row r="43" spans="1:53">
      <c r="E43" s="76">
        <f ca="1">SUM(Assumptions!BD3:BD103)</f>
        <v>1905.67278495</v>
      </c>
      <c r="F43" s="76">
        <f ca="1">SUM(Assumptions!BU3:BU103)</f>
        <v>1417.703359284</v>
      </c>
      <c r="G43" s="76">
        <f ca="1">SUM(Assumptions!BV3:BV103)</f>
        <v>2598.5961356832</v>
      </c>
      <c r="H43" s="76">
        <f ca="1">SUM(Assumptions!BW3:BW103)</f>
        <v>3463.0221355236</v>
      </c>
      <c r="I43" s="76">
        <f ca="1">SUM(Assumptions!BX3:BX103)</f>
        <v>4143.0712646628</v>
      </c>
      <c r="J43" s="76">
        <f ca="1">SUM(Assumptions!BY3:BY103)</f>
        <v>25739.3339714268</v>
      </c>
      <c r="K43" s="76">
        <f ca="1">SUM(Assumptions!BZ3:BZ103)</f>
        <v>142.3981842696</v>
      </c>
      <c r="L43" s="76">
        <f ca="1">SUM(Assumptions!CA3:CA103)</f>
        <v>926.9479489752</v>
      </c>
      <c r="M43" s="76">
        <f ca="1">SUM(Assumptions!CB3:CB103)</f>
        <v>9552.664028214</v>
      </c>
      <c r="N43" s="76">
        <f ca="1">SUM(Assumptions!CC3:CC103)</f>
        <v>2683.7149310532</v>
      </c>
      <c r="O43" s="76">
        <f ca="1">SUM(Assumptions!CD3:CD103)</f>
        <v>1871.1694122048</v>
      </c>
      <c r="P43" s="76">
        <f ca="1">SUM(Assumptions!CE3:CE103)</f>
        <v>683.3929337064</v>
      </c>
      <c r="Q43" s="76">
        <f ca="1">SUM(Assumptions!CF3:CF103)</f>
        <v>1452.138763518</v>
      </c>
      <c r="R43" s="76">
        <f ca="1">SUM(Assumptions!CG3:CG103)</f>
        <v>608.733526734</v>
      </c>
      <c r="S43" s="76">
        <f ca="1">SUM(Assumptions!CH3:CH103)</f>
        <v>231.9590069676</v>
      </c>
      <c r="T43" s="76">
        <f ca="1">SUM(Assumptions!CI3:CI103)</f>
        <v>1093.5575100432</v>
      </c>
      <c r="U43" s="76">
        <f ca="1">SUM(Assumptions!CJ3:CJ103)</f>
        <v>1635.0014528784</v>
      </c>
      <c r="V43" s="76">
        <f ca="1">SUM(Assumptions!CK3:CK103)</f>
        <v>364.5103568004</v>
      </c>
      <c r="W43" s="76">
        <f ca="1">SUM(Assumptions!CL3:CL103)</f>
        <v>245.389331898</v>
      </c>
      <c r="X43" s="76">
        <f ca="1">SUM(Assumptions!CM3:CM103)</f>
        <v>0</v>
      </c>
      <c r="Y43" s="76">
        <f ca="1">SUM(Assumptions!CN3:CN103)</f>
        <v>0</v>
      </c>
      <c r="Z43" s="76">
        <f ca="1">SUM(Assumptions!CO3:CO103)</f>
        <v>0</v>
      </c>
      <c r="AA43" s="76">
        <f ca="1">SUM(Assumptions!CP3:CP103)</f>
        <v>0</v>
      </c>
      <c r="AB43" s="76">
        <f ca="1">SUM(Assumptions!CQ3:CQ103)</f>
        <v>0</v>
      </c>
      <c r="AC43" s="76">
        <f ca="1">SUM(Assumptions!CR3:CR103)</f>
        <v>0</v>
      </c>
      <c r="AD43" s="76">
        <f ca="1">SUM(Assumptions!CS3:CS103)</f>
        <v>0</v>
      </c>
      <c r="AE43" s="76">
        <f ca="1">SUM(Assumptions!CT3:CT103)</f>
        <v>0</v>
      </c>
      <c r="AF43" s="76">
        <f ca="1">SUM(Assumptions!CU3:CU103)</f>
        <v>0</v>
      </c>
      <c r="AG43" s="76">
        <f ca="1">SUM(Assumptions!CV3:CV103)</f>
        <v>0</v>
      </c>
      <c r="AH43" s="76">
        <f ca="1">SUM(Assumptions!CW3:CW103)</f>
        <v>0</v>
      </c>
      <c r="AI43" s="76">
        <f>SUM(Assumptions!CX3:CX103)</f>
        <v>0</v>
      </c>
      <c r="AJ43" s="76">
        <f ca="1">SUM(Assumptions!CY3:CY103)</f>
        <v>75.3</v>
      </c>
      <c r="AK43" s="76">
        <f ca="1">SUM(Assumptions!DP3:DP103)</f>
        <v>74.136</v>
      </c>
      <c r="AL43" s="76">
        <f ca="1">SUM(Assumptions!DQ3:DQ103)</f>
        <v>73.96</v>
      </c>
      <c r="AM43" s="76">
        <f ca="1">SUM(Assumptions!DR3:DR103)</f>
        <v>75</v>
      </c>
      <c r="AN43" s="76">
        <f ca="1">SUM(Assumptions!DS3:DS103)</f>
        <v>74.436</v>
      </c>
      <c r="AO43" s="76">
        <f ca="1">SUM(Assumptions!DT3:DT103)</f>
        <v>73.6032309765692</v>
      </c>
      <c r="AP43" s="76">
        <f ca="1">SUM(Assumptions!DU3:DU103)</f>
        <v>74.136</v>
      </c>
      <c r="AQ43" s="76">
        <f ca="1">SUM(Assumptions!DV3:DV103)</f>
        <v>75.86</v>
      </c>
      <c r="AR43" s="76">
        <f ca="1">SUM(Assumptions!DW3:DW103)</f>
        <v>73.8</v>
      </c>
      <c r="AS43" s="76">
        <f ca="1">SUM(Assumptions!DX3:DX103)</f>
        <v>74.46</v>
      </c>
      <c r="AT43" s="76">
        <f ca="1">SUM(Assumptions!DY3:DY103)</f>
        <v>74.436</v>
      </c>
      <c r="AU43" s="76">
        <f ca="1">SUM(Assumptions!DZ3:DZ103)</f>
        <v>75.3</v>
      </c>
      <c r="AV43" s="76">
        <f ca="1">SUM(Assumptions!EA3:EA103)</f>
        <v>74.136</v>
      </c>
      <c r="AW43" s="76">
        <f ca="1">SUM(Assumptions!EB3:EB103)</f>
        <v>74.136</v>
      </c>
      <c r="AX43" s="76">
        <f ca="1">SUM(Assumptions!EC3:EC103)</f>
        <v>74.136</v>
      </c>
      <c r="AY43" s="76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19" t="s">
        <v>48</v>
      </c>
      <c r="B46" s="119" t="s">
        <v>66</v>
      </c>
      <c r="C46" s="88" t="s">
        <v>89</v>
      </c>
      <c r="D46" s="88" t="s">
        <v>90</v>
      </c>
      <c r="E46" s="120">
        <f>IFERROR(SUMIFS(E$5:E$39,$C$5:$C$39,"TR",$D$5:$D$39,$A46)/SUMIFS(E$5:E$39,$C$5:$C$39,"TR",$D$5:$D$39,$B46),"")</f>
        <v>0</v>
      </c>
      <c r="F46" s="120">
        <f t="shared" ref="F46:AX46" si="4">IFERROR(SUMIFS(F$5:F$39,$C$5:$C$39,"TR",$D$5:$D$39,$A46)/SUMIFS(F$5:F$39,$C$5:$C$39,"TR",$D$5:$D$39,$B46),"")</f>
        <v>0.00154668594043321</v>
      </c>
      <c r="G46" s="120">
        <f t="shared" si="4"/>
        <v>0.00937422319222144</v>
      </c>
      <c r="H46" s="120">
        <f t="shared" si="4"/>
        <v>0.0341636572578982</v>
      </c>
      <c r="I46" s="120">
        <f t="shared" si="4"/>
        <v>0.0353607186558534</v>
      </c>
      <c r="J46" s="120">
        <f t="shared" si="4"/>
        <v>0.0543422220932431</v>
      </c>
      <c r="K46" s="120">
        <f t="shared" si="4"/>
        <v>0.262701313368659</v>
      </c>
      <c r="L46" s="120">
        <f t="shared" si="4"/>
        <v>0.0142888210067871</v>
      </c>
      <c r="M46" s="120">
        <f t="shared" si="4"/>
        <v>0.00578692551396977</v>
      </c>
      <c r="N46" s="120">
        <f t="shared" si="4"/>
        <v>0.0438686876708376</v>
      </c>
      <c r="O46" s="120">
        <f t="shared" si="4"/>
        <v>0.0831104964538051</v>
      </c>
      <c r="P46" s="120">
        <f t="shared" si="4"/>
        <v>0.0416509748769461</v>
      </c>
      <c r="Q46" s="120">
        <f t="shared" si="4"/>
        <v>0.00931873881780423</v>
      </c>
      <c r="R46" s="120">
        <f t="shared" si="4"/>
        <v>0.0528749179403314</v>
      </c>
      <c r="S46" s="120">
        <f t="shared" si="4"/>
        <v>0.032251602082527</v>
      </c>
      <c r="T46" s="120">
        <f t="shared" si="4"/>
        <v>0.0274192904415345</v>
      </c>
      <c r="U46" s="120">
        <f t="shared" si="4"/>
        <v>0.0340245632867295</v>
      </c>
      <c r="V46" s="120">
        <f t="shared" si="4"/>
        <v>0.00390313490238861</v>
      </c>
      <c r="W46" s="120">
        <f t="shared" si="4"/>
        <v>0.0104994932971253</v>
      </c>
      <c r="X46" s="120">
        <f t="shared" si="4"/>
        <v>0.0310866753975418</v>
      </c>
      <c r="Y46" s="120">
        <f t="shared" si="4"/>
        <v>0</v>
      </c>
      <c r="Z46" s="120">
        <f t="shared" si="4"/>
        <v>0.0782243871274655</v>
      </c>
      <c r="AA46" s="120">
        <f t="shared" si="4"/>
        <v>0.0639480555813204</v>
      </c>
      <c r="AB46" s="120">
        <f t="shared" si="4"/>
        <v>0.0403600231596315</v>
      </c>
      <c r="AC46" s="120">
        <f t="shared" si="4"/>
        <v>0.0118148447044803</v>
      </c>
      <c r="AD46" s="120">
        <f t="shared" si="4"/>
        <v>0</v>
      </c>
      <c r="AE46" s="120">
        <f t="shared" si="4"/>
        <v>0</v>
      </c>
      <c r="AF46" s="120">
        <f t="shared" si="4"/>
        <v>0</v>
      </c>
      <c r="AG46" s="120">
        <f t="shared" si="4"/>
        <v>0.0213826315120774</v>
      </c>
      <c r="AH46" s="120">
        <f t="shared" si="4"/>
        <v>0.0493251712308786</v>
      </c>
      <c r="AI46" s="120">
        <f t="shared" si="4"/>
        <v>0.0134070831833431</v>
      </c>
      <c r="AJ46" s="120">
        <f t="shared" si="4"/>
        <v>0.0224231668141415</v>
      </c>
      <c r="AK46" s="120">
        <f t="shared" si="4"/>
        <v>0.0310737358837812</v>
      </c>
      <c r="AL46" s="120">
        <f t="shared" si="4"/>
        <v>0.0478153452018106</v>
      </c>
      <c r="AM46" s="120">
        <f t="shared" si="4"/>
        <v>0</v>
      </c>
      <c r="AN46" s="120" t="str">
        <f t="shared" si="4"/>
        <v/>
      </c>
      <c r="AO46" s="120" t="str">
        <f t="shared" si="4"/>
        <v/>
      </c>
      <c r="AP46" s="120" t="str">
        <f t="shared" si="4"/>
        <v/>
      </c>
      <c r="AQ46" s="120" t="str">
        <f t="shared" si="4"/>
        <v/>
      </c>
      <c r="AR46" s="120" t="str">
        <f t="shared" si="4"/>
        <v/>
      </c>
      <c r="AS46" s="120" t="str">
        <f t="shared" si="4"/>
        <v/>
      </c>
      <c r="AT46" s="120" t="str">
        <f t="shared" si="4"/>
        <v/>
      </c>
      <c r="AU46" s="120" t="str">
        <f t="shared" si="4"/>
        <v/>
      </c>
      <c r="AV46" s="120" t="str">
        <f t="shared" si="4"/>
        <v/>
      </c>
      <c r="AW46" s="120" t="str">
        <f t="shared" si="4"/>
        <v/>
      </c>
      <c r="AX46" s="120" t="str">
        <f t="shared" si="4"/>
        <v/>
      </c>
      <c r="AY46" s="120" t="str">
        <f t="shared" ref="AY46:AY47" si="5">IFERROR(SUMIFS(AY$5:AY$39,$C$5:$C$39,"TR",$D$5:$D$39,$A46)/SUMIFS(AY$5:AY$39,$C$5:$C$39,"TR",$D$5:$D$39,$B46),"")</f>
        <v/>
      </c>
    </row>
    <row r="47" spans="1:53">
      <c r="A47" s="119" t="s">
        <v>44</v>
      </c>
      <c r="B47" s="119" t="s">
        <v>60</v>
      </c>
      <c r="C47" s="88"/>
      <c r="D47" s="88" t="s">
        <v>91</v>
      </c>
      <c r="E47" s="120">
        <f t="shared" ref="E47:AX47" si="6">IFERROR(SUMIFS(E$5:E$39,$C$5:$C$39,"TR",$D$5:$D$39,$A47)/SUMIFS(E$5:E$39,$C$5:$C$39,"TR",$D$5:$D$39,$B47),"")</f>
        <v>0</v>
      </c>
      <c r="F47" s="120">
        <f t="shared" si="6"/>
        <v>0</v>
      </c>
      <c r="G47" s="120">
        <f t="shared" si="6"/>
        <v>6.39325021734687e-5</v>
      </c>
      <c r="H47" s="120">
        <f t="shared" si="6"/>
        <v>0.0689133691308702</v>
      </c>
      <c r="I47" s="120">
        <f t="shared" si="6"/>
        <v>0.037794492670514</v>
      </c>
      <c r="J47" s="120">
        <f t="shared" si="6"/>
        <v>0.0673618026810702</v>
      </c>
      <c r="K47" s="120">
        <f t="shared" si="6"/>
        <v>0.453366100113129</v>
      </c>
      <c r="L47" s="120">
        <f t="shared" si="6"/>
        <v>0.00976562008057987</v>
      </c>
      <c r="M47" s="120">
        <f t="shared" si="6"/>
        <v>0.0529760327705428</v>
      </c>
      <c r="N47" s="120">
        <f t="shared" si="6"/>
        <v>0.0647945028931237</v>
      </c>
      <c r="O47" s="120">
        <f t="shared" si="6"/>
        <v>0.0821698118854082</v>
      </c>
      <c r="P47" s="120">
        <f t="shared" si="6"/>
        <v>0.0569319293364532</v>
      </c>
      <c r="Q47" s="120">
        <f t="shared" si="6"/>
        <v>0.063781720673862</v>
      </c>
      <c r="R47" s="120">
        <f t="shared" si="6"/>
        <v>0.0643218571721316</v>
      </c>
      <c r="S47" s="120">
        <f t="shared" si="6"/>
        <v>0.0842267544319646</v>
      </c>
      <c r="T47" s="120">
        <f t="shared" si="6"/>
        <v>0.000672624377589211</v>
      </c>
      <c r="U47" s="120">
        <f t="shared" si="6"/>
        <v>0.0549826953913666</v>
      </c>
      <c r="V47" s="120">
        <f t="shared" si="6"/>
        <v>0.0584518356760712</v>
      </c>
      <c r="W47" s="120">
        <f t="shared" si="6"/>
        <v>0.000568557356125225</v>
      </c>
      <c r="X47" s="120">
        <f t="shared" si="6"/>
        <v>0.0503697390552527</v>
      </c>
      <c r="Y47" s="120">
        <f t="shared" si="6"/>
        <v>0</v>
      </c>
      <c r="Z47" s="120">
        <f t="shared" si="6"/>
        <v>0.0324182053873617</v>
      </c>
      <c r="AA47" s="120">
        <f t="shared" si="6"/>
        <v>0.197996530065871</v>
      </c>
      <c r="AB47" s="120">
        <f t="shared" si="6"/>
        <v>0.0591709061499185</v>
      </c>
      <c r="AC47" s="120">
        <f t="shared" si="6"/>
        <v>0.0709933315950041</v>
      </c>
      <c r="AD47" s="120">
        <f t="shared" si="6"/>
        <v>0.000102662723730354</v>
      </c>
      <c r="AE47" s="120">
        <f t="shared" si="6"/>
        <v>0</v>
      </c>
      <c r="AF47" s="120">
        <f t="shared" si="6"/>
        <v>0</v>
      </c>
      <c r="AG47" s="120">
        <f t="shared" si="6"/>
        <v>0.0685029645717881</v>
      </c>
      <c r="AH47" s="120">
        <f t="shared" si="6"/>
        <v>0.222242764065942</v>
      </c>
      <c r="AI47" s="120">
        <f t="shared" si="6"/>
        <v>0.0551178640310267</v>
      </c>
      <c r="AJ47" s="120">
        <f t="shared" si="6"/>
        <v>0.00581199953960751</v>
      </c>
      <c r="AK47" s="120">
        <f t="shared" si="6"/>
        <v>0.05214825516063</v>
      </c>
      <c r="AL47" s="120">
        <f t="shared" si="6"/>
        <v>0</v>
      </c>
      <c r="AM47" s="120">
        <f t="shared" si="6"/>
        <v>0.026823157444209</v>
      </c>
      <c r="AN47" s="120" t="str">
        <f t="shared" si="6"/>
        <v/>
      </c>
      <c r="AO47" s="120" t="str">
        <f t="shared" si="6"/>
        <v/>
      </c>
      <c r="AP47" s="120" t="str">
        <f t="shared" si="6"/>
        <v/>
      </c>
      <c r="AQ47" s="120" t="str">
        <f t="shared" si="6"/>
        <v/>
      </c>
      <c r="AR47" s="120" t="str">
        <f t="shared" si="6"/>
        <v/>
      </c>
      <c r="AS47" s="120" t="str">
        <f t="shared" si="6"/>
        <v/>
      </c>
      <c r="AT47" s="120" t="str">
        <f t="shared" si="6"/>
        <v/>
      </c>
      <c r="AU47" s="120" t="str">
        <f t="shared" si="6"/>
        <v/>
      </c>
      <c r="AV47" s="120" t="str">
        <f t="shared" si="6"/>
        <v/>
      </c>
      <c r="AW47" s="120" t="str">
        <f t="shared" si="6"/>
        <v/>
      </c>
      <c r="AX47" s="120" t="str">
        <f t="shared" si="6"/>
        <v/>
      </c>
      <c r="AY47" s="120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8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52" zoomScaleNormal="52" topLeftCell="AC1" workbookViewId="0">
      <selection activeCell="BE46" sqref="BE46"/>
    </sheetView>
  </sheetViews>
  <sheetFormatPr defaultColWidth="9" defaultRowHeight="14.5"/>
  <cols>
    <col min="1" max="1" width="10.8636363636364" customWidth="1"/>
    <col min="2" max="2" width="2" customWidth="1"/>
    <col min="4" max="10" width="6.13636363636364" customWidth="1"/>
    <col min="11" max="11" width="6.13636363636364" style="109" customWidth="1"/>
    <col min="12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style="109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99"/>
    </row>
    <row r="2" spans="1:61">
      <c r="AY2" t="s">
        <v>130</v>
      </c>
      <c r="BD2" t="s">
        <v>131</v>
      </c>
      <c r="BE2" s="99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s="109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s="109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10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10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103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11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10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10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103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10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10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103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0.0647991036</v>
      </c>
      <c r="G7" s="1" cm="1">
        <f ca="1" t="array" ref="G7">SUM(SUMIFS(Assumptions!BG$3:BG$102,Assumptions!$B$3:$B$102,'2-w'!$C7,Assumptions!$G$3:$G$102,{"TRW"}))</f>
        <v>0.0385164666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1.739269989</v>
      </c>
      <c r="J7" s="1" cm="1">
        <f ca="1" t="array" ref="J7">SUM(SUMIFS(Assumptions!BJ$3:BJ$102,Assumptions!$B$3:$B$102,'2-w'!$C7,Assumptions!$G$3:$G$102,{"TRW"}))</f>
        <v>0</v>
      </c>
      <c r="K7" s="110" cm="1">
        <f ca="1" t="array" ref="K7">SUM(SUMIFS(Assumptions!BK$3:BK$102,Assumptions!$B$3:$B$102,'2-w'!$C7,Assumptions!$G$3:$G$102,{"TRW"}))</f>
        <v>147.21780820392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0.8842929813</v>
      </c>
      <c r="O7" s="1" cm="1">
        <f ca="1" t="array" ref="O7">SUM(SUMIFS(Assumptions!BO$3:BO$102,Assumptions!$B$3:$B$102,'2-w'!$C7,Assumptions!$G$3:$G$102,{"TRW"}))</f>
        <v>0.9072000108</v>
      </c>
      <c r="P7" s="1" cm="1">
        <f ca="1" t="array" ref="P7">SUM(SUMIFS(Assumptions!BP$3:BP$102,Assumptions!$B$3:$B$102,'2-w'!$C7,Assumptions!$G$3:$G$102,{"TRW"}))</f>
        <v>0.0553945041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0.0608990994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0.0731925909</v>
      </c>
      <c r="U7" s="1" cm="1">
        <f ca="1" t="array" ref="U7">SUM(SUMIFS(Assumptions!BU$3:BU$102,Assumptions!$B$3:$B$102,'2-w'!$C7,Assumptions!$G$3:$G$102,{"TRW"}))</f>
        <v>0.3730847013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1.1029161636</v>
      </c>
      <c r="X7" s="1" cm="1">
        <f ca="1" t="array" ref="X7">SUM(SUMIFS(Assumptions!BX$3:BX$102,Assumptions!$B$3:$B$102,'2-w'!$C7,Assumptions!$G$3:$G$102,{"TRW"}))</f>
        <v>0</v>
      </c>
      <c r="Y7" s="110" cm="1">
        <f ca="1" t="array" ref="Y7">SUM(SUMIFS(Assumptions!BY$3:BY$102,Assumptions!$B$3:$B$102,'2-w'!$C7,Assumptions!$G$3:$G$102,{"TRW"}))</f>
        <v>21.0333852117</v>
      </c>
      <c r="Z7" s="1" cm="1">
        <f ca="1" t="array" ref="Z7">SUM(SUMIFS(Assumptions!BZ$3:BZ$102,Assumptions!$B$3:$B$102,'2-w'!$C7,Assumptions!$G$3:$G$102,{"TRW"}))</f>
        <v>2.3192998407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1.3254487704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0.4503154608</v>
      </c>
      <c r="AG7" s="1" cm="1">
        <f ca="1" t="array" ref="AG7">SUM(SUMIFS(Assumptions!CG$3:CG$102,Assumptions!$B$3:$B$102,'2-w'!$C7,Assumptions!$G$3:$G$102,{"TRW"}))</f>
        <v>1.0188274257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0.9895240125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103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10" cm="1">
        <f ca="1" t="array" ref="K8">SUM(SUMIFS(Assumptions!BK$3:BK$102,Assumptions!$B$3:$B$102,'2-w'!$C8,Assumptions!$G$3:$G$102,{"TRW"}))</f>
        <v>540.17052635916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10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10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10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103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10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10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103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 t="shared" ref="D11:AW11" si="5">SUM(D$4:D$10)/SUM($D$4:$AJ$10)</f>
        <v>0.0659778583139769</v>
      </c>
      <c r="E11" s="100">
        <f ca="1" t="shared" si="5"/>
        <v>0.114569694689533</v>
      </c>
      <c r="F11" s="100">
        <f ca="1" t="shared" si="5"/>
        <v>0.00271444909373392</v>
      </c>
      <c r="G11" s="100">
        <f ca="1" t="shared" si="5"/>
        <v>9.86042924562937e-5</v>
      </c>
      <c r="H11" s="100">
        <f ca="1" t="shared" si="5"/>
        <v>7.99730211185191e-5</v>
      </c>
      <c r="I11" s="100">
        <f ca="1" t="shared" si="5"/>
        <v>0.00080038126012091</v>
      </c>
      <c r="J11" s="100">
        <f ca="1" t="shared" si="5"/>
        <v>0.00319385516228633</v>
      </c>
      <c r="K11" s="111">
        <f ca="1" t="shared" si="5"/>
        <v>0.181058674406959</v>
      </c>
      <c r="L11" s="100">
        <f ca="1" t="shared" si="5"/>
        <v>0.000133650572156438</v>
      </c>
      <c r="M11" s="100">
        <f ca="1" t="shared" si="5"/>
        <v>0.000316831726416264</v>
      </c>
      <c r="N11" s="100">
        <f ca="1" t="shared" si="5"/>
        <v>0.000653350980127295</v>
      </c>
      <c r="O11" s="100">
        <f ca="1" t="shared" si="5"/>
        <v>0.00116208985451525</v>
      </c>
      <c r="P11" s="100">
        <f ca="1" t="shared" si="5"/>
        <v>0.000158967366635766</v>
      </c>
      <c r="Q11" s="100">
        <f ca="1" t="shared" si="5"/>
        <v>0.000493800625539272</v>
      </c>
      <c r="R11" s="100">
        <f ca="1" t="shared" si="5"/>
        <v>2.27154457422181e-5</v>
      </c>
      <c r="S11" s="100">
        <f ca="1" t="shared" si="5"/>
        <v>0.141486295718142</v>
      </c>
      <c r="T11" s="100">
        <f ca="1" t="shared" si="5"/>
        <v>6.04560542933144e-5</v>
      </c>
      <c r="U11" s="100">
        <f ca="1" t="shared" si="5"/>
        <v>0.000515346777803594</v>
      </c>
      <c r="V11" s="100">
        <f ca="1" t="shared" si="5"/>
        <v>0.00375631850507915</v>
      </c>
      <c r="W11" s="100">
        <f ca="1" t="shared" si="5"/>
        <v>0.00636326140284605</v>
      </c>
      <c r="X11" s="100">
        <f ca="1" t="shared" si="5"/>
        <v>0.00870137729089955</v>
      </c>
      <c r="Y11" s="111">
        <f ca="1" t="shared" si="5"/>
        <v>0.00940635653940726</v>
      </c>
      <c r="Z11" s="100">
        <f ca="1" t="shared" si="5"/>
        <v>0.000646542368980874</v>
      </c>
      <c r="AA11" s="100">
        <f ca="1" t="shared" si="5"/>
        <v>0.000690973672285525</v>
      </c>
      <c r="AB11" s="100">
        <f ca="1" t="shared" si="5"/>
        <v>0.417326446802168</v>
      </c>
      <c r="AC11" s="100">
        <f ca="1" t="shared" si="5"/>
        <v>0.00427846039865279</v>
      </c>
      <c r="AD11" s="100">
        <f ca="1" t="shared" si="5"/>
        <v>0.00375904353821899</v>
      </c>
      <c r="AE11" s="100">
        <f ca="1" t="shared" si="5"/>
        <v>0.0291850930394099</v>
      </c>
      <c r="AF11" s="100">
        <f ca="1" t="shared" si="5"/>
        <v>0.000464991567747576</v>
      </c>
      <c r="AG11" s="100">
        <f ca="1" t="shared" si="5"/>
        <v>0.000511292227654298</v>
      </c>
      <c r="AH11" s="100">
        <f ca="1" t="shared" si="5"/>
        <v>0.000127587572366626</v>
      </c>
      <c r="AI11" s="100">
        <f ca="1" t="shared" si="5"/>
        <v>0.000366209363567425</v>
      </c>
      <c r="AJ11" s="100">
        <f ca="1" t="shared" si="5"/>
        <v>0.000919050349160377</v>
      </c>
      <c r="AK11" s="100">
        <f ca="1" t="shared" si="5"/>
        <v>0.000213375779376718</v>
      </c>
      <c r="AL11" s="100">
        <f ca="1" t="shared" si="5"/>
        <v>0.000139104453044475</v>
      </c>
      <c r="AM11" s="100">
        <f ca="1" t="shared" si="5"/>
        <v>0</v>
      </c>
      <c r="AN11" s="100">
        <f ca="1" t="shared" si="5"/>
        <v>0</v>
      </c>
      <c r="AO11" s="100">
        <f ca="1" t="shared" si="5"/>
        <v>0</v>
      </c>
      <c r="AP11" s="100">
        <f ca="1" t="shared" si="5"/>
        <v>0</v>
      </c>
      <c r="AQ11" s="100">
        <f ca="1" t="shared" si="5"/>
        <v>0</v>
      </c>
      <c r="AR11" s="100">
        <f ca="1" t="shared" si="5"/>
        <v>0</v>
      </c>
      <c r="AS11" s="100">
        <f ca="1" t="shared" si="5"/>
        <v>0</v>
      </c>
      <c r="AT11" s="100">
        <f ca="1" t="shared" si="5"/>
        <v>0</v>
      </c>
      <c r="AU11" s="100">
        <f ca="1" t="shared" si="5"/>
        <v>0</v>
      </c>
      <c r="AV11" s="100">
        <f ca="1" t="shared" si="5"/>
        <v>0</v>
      </c>
      <c r="AW11" s="100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s="109" t="str">
        <f t="shared" ref="BB12:BB18" si="6">IF($AZ12="","",12)</f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596.338</v>
      </c>
      <c r="D13" s="76">
        <f ca="1" t="shared" ref="D13:AJ13" si="7">SUM(D19:D25)</f>
        <v>35.426</v>
      </c>
      <c r="E13" s="76">
        <f ca="1" t="shared" ref="E13:U13" si="8">SUM(E19:E25)</f>
        <v>61.516</v>
      </c>
      <c r="F13" s="76">
        <f ca="1" t="shared" si="8"/>
        <v>1.476</v>
      </c>
      <c r="G13" s="76">
        <f ca="1" t="shared" si="8"/>
        <v>0.064</v>
      </c>
      <c r="H13" s="76">
        <f ca="1" t="shared" si="8"/>
        <v>0.043</v>
      </c>
      <c r="I13" s="76">
        <f ca="1" t="shared" si="8"/>
        <v>0.929</v>
      </c>
      <c r="J13" s="76">
        <f ca="1" t="shared" si="8"/>
        <v>1.715</v>
      </c>
      <c r="K13" s="112">
        <f ca="1" t="shared" si="8"/>
        <v>139.489</v>
      </c>
      <c r="L13" s="76">
        <f ca="1" t="shared" si="8"/>
        <v>0.072</v>
      </c>
      <c r="M13" s="76">
        <f ca="1" t="shared" si="8"/>
        <v>0.17</v>
      </c>
      <c r="N13" s="76">
        <f ca="1" t="shared" si="8"/>
        <v>0.605</v>
      </c>
      <c r="O13" s="76">
        <f ca="1" t="shared" si="8"/>
        <v>0.885</v>
      </c>
      <c r="P13" s="76">
        <f ca="1" t="shared" si="8"/>
        <v>0.102</v>
      </c>
      <c r="Q13" s="76">
        <f ca="1" t="shared" si="8"/>
        <v>0.265</v>
      </c>
      <c r="R13" s="76">
        <f ca="1" t="shared" si="8"/>
        <v>0.03</v>
      </c>
      <c r="S13" s="76">
        <f ca="1" t="shared" si="8"/>
        <v>75.969</v>
      </c>
      <c r="T13" s="76">
        <f ca="1" t="shared" si="8"/>
        <v>0.053</v>
      </c>
      <c r="U13" s="76">
        <f ca="1" t="shared" si="8"/>
        <v>0.384</v>
      </c>
      <c r="V13" s="3">
        <f ca="1" t="shared" si="7"/>
        <v>3.53</v>
      </c>
      <c r="W13" s="3">
        <f ca="1" t="shared" si="7"/>
        <v>3.734</v>
      </c>
      <c r="X13" s="3">
        <f ca="1" t="shared" si="7"/>
        <v>6.541</v>
      </c>
      <c r="Y13" s="113">
        <f ca="1" t="shared" si="7"/>
        <v>11.09</v>
      </c>
      <c r="Z13" s="3">
        <f ca="1" t="shared" si="7"/>
        <v>1.772</v>
      </c>
      <c r="AA13" s="3">
        <f ca="1" t="shared" si="7"/>
        <v>0.371</v>
      </c>
      <c r="AB13" s="3">
        <f ca="1" t="shared" si="7"/>
        <v>224.457</v>
      </c>
      <c r="AC13" s="3">
        <f ca="1" t="shared" si="7"/>
        <v>5.36</v>
      </c>
      <c r="AD13" s="3">
        <f ca="1" t="shared" si="7"/>
        <v>2.018</v>
      </c>
      <c r="AE13" s="3">
        <f ca="1" t="shared" si="7"/>
        <v>15.67</v>
      </c>
      <c r="AF13" s="3">
        <f ca="1" t="shared" si="7"/>
        <v>0.408</v>
      </c>
      <c r="AG13" s="3">
        <f ca="1" t="shared" si="7"/>
        <v>0.567</v>
      </c>
      <c r="AH13" s="3">
        <f ca="1" t="shared" si="7"/>
        <v>0.069</v>
      </c>
      <c r="AI13" s="3">
        <f ca="1" t="shared" si="7"/>
        <v>0.197</v>
      </c>
      <c r="AJ13" s="3">
        <f ca="1" t="shared" si="7"/>
        <v>1.361</v>
      </c>
      <c r="AK13" s="3">
        <f ca="1" t="shared" ref="AK13:AW13" si="9">SUM(AK19:AK25)</f>
        <v>0.2</v>
      </c>
      <c r="AL13" s="3">
        <f ca="1" t="shared" si="9"/>
        <v>0.131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s="109" t="str">
        <f t="shared" si="6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 t="shared" ref="D14:AJ14" si="10">D13/SUM($D$13:$AJ$13)</f>
        <v>0.059405907388092</v>
      </c>
      <c r="E14" s="100">
        <f ca="1" t="shared" ref="E14:U14" si="11">E13/SUM($D$13:$AJ$13)</f>
        <v>0.10315626372963</v>
      </c>
      <c r="F14" s="100">
        <f ca="1" t="shared" si="11"/>
        <v>0.00247510639939095</v>
      </c>
      <c r="G14" s="100">
        <f ca="1" t="shared" si="11"/>
        <v>0.000107321686694459</v>
      </c>
      <c r="H14" s="100">
        <f ca="1" t="shared" si="11"/>
        <v>7.21067582478393e-5</v>
      </c>
      <c r="I14" s="100">
        <f ca="1" t="shared" si="11"/>
        <v>0.00155784135842425</v>
      </c>
      <c r="J14" s="100">
        <f ca="1" t="shared" si="11"/>
        <v>0.00287588582314057</v>
      </c>
      <c r="K14" s="111">
        <f ca="1" t="shared" si="11"/>
        <v>0.233909293051927</v>
      </c>
      <c r="L14" s="100">
        <f ca="1" t="shared" si="11"/>
        <v>0.000120736897531266</v>
      </c>
      <c r="M14" s="100">
        <f ca="1" t="shared" si="11"/>
        <v>0.000285073230282156</v>
      </c>
      <c r="N14" s="100">
        <f ca="1" t="shared" si="11"/>
        <v>0.00101452531953355</v>
      </c>
      <c r="O14" s="100">
        <f ca="1" t="shared" si="11"/>
        <v>0.00148405769882181</v>
      </c>
      <c r="P14" s="100">
        <f ca="1" t="shared" si="11"/>
        <v>0.000171043938169293</v>
      </c>
      <c r="Q14" s="100">
        <f ca="1" t="shared" si="11"/>
        <v>0.000444378858969242</v>
      </c>
      <c r="R14" s="100">
        <f ca="1" t="shared" si="11"/>
        <v>5.03070406380274e-5</v>
      </c>
      <c r="S14" s="100">
        <f ca="1" t="shared" si="11"/>
        <v>0.127392519007677</v>
      </c>
      <c r="T14" s="100">
        <f ca="1" t="shared" si="11"/>
        <v>8.88757717938485e-5</v>
      </c>
      <c r="U14" s="100">
        <f ca="1" t="shared" si="11"/>
        <v>0.000643930120166751</v>
      </c>
      <c r="V14" s="100">
        <f ca="1" t="shared" si="10"/>
        <v>0.00591946178174123</v>
      </c>
      <c r="W14" s="100">
        <f ca="1" t="shared" si="10"/>
        <v>0.00626154965807982</v>
      </c>
      <c r="X14" s="100">
        <f ca="1" t="shared" si="10"/>
        <v>0.0109686117604446</v>
      </c>
      <c r="Y14" s="111">
        <f ca="1" t="shared" si="10"/>
        <v>0.0185968360225241</v>
      </c>
      <c r="Z14" s="100">
        <f ca="1" t="shared" si="10"/>
        <v>0.00297146920035282</v>
      </c>
      <c r="AA14" s="100">
        <f ca="1" t="shared" si="10"/>
        <v>0.000622130402556939</v>
      </c>
      <c r="AB14" s="100">
        <f ca="1" t="shared" si="10"/>
        <v>0.376392247349658</v>
      </c>
      <c r="AC14" s="100">
        <f ca="1" t="shared" si="10"/>
        <v>0.0089881912606609</v>
      </c>
      <c r="AD14" s="100">
        <f ca="1" t="shared" si="10"/>
        <v>0.00338398693358465</v>
      </c>
      <c r="AE14" s="100">
        <f ca="1" t="shared" si="10"/>
        <v>0.0262770442265963</v>
      </c>
      <c r="AF14" s="100">
        <f ca="1" t="shared" si="10"/>
        <v>0.000684175752677173</v>
      </c>
      <c r="AG14" s="100">
        <f ca="1" t="shared" si="10"/>
        <v>0.000950803068058719</v>
      </c>
      <c r="AH14" s="100">
        <f ca="1" t="shared" si="10"/>
        <v>0.000115706193467463</v>
      </c>
      <c r="AI14" s="100">
        <f ca="1" t="shared" si="10"/>
        <v>0.00033034956685638</v>
      </c>
      <c r="AJ14" s="100">
        <f ca="1" t="shared" si="10"/>
        <v>0.00228226274361185</v>
      </c>
      <c r="AK14" s="100">
        <f ca="1" t="shared" ref="AK14:AW14" si="12">AK13/SUM($D$13:$AJ$13)</f>
        <v>0.000335380270920183</v>
      </c>
      <c r="AL14" s="100">
        <f ca="1" t="shared" si="12"/>
        <v>0.00021967407745272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s="109" t="str">
        <f t="shared" si="6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11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11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s="109" t="str">
        <f t="shared" si="6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s="109" t="str">
        <f t="shared" si="6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1.11062790242309</v>
      </c>
      <c r="E17" s="3">
        <f ca="1" t="shared" ref="E17:U17" si="13">IFERROR(E11/E14,"")</f>
        <v>1.11064215150151</v>
      </c>
      <c r="F17" s="3">
        <f ca="1" t="shared" si="13"/>
        <v>1.09669996182866</v>
      </c>
      <c r="G17" s="3">
        <f ca="1" t="shared" si="13"/>
        <v>0.91877322741877</v>
      </c>
      <c r="H17" s="3">
        <f ca="1" t="shared" si="13"/>
        <v>1.10909189459943</v>
      </c>
      <c r="I17" s="3">
        <f ca="1" t="shared" si="13"/>
        <v>0.513775844884804</v>
      </c>
      <c r="J17" s="3">
        <f ca="1" t="shared" si="13"/>
        <v>1.11056396487901</v>
      </c>
      <c r="K17" s="113">
        <f ca="1" t="shared" si="13"/>
        <v>0.774055070855027</v>
      </c>
      <c r="L17" s="3">
        <f ca="1" t="shared" si="13"/>
        <v>1.1069571513698</v>
      </c>
      <c r="M17" s="3">
        <f ca="1" t="shared" si="13"/>
        <v>1.11140469451542</v>
      </c>
      <c r="N17" s="3">
        <f ca="1" t="shared" si="13"/>
        <v>0.643996721962233</v>
      </c>
      <c r="O17" s="3">
        <f ca="1" t="shared" si="13"/>
        <v>0.783048971369399</v>
      </c>
      <c r="P17" s="3">
        <f ca="1" t="shared" si="13"/>
        <v>0.929394916518032</v>
      </c>
      <c r="Q17" s="3">
        <f ca="1" t="shared" si="13"/>
        <v>1.11121538653901</v>
      </c>
      <c r="R17" s="3">
        <f ca="1" t="shared" si="13"/>
        <v>0.451536116100763</v>
      </c>
      <c r="S17" s="3">
        <f ca="1" t="shared" si="13"/>
        <v>1.11063268722723</v>
      </c>
      <c r="T17" s="3">
        <f ca="1" t="shared" si="13"/>
        <v>0.68023099066352</v>
      </c>
      <c r="U17" s="3">
        <f ca="1" t="shared" si="13"/>
        <v>0.800314757244374</v>
      </c>
      <c r="V17" s="3">
        <f ca="1" t="shared" ref="V17:AW17" si="14">IFERROR(V11/V14,"")</f>
        <v>0.634570953167675</v>
      </c>
      <c r="W17" s="3">
        <f ca="1" t="shared" si="14"/>
        <v>1.01624386139539</v>
      </c>
      <c r="X17" s="3">
        <f ca="1" t="shared" si="14"/>
        <v>0.793297956107698</v>
      </c>
      <c r="Y17" s="113">
        <f ca="1" t="shared" si="14"/>
        <v>0.505804133994323</v>
      </c>
      <c r="Z17" s="3">
        <f ca="1" t="shared" si="14"/>
        <v>0.217583399115867</v>
      </c>
      <c r="AA17" s="3">
        <f ca="1" t="shared" si="14"/>
        <v>1.11065729860756</v>
      </c>
      <c r="AB17" s="3">
        <f ca="1" t="shared" si="14"/>
        <v>1.10875409825985</v>
      </c>
      <c r="AC17" s="3">
        <f ca="1" t="shared" si="14"/>
        <v>0.47600905171862</v>
      </c>
      <c r="AD17" s="3">
        <f ca="1" t="shared" si="14"/>
        <v>1.11083275792588</v>
      </c>
      <c r="AE17" s="3">
        <f ca="1" t="shared" si="14"/>
        <v>1.11066879469915</v>
      </c>
      <c r="AF17" s="3">
        <f ca="1" t="shared" si="14"/>
        <v>0.679637601782975</v>
      </c>
      <c r="AG17" s="3">
        <f ca="1" t="shared" si="14"/>
        <v>0.537747767998076</v>
      </c>
      <c r="AH17" s="3">
        <f ca="1" t="shared" si="14"/>
        <v>1.10268576420245</v>
      </c>
      <c r="AI17" s="3">
        <f ca="1" t="shared" si="14"/>
        <v>1.10855106320341</v>
      </c>
      <c r="AJ17" s="3">
        <f ca="1" t="shared" si="14"/>
        <v>0.402692613605878</v>
      </c>
      <c r="AK17" s="3">
        <f ca="1" t="shared" si="14"/>
        <v>0.636220427609766</v>
      </c>
      <c r="AL17" s="3">
        <f ca="1" t="shared" si="14"/>
        <v>0.633231078775847</v>
      </c>
      <c r="AM17" s="3" t="str">
        <f ca="1" t="shared" si="14"/>
        <v/>
      </c>
      <c r="AN17" s="3" t="str">
        <f ca="1" t="shared" si="14"/>
        <v/>
      </c>
      <c r="AO17" s="3" t="str">
        <f ca="1" t="shared" si="14"/>
        <v/>
      </c>
      <c r="AP17" s="3" t="str">
        <f ca="1" t="shared" si="14"/>
        <v/>
      </c>
      <c r="AQ17" s="3" t="str">
        <f ca="1" t="shared" si="14"/>
        <v/>
      </c>
      <c r="AR17" s="3" t="str">
        <f ca="1" t="shared" si="14"/>
        <v/>
      </c>
      <c r="AS17" s="3" t="str">
        <f ca="1" t="shared" si="14"/>
        <v/>
      </c>
      <c r="AT17" s="3" t="str">
        <f ca="1" t="shared" si="14"/>
        <v/>
      </c>
      <c r="AU17" s="3" t="str">
        <f ca="1" t="shared" si="14"/>
        <v/>
      </c>
      <c r="AV17" s="3" t="str">
        <f ca="1" t="shared" si="14"/>
        <v/>
      </c>
      <c r="AW17" s="3" t="str">
        <f ca="1" t="shared" si="14"/>
        <v/>
      </c>
      <c r="AY17" t="s">
        <v>133</v>
      </c>
      <c r="BA17" t="str">
        <f t="shared" si="0"/>
        <v/>
      </c>
      <c r="BB17" s="109" t="str">
        <f t="shared" si="6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s="109" t="str">
        <f t="shared" si="6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5">C4</f>
        <v>TRABDS</v>
      </c>
      <c r="D19" s="76">
        <f ca="1">ROUND(D4*D28/D36,3)</f>
        <v>0</v>
      </c>
      <c r="E19" s="76">
        <f ca="1" t="shared" ref="E19:U19" si="16">ROUND(E4*E28/E36,3)</f>
        <v>0</v>
      </c>
      <c r="F19" s="76">
        <f ca="1" t="shared" si="16"/>
        <v>0</v>
      </c>
      <c r="G19" s="76">
        <f ca="1" t="shared" si="16"/>
        <v>0</v>
      </c>
      <c r="H19" s="76">
        <f ca="1" t="shared" si="16"/>
        <v>0</v>
      </c>
      <c r="I19" s="76">
        <f ca="1" t="shared" si="16"/>
        <v>0</v>
      </c>
      <c r="J19" s="76">
        <f ca="1" t="shared" si="16"/>
        <v>0</v>
      </c>
      <c r="K19" s="112">
        <f ca="1" t="shared" si="16"/>
        <v>0</v>
      </c>
      <c r="L19" s="76">
        <f ca="1" t="shared" si="16"/>
        <v>0</v>
      </c>
      <c r="M19" s="76">
        <f ca="1" t="shared" si="16"/>
        <v>0</v>
      </c>
      <c r="N19" s="76">
        <f ca="1" t="shared" si="16"/>
        <v>0</v>
      </c>
      <c r="O19" s="76">
        <f ca="1" t="shared" si="16"/>
        <v>0</v>
      </c>
      <c r="P19" s="76">
        <f ca="1" t="shared" si="16"/>
        <v>0</v>
      </c>
      <c r="Q19" s="76">
        <f ca="1" t="shared" si="16"/>
        <v>0</v>
      </c>
      <c r="R19" s="76">
        <f ca="1" t="shared" si="16"/>
        <v>0</v>
      </c>
      <c r="S19" s="76">
        <f ca="1" t="shared" si="16"/>
        <v>0</v>
      </c>
      <c r="T19" s="76">
        <f ca="1" t="shared" si="16"/>
        <v>0</v>
      </c>
      <c r="U19" s="76">
        <f ca="1" t="shared" si="16"/>
        <v>0</v>
      </c>
      <c r="V19" s="76">
        <f ca="1" t="shared" ref="V19:AW19" si="17">ROUND(V4*V28/V36,3)</f>
        <v>0</v>
      </c>
      <c r="W19" s="76">
        <f ca="1" t="shared" si="17"/>
        <v>0</v>
      </c>
      <c r="X19" s="76">
        <f ca="1" t="shared" si="17"/>
        <v>0</v>
      </c>
      <c r="Y19" s="112">
        <f ca="1" t="shared" si="17"/>
        <v>0</v>
      </c>
      <c r="Z19" s="76">
        <f ca="1" t="shared" si="17"/>
        <v>0</v>
      </c>
      <c r="AA19" s="76">
        <f ca="1" t="shared" si="17"/>
        <v>0</v>
      </c>
      <c r="AB19" s="76">
        <f ca="1" t="shared" si="17"/>
        <v>0</v>
      </c>
      <c r="AC19" s="76">
        <f ca="1" t="shared" si="17"/>
        <v>0</v>
      </c>
      <c r="AD19" s="76">
        <f ca="1" t="shared" si="17"/>
        <v>0</v>
      </c>
      <c r="AE19" s="76">
        <f ca="1" t="shared" si="17"/>
        <v>0</v>
      </c>
      <c r="AF19" s="76">
        <f ca="1" t="shared" si="17"/>
        <v>0</v>
      </c>
      <c r="AG19" s="76">
        <f ca="1" t="shared" si="17"/>
        <v>0</v>
      </c>
      <c r="AH19" s="76">
        <f ca="1" t="shared" si="17"/>
        <v>0</v>
      </c>
      <c r="AI19" s="76">
        <f ca="1" t="shared" si="17"/>
        <v>0</v>
      </c>
      <c r="AJ19" s="76">
        <f ca="1" t="shared" si="17"/>
        <v>0</v>
      </c>
      <c r="AK19" s="76">
        <f ca="1" t="shared" si="17"/>
        <v>0</v>
      </c>
      <c r="AL19" s="76">
        <f ca="1" t="shared" si="17"/>
        <v>0</v>
      </c>
      <c r="AM19" s="76">
        <f ca="1" t="shared" si="17"/>
        <v>0</v>
      </c>
      <c r="AN19" s="76">
        <f ca="1" t="shared" si="17"/>
        <v>0</v>
      </c>
      <c r="AO19" s="76">
        <f ca="1" t="shared" si="17"/>
        <v>0</v>
      </c>
      <c r="AP19" s="76">
        <f ca="1" t="shared" si="17"/>
        <v>0</v>
      </c>
      <c r="AQ19" s="76">
        <f ca="1" t="shared" si="17"/>
        <v>0</v>
      </c>
      <c r="AR19" s="76">
        <f ca="1" t="shared" si="17"/>
        <v>0</v>
      </c>
      <c r="AS19" s="76">
        <f ca="1" t="shared" si="17"/>
        <v>0</v>
      </c>
      <c r="AT19" s="76">
        <f ca="1" t="shared" si="17"/>
        <v>0</v>
      </c>
      <c r="AU19" s="76">
        <f ca="1" t="shared" si="17"/>
        <v>0</v>
      </c>
      <c r="AV19" s="76">
        <f ca="1" t="shared" si="17"/>
        <v>0</v>
      </c>
      <c r="AW19" s="76">
        <f ca="1" t="shared" si="17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 s="109">
        <f ca="1" t="shared" ref="BB19:BB45" si="18">IF($AZ19="","",25)</f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5"/>
        <v>TRABGS</v>
      </c>
      <c r="D20" s="76">
        <f ca="1" t="shared" ref="D20:AW20" si="19">ROUND(D5*D29/D37,3)</f>
        <v>0</v>
      </c>
      <c r="E20" s="76">
        <f ca="1" t="shared" ref="E20:U20" si="20">ROUND(E5*E29/E37,3)</f>
        <v>0</v>
      </c>
      <c r="F20" s="76">
        <f ca="1" t="shared" si="20"/>
        <v>0</v>
      </c>
      <c r="G20" s="76">
        <f ca="1" t="shared" si="20"/>
        <v>0</v>
      </c>
      <c r="H20" s="76">
        <f ca="1" t="shared" si="20"/>
        <v>0</v>
      </c>
      <c r="I20" s="76">
        <f ca="1" t="shared" si="20"/>
        <v>0</v>
      </c>
      <c r="J20" s="76">
        <f ca="1" t="shared" si="20"/>
        <v>0</v>
      </c>
      <c r="K20" s="112">
        <f ca="1" t="shared" si="20"/>
        <v>0</v>
      </c>
      <c r="L20" s="76">
        <f ca="1" t="shared" si="20"/>
        <v>0</v>
      </c>
      <c r="M20" s="76">
        <f ca="1" t="shared" si="20"/>
        <v>0</v>
      </c>
      <c r="N20" s="76">
        <f ca="1" t="shared" si="20"/>
        <v>0</v>
      </c>
      <c r="O20" s="76">
        <f ca="1" t="shared" si="20"/>
        <v>0</v>
      </c>
      <c r="P20" s="76">
        <f ca="1" t="shared" si="20"/>
        <v>0</v>
      </c>
      <c r="Q20" s="76">
        <f ca="1" t="shared" si="20"/>
        <v>0</v>
      </c>
      <c r="R20" s="76">
        <f ca="1" t="shared" si="20"/>
        <v>0</v>
      </c>
      <c r="S20" s="76">
        <f ca="1" t="shared" si="20"/>
        <v>0</v>
      </c>
      <c r="T20" s="76">
        <f ca="1" t="shared" si="20"/>
        <v>0</v>
      </c>
      <c r="U20" s="76">
        <f ca="1" t="shared" si="20"/>
        <v>0</v>
      </c>
      <c r="V20" s="76">
        <f ca="1" t="shared" si="19"/>
        <v>0</v>
      </c>
      <c r="W20" s="76">
        <f ca="1" t="shared" si="19"/>
        <v>0</v>
      </c>
      <c r="X20" s="76">
        <f ca="1" t="shared" si="19"/>
        <v>0</v>
      </c>
      <c r="Y20" s="112">
        <f ca="1" t="shared" si="19"/>
        <v>0</v>
      </c>
      <c r="Z20" s="76">
        <f ca="1" t="shared" si="19"/>
        <v>0</v>
      </c>
      <c r="AA20" s="76">
        <f ca="1" t="shared" si="19"/>
        <v>0</v>
      </c>
      <c r="AB20" s="76">
        <f ca="1" t="shared" si="19"/>
        <v>0</v>
      </c>
      <c r="AC20" s="76">
        <f ca="1" t="shared" si="19"/>
        <v>0</v>
      </c>
      <c r="AD20" s="76">
        <f ca="1" t="shared" si="19"/>
        <v>0</v>
      </c>
      <c r="AE20" s="76">
        <f ca="1" t="shared" si="19"/>
        <v>0</v>
      </c>
      <c r="AF20" s="76">
        <f ca="1" t="shared" si="19"/>
        <v>0</v>
      </c>
      <c r="AG20" s="76">
        <f ca="1" t="shared" si="19"/>
        <v>0</v>
      </c>
      <c r="AH20" s="76">
        <f ca="1" t="shared" si="19"/>
        <v>0</v>
      </c>
      <c r="AI20" s="76">
        <f ca="1" t="shared" si="19"/>
        <v>0</v>
      </c>
      <c r="AJ20" s="76">
        <f ca="1" t="shared" si="19"/>
        <v>0</v>
      </c>
      <c r="AK20" s="76">
        <f ca="1" t="shared" si="19"/>
        <v>0</v>
      </c>
      <c r="AL20" s="76">
        <f ca="1" t="shared" si="19"/>
        <v>0</v>
      </c>
      <c r="AM20" s="76">
        <f ca="1" t="shared" si="19"/>
        <v>0</v>
      </c>
      <c r="AN20" s="76">
        <f ca="1" t="shared" si="19"/>
        <v>0</v>
      </c>
      <c r="AO20" s="76">
        <f ca="1" t="shared" si="19"/>
        <v>0</v>
      </c>
      <c r="AP20" s="76">
        <f ca="1" t="shared" si="19"/>
        <v>0</v>
      </c>
      <c r="AQ20" s="76">
        <f ca="1" t="shared" si="19"/>
        <v>0</v>
      </c>
      <c r="AR20" s="76">
        <f ca="1" t="shared" si="19"/>
        <v>0</v>
      </c>
      <c r="AS20" s="76">
        <f ca="1" t="shared" si="19"/>
        <v>0</v>
      </c>
      <c r="AT20" s="76">
        <f ca="1" t="shared" si="19"/>
        <v>0</v>
      </c>
      <c r="AU20" s="76">
        <f ca="1" t="shared" si="19"/>
        <v>0</v>
      </c>
      <c r="AV20" s="76">
        <f ca="1" t="shared" si="19"/>
        <v>0</v>
      </c>
      <c r="AW20" s="76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 s="109">
        <f ca="1" t="shared" si="18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5"/>
        <v>TRADST</v>
      </c>
      <c r="D21" s="76">
        <f ca="1" t="shared" ref="D21:AW21" si="21">ROUND(D6*D30/D38,3)</f>
        <v>0</v>
      </c>
      <c r="E21" s="76">
        <f ca="1" t="shared" ref="E21:U21" si="22">ROUND(E6*E30/E38,3)</f>
        <v>0</v>
      </c>
      <c r="F21" s="76">
        <f ca="1" t="shared" si="22"/>
        <v>0</v>
      </c>
      <c r="G21" s="76">
        <f ca="1" t="shared" si="22"/>
        <v>0</v>
      </c>
      <c r="H21" s="76">
        <f ca="1" t="shared" si="22"/>
        <v>0</v>
      </c>
      <c r="I21" s="76">
        <f ca="1" t="shared" si="22"/>
        <v>0</v>
      </c>
      <c r="J21" s="76">
        <f ca="1" t="shared" si="22"/>
        <v>0</v>
      </c>
      <c r="K21" s="112">
        <f ca="1" t="shared" si="22"/>
        <v>0</v>
      </c>
      <c r="L21" s="76">
        <f ca="1" t="shared" si="22"/>
        <v>0</v>
      </c>
      <c r="M21" s="76">
        <f ca="1" t="shared" si="22"/>
        <v>0</v>
      </c>
      <c r="N21" s="76">
        <f ca="1" t="shared" si="22"/>
        <v>0</v>
      </c>
      <c r="O21" s="76">
        <f ca="1" t="shared" si="22"/>
        <v>0</v>
      </c>
      <c r="P21" s="76">
        <f ca="1" t="shared" si="22"/>
        <v>0</v>
      </c>
      <c r="Q21" s="76">
        <f ca="1" t="shared" si="22"/>
        <v>0</v>
      </c>
      <c r="R21" s="76">
        <f ca="1" t="shared" si="22"/>
        <v>0</v>
      </c>
      <c r="S21" s="76">
        <f ca="1" t="shared" si="22"/>
        <v>0</v>
      </c>
      <c r="T21" s="76">
        <f ca="1" t="shared" si="22"/>
        <v>0</v>
      </c>
      <c r="U21" s="76">
        <f ca="1" t="shared" si="22"/>
        <v>0</v>
      </c>
      <c r="V21" s="76">
        <f ca="1" t="shared" si="21"/>
        <v>0</v>
      </c>
      <c r="W21" s="76">
        <f ca="1" t="shared" si="21"/>
        <v>0</v>
      </c>
      <c r="X21" s="76">
        <f ca="1" t="shared" si="21"/>
        <v>0</v>
      </c>
      <c r="Y21" s="112">
        <f ca="1" t="shared" si="21"/>
        <v>0</v>
      </c>
      <c r="Z21" s="76">
        <f ca="1" t="shared" si="21"/>
        <v>0</v>
      </c>
      <c r="AA21" s="76">
        <f ca="1" t="shared" si="21"/>
        <v>0</v>
      </c>
      <c r="AB21" s="76">
        <f ca="1" t="shared" si="21"/>
        <v>0</v>
      </c>
      <c r="AC21" s="76">
        <f ca="1" t="shared" si="21"/>
        <v>0</v>
      </c>
      <c r="AD21" s="76">
        <f ca="1" t="shared" si="21"/>
        <v>0</v>
      </c>
      <c r="AE21" s="76">
        <f ca="1" t="shared" si="21"/>
        <v>0</v>
      </c>
      <c r="AF21" s="76">
        <f ca="1" t="shared" si="21"/>
        <v>0</v>
      </c>
      <c r="AG21" s="76">
        <f ca="1" t="shared" si="21"/>
        <v>0</v>
      </c>
      <c r="AH21" s="76">
        <f ca="1" t="shared" si="21"/>
        <v>0</v>
      </c>
      <c r="AI21" s="76">
        <f ca="1" t="shared" si="21"/>
        <v>0</v>
      </c>
      <c r="AJ21" s="76">
        <f ca="1" t="shared" si="21"/>
        <v>0</v>
      </c>
      <c r="AK21" s="76">
        <f ca="1" t="shared" si="21"/>
        <v>0</v>
      </c>
      <c r="AL21" s="76">
        <f ca="1" t="shared" si="21"/>
        <v>0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 s="109">
        <f ca="1" t="shared" si="18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="109" customFormat="1" spans="1:61">
      <c r="C22" s="109" t="str">
        <f t="shared" si="15"/>
        <v>TRAELC</v>
      </c>
      <c r="D22" s="112">
        <f ca="1" t="shared" ref="D22:AW22" si="23">ROUND(D7*D31/D39,3)</f>
        <v>0</v>
      </c>
      <c r="E22" s="112">
        <f ca="1" t="shared" ref="E22:U22" si="24">ROUND(E7*E31/E39,3)</f>
        <v>0</v>
      </c>
      <c r="F22" s="112">
        <f ca="1" t="shared" si="24"/>
        <v>0.028</v>
      </c>
      <c r="G22" s="112">
        <f ca="1" t="shared" si="24"/>
        <v>0.017</v>
      </c>
      <c r="H22" s="112">
        <f ca="1" t="shared" si="24"/>
        <v>0</v>
      </c>
      <c r="I22" s="112">
        <f ca="1" t="shared" si="24"/>
        <v>0.745</v>
      </c>
      <c r="J22" s="112">
        <f ca="1" t="shared" si="24"/>
        <v>0</v>
      </c>
      <c r="K22" s="112">
        <f ca="1" t="shared" si="24"/>
        <v>63.093</v>
      </c>
      <c r="L22" s="112">
        <f ca="1" t="shared" si="24"/>
        <v>0</v>
      </c>
      <c r="M22" s="112">
        <f ca="1" t="shared" si="24"/>
        <v>0</v>
      </c>
      <c r="N22" s="112">
        <f ca="1" t="shared" si="24"/>
        <v>0.379</v>
      </c>
      <c r="O22" s="112">
        <f ca="1" t="shared" si="24"/>
        <v>0.389</v>
      </c>
      <c r="P22" s="112">
        <f ca="1" t="shared" si="24"/>
        <v>0.024</v>
      </c>
      <c r="Q22" s="112">
        <f ca="1" t="shared" si="24"/>
        <v>0</v>
      </c>
      <c r="R22" s="112">
        <f ca="1" t="shared" si="24"/>
        <v>0.026</v>
      </c>
      <c r="S22" s="112">
        <f ca="1" t="shared" si="24"/>
        <v>0</v>
      </c>
      <c r="T22" s="112">
        <f ca="1" t="shared" si="24"/>
        <v>0.031</v>
      </c>
      <c r="U22" s="112">
        <f ca="1" t="shared" si="24"/>
        <v>0.16</v>
      </c>
      <c r="V22" s="112">
        <f ca="1" t="shared" si="23"/>
        <v>0</v>
      </c>
      <c r="W22" s="112">
        <f ca="1" t="shared" si="23"/>
        <v>0.473</v>
      </c>
      <c r="X22" s="112">
        <f ca="1" t="shared" si="23"/>
        <v>0</v>
      </c>
      <c r="Y22" s="112">
        <f ca="1" t="shared" si="23"/>
        <v>9.014</v>
      </c>
      <c r="Z22" s="112">
        <f ca="1" t="shared" si="23"/>
        <v>1.739</v>
      </c>
      <c r="AA22" s="112">
        <f ca="1" t="shared" si="23"/>
        <v>0</v>
      </c>
      <c r="AB22" s="112">
        <f ca="1" t="shared" si="23"/>
        <v>0.568</v>
      </c>
      <c r="AC22" s="112">
        <f ca="1" t="shared" si="23"/>
        <v>0</v>
      </c>
      <c r="AD22" s="112">
        <f ca="1" t="shared" si="23"/>
        <v>0</v>
      </c>
      <c r="AE22" s="112">
        <f ca="1" t="shared" si="23"/>
        <v>0</v>
      </c>
      <c r="AF22" s="112">
        <f ca="1" t="shared" si="23"/>
        <v>0.208</v>
      </c>
      <c r="AG22" s="112">
        <f ca="1" t="shared" si="23"/>
        <v>0.437</v>
      </c>
      <c r="AH22" s="112">
        <f ca="1" t="shared" si="23"/>
        <v>0</v>
      </c>
      <c r="AI22" s="112">
        <f ca="1" t="shared" si="23"/>
        <v>0</v>
      </c>
      <c r="AJ22" s="112">
        <f ca="1" t="shared" si="23"/>
        <v>0.742</v>
      </c>
      <c r="AK22" s="112">
        <f ca="1" t="shared" si="23"/>
        <v>0</v>
      </c>
      <c r="AL22" s="112">
        <f ca="1" t="shared" si="23"/>
        <v>0</v>
      </c>
      <c r="AM22" s="112">
        <f ca="1" t="shared" si="23"/>
        <v>0</v>
      </c>
      <c r="AN22" s="112">
        <f ca="1" t="shared" si="23"/>
        <v>0</v>
      </c>
      <c r="AO22" s="112">
        <f ca="1" t="shared" si="23"/>
        <v>0</v>
      </c>
      <c r="AP22" s="112">
        <f ca="1" t="shared" si="23"/>
        <v>0</v>
      </c>
      <c r="AQ22" s="112">
        <f ca="1" t="shared" si="23"/>
        <v>0</v>
      </c>
      <c r="AR22" s="112">
        <f ca="1" t="shared" si="23"/>
        <v>0</v>
      </c>
      <c r="AS22" s="112">
        <f ca="1" t="shared" si="23"/>
        <v>0</v>
      </c>
      <c r="AT22" s="112">
        <f ca="1" t="shared" si="23"/>
        <v>0</v>
      </c>
      <c r="AU22" s="112">
        <f ca="1" t="shared" si="23"/>
        <v>0</v>
      </c>
      <c r="AV22" s="112">
        <f ca="1" t="shared" si="23"/>
        <v>0</v>
      </c>
      <c r="AW22" s="112">
        <f ca="1" t="shared" si="23"/>
        <v>0</v>
      </c>
      <c r="AY22" s="109" t="s">
        <v>151</v>
      </c>
      <c r="AZ22" s="109" t="str">
        <f ca="1">IF(AX7="zero","\I:",$BA$45&amp;"_"&amp;VLOOKUP(C22,'TRA balance'!$BB$5:$BC$15,2,FALSE))</f>
        <v>Trd_2w_elc</v>
      </c>
      <c r="BA22" s="109" t="str">
        <f ca="1" t="shared" si="0"/>
        <v>Trd_2w</v>
      </c>
      <c r="BB22" s="109">
        <f ca="1" t="shared" si="18"/>
        <v>25</v>
      </c>
      <c r="BD22" s="109" t="str">
        <f ca="1" t="shared" si="3"/>
        <v>DMD</v>
      </c>
      <c r="BE22" s="109" t="str">
        <f ca="1" t="shared" si="4"/>
        <v>Trd_2w_elc</v>
      </c>
      <c r="BG22" s="109" t="s">
        <v>92</v>
      </c>
      <c r="BH22" s="109" t="s">
        <v>144</v>
      </c>
      <c r="BI22" s="109" t="s">
        <v>145</v>
      </c>
    </row>
    <row r="23" s="109" customFormat="1" spans="1:61">
      <c r="C23" s="109" t="str">
        <f t="shared" si="15"/>
        <v>TRAGSL</v>
      </c>
      <c r="D23" s="112">
        <f ca="1" t="shared" ref="D23:AW23" si="25">ROUND(D8*D32/D40,3)</f>
        <v>35.426</v>
      </c>
      <c r="E23" s="112">
        <f ca="1" t="shared" ref="E23:U23" si="26">ROUND(E8*E32/E40,3)</f>
        <v>61.516</v>
      </c>
      <c r="F23" s="112">
        <f ca="1" t="shared" si="26"/>
        <v>1.448</v>
      </c>
      <c r="G23" s="112">
        <f ca="1" t="shared" si="26"/>
        <v>0.047</v>
      </c>
      <c r="H23" s="112">
        <f ca="1" t="shared" si="26"/>
        <v>0.043</v>
      </c>
      <c r="I23" s="112">
        <f ca="1" t="shared" si="26"/>
        <v>0.184</v>
      </c>
      <c r="J23" s="112">
        <f ca="1" t="shared" si="26"/>
        <v>1.715</v>
      </c>
      <c r="K23" s="112">
        <f ca="1" t="shared" si="26"/>
        <v>76.396</v>
      </c>
      <c r="L23" s="112">
        <f ca="1" t="shared" si="26"/>
        <v>0.072</v>
      </c>
      <c r="M23" s="112">
        <f ca="1" t="shared" si="26"/>
        <v>0.17</v>
      </c>
      <c r="N23" s="112">
        <f ca="1" t="shared" si="26"/>
        <v>0.226</v>
      </c>
      <c r="O23" s="112">
        <f ca="1" t="shared" si="26"/>
        <v>0.496</v>
      </c>
      <c r="P23" s="112">
        <f ca="1" t="shared" si="26"/>
        <v>0.078</v>
      </c>
      <c r="Q23" s="112">
        <f ca="1" t="shared" si="26"/>
        <v>0.265</v>
      </c>
      <c r="R23" s="112">
        <f ca="1" t="shared" si="26"/>
        <v>0.004</v>
      </c>
      <c r="S23" s="112">
        <f ca="1" t="shared" si="26"/>
        <v>75.969</v>
      </c>
      <c r="T23" s="112">
        <f ca="1" t="shared" si="26"/>
        <v>0.022</v>
      </c>
      <c r="U23" s="112">
        <f ca="1" t="shared" si="26"/>
        <v>0.224</v>
      </c>
      <c r="V23" s="112">
        <f ca="1" t="shared" si="25"/>
        <v>3.53</v>
      </c>
      <c r="W23" s="112">
        <f ca="1" t="shared" si="25"/>
        <v>3.261</v>
      </c>
      <c r="X23" s="112">
        <f ca="1" t="shared" si="25"/>
        <v>6.541</v>
      </c>
      <c r="Y23" s="112">
        <f ca="1" t="shared" si="25"/>
        <v>2.076</v>
      </c>
      <c r="Z23" s="112">
        <f ca="1" t="shared" si="25"/>
        <v>0.033</v>
      </c>
      <c r="AA23" s="112">
        <f ca="1" t="shared" si="25"/>
        <v>0.371</v>
      </c>
      <c r="AB23" s="112">
        <f ca="1" t="shared" si="25"/>
        <v>223.889</v>
      </c>
      <c r="AC23" s="112">
        <f ca="1" t="shared" si="25"/>
        <v>5.36</v>
      </c>
      <c r="AD23" s="112">
        <f ca="1" t="shared" si="25"/>
        <v>2.018</v>
      </c>
      <c r="AE23" s="112">
        <f ca="1" t="shared" si="25"/>
        <v>15.67</v>
      </c>
      <c r="AF23" s="112">
        <f ca="1" t="shared" si="25"/>
        <v>0.2</v>
      </c>
      <c r="AG23" s="112">
        <f ca="1" t="shared" si="25"/>
        <v>0.13</v>
      </c>
      <c r="AH23" s="112">
        <f ca="1" t="shared" si="25"/>
        <v>0.069</v>
      </c>
      <c r="AI23" s="112">
        <f ca="1" t="shared" si="25"/>
        <v>0.197</v>
      </c>
      <c r="AJ23" s="112">
        <f ca="1" t="shared" si="25"/>
        <v>0.619</v>
      </c>
      <c r="AK23" s="112">
        <f ca="1" t="shared" si="25"/>
        <v>0.2</v>
      </c>
      <c r="AL23" s="112">
        <f ca="1" t="shared" si="25"/>
        <v>0.131</v>
      </c>
      <c r="AM23" s="112">
        <f ca="1" t="shared" si="25"/>
        <v>0</v>
      </c>
      <c r="AN23" s="112">
        <f ca="1" t="shared" si="25"/>
        <v>0</v>
      </c>
      <c r="AO23" s="112">
        <f ca="1" t="shared" si="25"/>
        <v>0</v>
      </c>
      <c r="AP23" s="112">
        <f ca="1" t="shared" si="25"/>
        <v>0</v>
      </c>
      <c r="AQ23" s="112">
        <f ca="1" t="shared" si="25"/>
        <v>0</v>
      </c>
      <c r="AR23" s="112">
        <f ca="1" t="shared" si="25"/>
        <v>0</v>
      </c>
      <c r="AS23" s="112">
        <f ca="1" t="shared" si="25"/>
        <v>0</v>
      </c>
      <c r="AT23" s="112">
        <f ca="1" t="shared" si="25"/>
        <v>0</v>
      </c>
      <c r="AU23" s="112">
        <f ca="1" t="shared" si="25"/>
        <v>0</v>
      </c>
      <c r="AV23" s="112">
        <f ca="1" t="shared" si="25"/>
        <v>0</v>
      </c>
      <c r="AW23" s="112">
        <f ca="1" t="shared" si="25"/>
        <v>0</v>
      </c>
      <c r="AY23" s="109" t="s">
        <v>151</v>
      </c>
      <c r="AZ23" s="109" t="str">
        <f ca="1">IF(AX8="zero","\I:",$BA$45&amp;"_"&amp;VLOOKUP(C23,'TRA balance'!$BB$5:$BC$15,2,FALSE))</f>
        <v>Trd_2w_gsl</v>
      </c>
      <c r="BA23" s="109" t="str">
        <f ca="1" t="shared" si="0"/>
        <v>Trd_2w</v>
      </c>
      <c r="BB23" s="109">
        <f ca="1" t="shared" si="18"/>
        <v>25</v>
      </c>
      <c r="BD23" s="109" t="str">
        <f ca="1" t="shared" si="3"/>
        <v>DMD</v>
      </c>
      <c r="BE23" s="109" t="str">
        <f ca="1" t="shared" si="4"/>
        <v>Trd_2w_gsl</v>
      </c>
      <c r="BG23" s="109" t="s">
        <v>92</v>
      </c>
      <c r="BH23" s="109" t="s">
        <v>144</v>
      </c>
      <c r="BI23" s="109" t="s">
        <v>145</v>
      </c>
    </row>
    <row r="24" spans="1:61">
      <c r="C24" t="str">
        <f t="shared" si="15"/>
        <v>TRALPG</v>
      </c>
      <c r="D24" s="76">
        <f ca="1" t="shared" ref="D24:AW24" si="27">ROUND(D9*D33/D41,3)</f>
        <v>0</v>
      </c>
      <c r="E24" s="76">
        <f ca="1" t="shared" ref="E24:U24" si="28">ROUND(E9*E33/E41,3)</f>
        <v>0</v>
      </c>
      <c r="F24" s="76">
        <f ca="1" t="shared" si="28"/>
        <v>0</v>
      </c>
      <c r="G24" s="76">
        <f ca="1" t="shared" si="28"/>
        <v>0</v>
      </c>
      <c r="H24" s="76">
        <f ca="1" t="shared" si="28"/>
        <v>0</v>
      </c>
      <c r="I24" s="76">
        <f ca="1" t="shared" si="28"/>
        <v>0</v>
      </c>
      <c r="J24" s="76">
        <f ca="1" t="shared" si="28"/>
        <v>0</v>
      </c>
      <c r="K24" s="112">
        <f ca="1" t="shared" si="28"/>
        <v>0</v>
      </c>
      <c r="L24" s="76">
        <f ca="1" t="shared" si="28"/>
        <v>0</v>
      </c>
      <c r="M24" s="76">
        <f ca="1" t="shared" si="28"/>
        <v>0</v>
      </c>
      <c r="N24" s="76">
        <f ca="1" t="shared" si="28"/>
        <v>0</v>
      </c>
      <c r="O24" s="76">
        <f ca="1" t="shared" si="28"/>
        <v>0</v>
      </c>
      <c r="P24" s="76">
        <f ca="1" t="shared" si="28"/>
        <v>0</v>
      </c>
      <c r="Q24" s="76">
        <f ca="1" t="shared" si="28"/>
        <v>0</v>
      </c>
      <c r="R24" s="76">
        <f ca="1" t="shared" si="28"/>
        <v>0</v>
      </c>
      <c r="S24" s="76">
        <f ca="1" t="shared" si="28"/>
        <v>0</v>
      </c>
      <c r="T24" s="76">
        <f ca="1" t="shared" si="28"/>
        <v>0</v>
      </c>
      <c r="U24" s="76">
        <f ca="1" t="shared" si="28"/>
        <v>0</v>
      </c>
      <c r="V24" s="76">
        <f ca="1" t="shared" si="27"/>
        <v>0</v>
      </c>
      <c r="W24" s="76">
        <f ca="1" t="shared" si="27"/>
        <v>0</v>
      </c>
      <c r="X24" s="76">
        <f ca="1" t="shared" si="27"/>
        <v>0</v>
      </c>
      <c r="Y24" s="112">
        <f ca="1" t="shared" si="27"/>
        <v>0</v>
      </c>
      <c r="Z24" s="76">
        <f ca="1" t="shared" si="27"/>
        <v>0</v>
      </c>
      <c r="AA24" s="76">
        <f ca="1" t="shared" si="27"/>
        <v>0</v>
      </c>
      <c r="AB24" s="76">
        <f ca="1" t="shared" si="27"/>
        <v>0</v>
      </c>
      <c r="AC24" s="76">
        <f ca="1" t="shared" si="27"/>
        <v>0</v>
      </c>
      <c r="AD24" s="76">
        <f ca="1" t="shared" si="27"/>
        <v>0</v>
      </c>
      <c r="AE24" s="76">
        <f ca="1" t="shared" si="27"/>
        <v>0</v>
      </c>
      <c r="AF24" s="76">
        <f ca="1" t="shared" si="27"/>
        <v>0</v>
      </c>
      <c r="AG24" s="76">
        <f ca="1" t="shared" si="27"/>
        <v>0</v>
      </c>
      <c r="AH24" s="76">
        <f ca="1" t="shared" si="27"/>
        <v>0</v>
      </c>
      <c r="AI24" s="76">
        <f ca="1" t="shared" si="27"/>
        <v>0</v>
      </c>
      <c r="AJ24" s="76">
        <f ca="1" t="shared" si="27"/>
        <v>0</v>
      </c>
      <c r="AK24" s="76">
        <f ca="1" t="shared" si="27"/>
        <v>0</v>
      </c>
      <c r="AL24" s="76">
        <f ca="1" t="shared" si="27"/>
        <v>0</v>
      </c>
      <c r="AM24" s="76">
        <f ca="1" t="shared" si="27"/>
        <v>0</v>
      </c>
      <c r="AN24" s="76">
        <f ca="1" t="shared" si="27"/>
        <v>0</v>
      </c>
      <c r="AO24" s="76">
        <f ca="1" t="shared" si="27"/>
        <v>0</v>
      </c>
      <c r="AP24" s="76">
        <f ca="1" t="shared" si="27"/>
        <v>0</v>
      </c>
      <c r="AQ24" s="76">
        <f ca="1" t="shared" si="27"/>
        <v>0</v>
      </c>
      <c r="AR24" s="76">
        <f ca="1" t="shared" si="27"/>
        <v>0</v>
      </c>
      <c r="AS24" s="76">
        <f ca="1" t="shared" si="27"/>
        <v>0</v>
      </c>
      <c r="AT24" s="76">
        <f ca="1" t="shared" si="27"/>
        <v>0</v>
      </c>
      <c r="AU24" s="76">
        <f ca="1" t="shared" si="27"/>
        <v>0</v>
      </c>
      <c r="AV24" s="76">
        <f ca="1" t="shared" si="27"/>
        <v>0</v>
      </c>
      <c r="AW24" s="76">
        <f ca="1" t="shared" si="27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 s="109">
        <f ca="1" t="shared" si="18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5"/>
        <v>TRANGA</v>
      </c>
      <c r="D25" s="76">
        <f ca="1" t="shared" ref="D25:AW25" si="29">ROUND(D10*D34/D42,3)</f>
        <v>0</v>
      </c>
      <c r="E25" s="76">
        <f ca="1" t="shared" ref="E25:U25" si="30">ROUND(E10*E34/E42,3)</f>
        <v>0</v>
      </c>
      <c r="F25" s="76">
        <f ca="1" t="shared" si="30"/>
        <v>0</v>
      </c>
      <c r="G25" s="76">
        <f ca="1" t="shared" si="30"/>
        <v>0</v>
      </c>
      <c r="H25" s="76">
        <f ca="1" t="shared" si="30"/>
        <v>0</v>
      </c>
      <c r="I25" s="76">
        <f ca="1" t="shared" si="30"/>
        <v>0</v>
      </c>
      <c r="J25" s="76">
        <f ca="1" t="shared" si="30"/>
        <v>0</v>
      </c>
      <c r="K25" s="112">
        <f ca="1" t="shared" si="30"/>
        <v>0</v>
      </c>
      <c r="L25" s="76">
        <f ca="1" t="shared" si="30"/>
        <v>0</v>
      </c>
      <c r="M25" s="76">
        <f ca="1" t="shared" si="30"/>
        <v>0</v>
      </c>
      <c r="N25" s="76">
        <f ca="1" t="shared" si="30"/>
        <v>0</v>
      </c>
      <c r="O25" s="76">
        <f ca="1" t="shared" si="30"/>
        <v>0</v>
      </c>
      <c r="P25" s="76">
        <f ca="1" t="shared" si="30"/>
        <v>0</v>
      </c>
      <c r="Q25" s="76">
        <f ca="1" t="shared" si="30"/>
        <v>0</v>
      </c>
      <c r="R25" s="76">
        <f ca="1" t="shared" si="30"/>
        <v>0</v>
      </c>
      <c r="S25" s="76">
        <f ca="1" t="shared" si="30"/>
        <v>0</v>
      </c>
      <c r="T25" s="76">
        <f ca="1" t="shared" si="30"/>
        <v>0</v>
      </c>
      <c r="U25" s="76">
        <f ca="1" t="shared" si="30"/>
        <v>0</v>
      </c>
      <c r="V25" s="76">
        <f ca="1" t="shared" si="29"/>
        <v>0</v>
      </c>
      <c r="W25" s="76">
        <f ca="1" t="shared" si="29"/>
        <v>0</v>
      </c>
      <c r="X25" s="76">
        <f ca="1" t="shared" si="29"/>
        <v>0</v>
      </c>
      <c r="Y25" s="112">
        <f ca="1" t="shared" si="29"/>
        <v>0</v>
      </c>
      <c r="Z25" s="76">
        <f ca="1" t="shared" si="29"/>
        <v>0</v>
      </c>
      <c r="AA25" s="76">
        <f ca="1" t="shared" si="29"/>
        <v>0</v>
      </c>
      <c r="AB25" s="76">
        <f ca="1" t="shared" si="29"/>
        <v>0</v>
      </c>
      <c r="AC25" s="76">
        <f ca="1" t="shared" si="29"/>
        <v>0</v>
      </c>
      <c r="AD25" s="76">
        <f ca="1" t="shared" si="29"/>
        <v>0</v>
      </c>
      <c r="AE25" s="76">
        <f ca="1" t="shared" si="29"/>
        <v>0</v>
      </c>
      <c r="AF25" s="76">
        <f ca="1" t="shared" si="29"/>
        <v>0</v>
      </c>
      <c r="AG25" s="76">
        <f ca="1" t="shared" si="29"/>
        <v>0</v>
      </c>
      <c r="AH25" s="76">
        <f ca="1" t="shared" si="29"/>
        <v>0</v>
      </c>
      <c r="AI25" s="76">
        <f ca="1" t="shared" si="29"/>
        <v>0</v>
      </c>
      <c r="AJ25" s="76">
        <f ca="1" t="shared" si="29"/>
        <v>0</v>
      </c>
      <c r="AK25" s="76">
        <f ca="1" t="shared" si="29"/>
        <v>0</v>
      </c>
      <c r="AL25" s="76">
        <f ca="1" t="shared" si="29"/>
        <v>0</v>
      </c>
      <c r="AM25" s="76">
        <f ca="1" t="shared" si="29"/>
        <v>0</v>
      </c>
      <c r="AN25" s="76">
        <f ca="1" t="shared" si="29"/>
        <v>0</v>
      </c>
      <c r="AO25" s="76">
        <f ca="1" t="shared" si="29"/>
        <v>0</v>
      </c>
      <c r="AP25" s="76">
        <f ca="1" t="shared" si="29"/>
        <v>0</v>
      </c>
      <c r="AQ25" s="76">
        <f ca="1" t="shared" si="29"/>
        <v>0</v>
      </c>
      <c r="AR25" s="76">
        <f ca="1" t="shared" si="29"/>
        <v>0</v>
      </c>
      <c r="AS25" s="76">
        <f ca="1" t="shared" si="29"/>
        <v>0</v>
      </c>
      <c r="AT25" s="76">
        <f ca="1" t="shared" si="29"/>
        <v>0</v>
      </c>
      <c r="AU25" s="76">
        <f ca="1" t="shared" si="29"/>
        <v>0</v>
      </c>
      <c r="AV25" s="76">
        <f ca="1" t="shared" si="29"/>
        <v>0</v>
      </c>
      <c r="AW25" s="76">
        <f ca="1" t="shared" si="2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 s="109">
        <f ca="1" t="shared" si="18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112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112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s="109" t="str">
        <f t="shared" si="18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 s="109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 s="109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s="109" t="str">
        <f t="shared" si="18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31">$AX28*D$27</f>
        <v>0.99</v>
      </c>
      <c r="E28">
        <f t="shared" si="31"/>
        <v>0.99</v>
      </c>
      <c r="F28">
        <f t="shared" si="31"/>
        <v>0.99</v>
      </c>
      <c r="G28">
        <f t="shared" si="31"/>
        <v>0.99</v>
      </c>
      <c r="H28">
        <f t="shared" si="31"/>
        <v>0.99</v>
      </c>
      <c r="I28">
        <f t="shared" si="31"/>
        <v>0.99</v>
      </c>
      <c r="J28">
        <f t="shared" si="31"/>
        <v>0.99</v>
      </c>
      <c r="K28" s="109">
        <f t="shared" si="31"/>
        <v>0.99</v>
      </c>
      <c r="L28">
        <f t="shared" si="31"/>
        <v>0.99</v>
      </c>
      <c r="M28">
        <f t="shared" si="31"/>
        <v>0.99</v>
      </c>
      <c r="N28">
        <f t="shared" si="31"/>
        <v>0.99</v>
      </c>
      <c r="O28">
        <f t="shared" si="31"/>
        <v>0.99</v>
      </c>
      <c r="P28">
        <f t="shared" si="31"/>
        <v>0.99</v>
      </c>
      <c r="Q28">
        <f t="shared" si="31"/>
        <v>0.99</v>
      </c>
      <c r="R28">
        <f t="shared" si="31"/>
        <v>0.99</v>
      </c>
      <c r="S28">
        <f t="shared" si="31"/>
        <v>0.99</v>
      </c>
      <c r="T28">
        <f t="shared" si="31"/>
        <v>0.99</v>
      </c>
      <c r="U28">
        <f t="shared" si="31"/>
        <v>0.99</v>
      </c>
      <c r="V28">
        <f t="shared" si="31"/>
        <v>0.99</v>
      </c>
      <c r="W28">
        <f t="shared" si="31"/>
        <v>0.99</v>
      </c>
      <c r="X28">
        <f t="shared" si="31"/>
        <v>0.99</v>
      </c>
      <c r="Y28" s="109">
        <f t="shared" si="31"/>
        <v>0.99</v>
      </c>
      <c r="Z28">
        <f t="shared" si="31"/>
        <v>0.99</v>
      </c>
      <c r="AA28">
        <f t="shared" si="31"/>
        <v>0.99</v>
      </c>
      <c r="AB28">
        <f t="shared" si="31"/>
        <v>0.99</v>
      </c>
      <c r="AC28">
        <f t="shared" si="31"/>
        <v>0.99</v>
      </c>
      <c r="AD28">
        <f t="shared" ref="AD28:AS34" si="32">$AX28*AD$27</f>
        <v>0.99</v>
      </c>
      <c r="AE28">
        <f t="shared" si="32"/>
        <v>0.99</v>
      </c>
      <c r="AF28">
        <f t="shared" si="32"/>
        <v>0.99</v>
      </c>
      <c r="AG28">
        <f t="shared" si="32"/>
        <v>0.99</v>
      </c>
      <c r="AH28">
        <f t="shared" si="32"/>
        <v>0.99</v>
      </c>
      <c r="AI28">
        <f t="shared" si="32"/>
        <v>0.99</v>
      </c>
      <c r="AJ28">
        <f t="shared" si="32"/>
        <v>0.99</v>
      </c>
      <c r="AK28">
        <f t="shared" si="32"/>
        <v>0.99</v>
      </c>
      <c r="AL28">
        <f t="shared" si="32"/>
        <v>0.99</v>
      </c>
      <c r="AM28">
        <f t="shared" si="32"/>
        <v>0.99</v>
      </c>
      <c r="AN28">
        <f t="shared" si="32"/>
        <v>0.99</v>
      </c>
      <c r="AO28">
        <f t="shared" si="32"/>
        <v>0.99</v>
      </c>
      <c r="AP28">
        <f t="shared" si="32"/>
        <v>0.99</v>
      </c>
      <c r="AQ28">
        <f t="shared" si="32"/>
        <v>0.99</v>
      </c>
      <c r="AR28">
        <f t="shared" si="32"/>
        <v>0.99</v>
      </c>
      <c r="AS28">
        <f t="shared" si="32"/>
        <v>0.99</v>
      </c>
      <c r="AT28">
        <f t="shared" ref="AK28:AW34" si="33">$AX28*AT$27</f>
        <v>0.99</v>
      </c>
      <c r="AU28">
        <f t="shared" si="33"/>
        <v>0.99</v>
      </c>
      <c r="AV28">
        <f t="shared" si="33"/>
        <v>0.99</v>
      </c>
      <c r="AW28">
        <f t="shared" si="33"/>
        <v>0.99</v>
      </c>
      <c r="AX28" s="104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 s="109">
        <f ca="1" t="shared" si="18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4">C20</f>
        <v>TRABGS</v>
      </c>
      <c r="D29">
        <f t="shared" si="31"/>
        <v>0.99</v>
      </c>
      <c r="E29">
        <f t="shared" si="31"/>
        <v>0.99</v>
      </c>
      <c r="F29">
        <f t="shared" si="31"/>
        <v>0.99</v>
      </c>
      <c r="G29">
        <f t="shared" si="31"/>
        <v>0.99</v>
      </c>
      <c r="H29">
        <f t="shared" si="31"/>
        <v>0.99</v>
      </c>
      <c r="I29">
        <f t="shared" si="31"/>
        <v>0.99</v>
      </c>
      <c r="J29">
        <f t="shared" si="31"/>
        <v>0.99</v>
      </c>
      <c r="K29" s="109">
        <f t="shared" si="31"/>
        <v>0.99</v>
      </c>
      <c r="L29">
        <f t="shared" si="31"/>
        <v>0.99</v>
      </c>
      <c r="M29">
        <f t="shared" si="31"/>
        <v>0.99</v>
      </c>
      <c r="N29">
        <f t="shared" si="31"/>
        <v>0.99</v>
      </c>
      <c r="O29">
        <f t="shared" si="31"/>
        <v>0.99</v>
      </c>
      <c r="P29">
        <f t="shared" si="31"/>
        <v>0.99</v>
      </c>
      <c r="Q29">
        <f t="shared" si="31"/>
        <v>0.99</v>
      </c>
      <c r="R29">
        <f t="shared" si="31"/>
        <v>0.99</v>
      </c>
      <c r="S29">
        <f t="shared" si="31"/>
        <v>0.99</v>
      </c>
      <c r="T29">
        <f t="shared" si="31"/>
        <v>0.99</v>
      </c>
      <c r="U29">
        <f t="shared" si="31"/>
        <v>0.99</v>
      </c>
      <c r="V29">
        <f t="shared" si="31"/>
        <v>0.99</v>
      </c>
      <c r="W29">
        <f t="shared" si="31"/>
        <v>0.99</v>
      </c>
      <c r="X29">
        <f t="shared" si="31"/>
        <v>0.99</v>
      </c>
      <c r="Y29" s="109">
        <f t="shared" si="31"/>
        <v>0.99</v>
      </c>
      <c r="Z29">
        <f t="shared" si="31"/>
        <v>0.99</v>
      </c>
      <c r="AA29">
        <f t="shared" si="31"/>
        <v>0.99</v>
      </c>
      <c r="AB29">
        <f t="shared" si="31"/>
        <v>0.99</v>
      </c>
      <c r="AC29">
        <f t="shared" si="31"/>
        <v>0.99</v>
      </c>
      <c r="AD29">
        <f t="shared" si="32"/>
        <v>0.99</v>
      </c>
      <c r="AE29">
        <f t="shared" si="32"/>
        <v>0.99</v>
      </c>
      <c r="AF29">
        <f t="shared" si="32"/>
        <v>0.99</v>
      </c>
      <c r="AG29">
        <f t="shared" si="32"/>
        <v>0.99</v>
      </c>
      <c r="AH29">
        <f t="shared" si="32"/>
        <v>0.99</v>
      </c>
      <c r="AI29">
        <f t="shared" si="32"/>
        <v>0.99</v>
      </c>
      <c r="AJ29">
        <f t="shared" si="32"/>
        <v>0.99</v>
      </c>
      <c r="AK29">
        <f t="shared" si="33"/>
        <v>0.99</v>
      </c>
      <c r="AL29">
        <f t="shared" si="33"/>
        <v>0.99</v>
      </c>
      <c r="AM29">
        <f t="shared" si="33"/>
        <v>0.99</v>
      </c>
      <c r="AN29">
        <f t="shared" si="33"/>
        <v>0.99</v>
      </c>
      <c r="AO29">
        <f t="shared" si="33"/>
        <v>0.99</v>
      </c>
      <c r="AP29">
        <f t="shared" si="33"/>
        <v>0.99</v>
      </c>
      <c r="AQ29">
        <f t="shared" si="33"/>
        <v>0.99</v>
      </c>
      <c r="AR29">
        <f t="shared" si="33"/>
        <v>0.99</v>
      </c>
      <c r="AS29">
        <f t="shared" si="33"/>
        <v>0.99</v>
      </c>
      <c r="AT29">
        <f t="shared" si="33"/>
        <v>0.99</v>
      </c>
      <c r="AU29">
        <f t="shared" si="33"/>
        <v>0.99</v>
      </c>
      <c r="AV29">
        <f t="shared" si="33"/>
        <v>0.99</v>
      </c>
      <c r="AW29">
        <f t="shared" si="33"/>
        <v>0.99</v>
      </c>
      <c r="AX29" s="104">
        <v>0.99</v>
      </c>
      <c r="AY29" t="s">
        <v>153</v>
      </c>
      <c r="AZ29" s="3" t="str">
        <f ca="1" t="shared" ref="AZ29:AZ34" si="35">AZ20</f>
        <v>\I:</v>
      </c>
      <c r="BA29" t="str">
        <f ca="1" t="shared" si="0"/>
        <v>Trd_2w</v>
      </c>
      <c r="BB29" s="109">
        <f ca="1" t="shared" si="18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4"/>
        <v>TRADST</v>
      </c>
      <c r="D30">
        <f t="shared" si="31"/>
        <v>0.99</v>
      </c>
      <c r="E30">
        <f t="shared" si="31"/>
        <v>0.99</v>
      </c>
      <c r="F30">
        <f t="shared" si="31"/>
        <v>0.99</v>
      </c>
      <c r="G30">
        <f t="shared" si="31"/>
        <v>0.99</v>
      </c>
      <c r="H30">
        <f t="shared" si="31"/>
        <v>0.99</v>
      </c>
      <c r="I30">
        <f t="shared" si="31"/>
        <v>0.99</v>
      </c>
      <c r="J30">
        <f t="shared" si="31"/>
        <v>0.99</v>
      </c>
      <c r="K30" s="109">
        <f t="shared" si="31"/>
        <v>0.99</v>
      </c>
      <c r="L30">
        <f t="shared" si="31"/>
        <v>0.99</v>
      </c>
      <c r="M30">
        <f t="shared" si="31"/>
        <v>0.99</v>
      </c>
      <c r="N30">
        <f t="shared" si="31"/>
        <v>0.99</v>
      </c>
      <c r="O30">
        <f t="shared" si="31"/>
        <v>0.99</v>
      </c>
      <c r="P30">
        <f t="shared" si="31"/>
        <v>0.99</v>
      </c>
      <c r="Q30">
        <f t="shared" si="31"/>
        <v>0.99</v>
      </c>
      <c r="R30">
        <f t="shared" si="31"/>
        <v>0.99</v>
      </c>
      <c r="S30">
        <f t="shared" si="31"/>
        <v>0.99</v>
      </c>
      <c r="T30">
        <f t="shared" si="31"/>
        <v>0.99</v>
      </c>
      <c r="U30">
        <f t="shared" si="31"/>
        <v>0.99</v>
      </c>
      <c r="V30">
        <f t="shared" si="31"/>
        <v>0.99</v>
      </c>
      <c r="W30">
        <f t="shared" si="31"/>
        <v>0.99</v>
      </c>
      <c r="X30">
        <f t="shared" si="31"/>
        <v>0.99</v>
      </c>
      <c r="Y30" s="109">
        <f t="shared" si="31"/>
        <v>0.99</v>
      </c>
      <c r="Z30">
        <f t="shared" si="31"/>
        <v>0.99</v>
      </c>
      <c r="AA30">
        <f t="shared" si="31"/>
        <v>0.99</v>
      </c>
      <c r="AB30">
        <f t="shared" si="31"/>
        <v>0.99</v>
      </c>
      <c r="AC30">
        <f t="shared" si="31"/>
        <v>0.99</v>
      </c>
      <c r="AD30">
        <f t="shared" si="32"/>
        <v>0.99</v>
      </c>
      <c r="AE30">
        <f t="shared" si="32"/>
        <v>0.99</v>
      </c>
      <c r="AF30">
        <f t="shared" si="32"/>
        <v>0.99</v>
      </c>
      <c r="AG30">
        <f t="shared" si="32"/>
        <v>0.99</v>
      </c>
      <c r="AH30">
        <f t="shared" si="32"/>
        <v>0.99</v>
      </c>
      <c r="AI30">
        <f t="shared" si="32"/>
        <v>0.99</v>
      </c>
      <c r="AJ30">
        <f t="shared" si="32"/>
        <v>0.99</v>
      </c>
      <c r="AK30">
        <f t="shared" si="33"/>
        <v>0.99</v>
      </c>
      <c r="AL30">
        <f t="shared" si="33"/>
        <v>0.99</v>
      </c>
      <c r="AM30">
        <f t="shared" si="33"/>
        <v>0.99</v>
      </c>
      <c r="AN30">
        <f t="shared" si="33"/>
        <v>0.99</v>
      </c>
      <c r="AO30">
        <f t="shared" si="33"/>
        <v>0.99</v>
      </c>
      <c r="AP30">
        <f t="shared" si="33"/>
        <v>0.99</v>
      </c>
      <c r="AQ30">
        <f t="shared" si="33"/>
        <v>0.99</v>
      </c>
      <c r="AR30">
        <f t="shared" si="33"/>
        <v>0.99</v>
      </c>
      <c r="AS30">
        <f t="shared" si="33"/>
        <v>0.99</v>
      </c>
      <c r="AT30">
        <f t="shared" si="33"/>
        <v>0.99</v>
      </c>
      <c r="AU30">
        <f t="shared" si="33"/>
        <v>0.99</v>
      </c>
      <c r="AV30">
        <f t="shared" si="33"/>
        <v>0.99</v>
      </c>
      <c r="AW30">
        <f t="shared" si="33"/>
        <v>0.99</v>
      </c>
      <c r="AX30" s="104">
        <v>0.99</v>
      </c>
      <c r="AY30" t="s">
        <v>153</v>
      </c>
      <c r="AZ30" s="3" t="str">
        <f ca="1" t="shared" si="35"/>
        <v>\I:</v>
      </c>
      <c r="BA30" t="str">
        <f ca="1" t="shared" si="0"/>
        <v>Trd_2w</v>
      </c>
      <c r="BB30" s="109">
        <f ca="1" t="shared" si="18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4"/>
        <v>TRAELC</v>
      </c>
      <c r="D31">
        <f t="shared" si="31"/>
        <v>3</v>
      </c>
      <c r="E31">
        <f t="shared" si="31"/>
        <v>3</v>
      </c>
      <c r="F31">
        <f t="shared" si="31"/>
        <v>3</v>
      </c>
      <c r="G31">
        <f t="shared" si="31"/>
        <v>3</v>
      </c>
      <c r="H31">
        <f t="shared" si="31"/>
        <v>3</v>
      </c>
      <c r="I31">
        <f t="shared" si="31"/>
        <v>3</v>
      </c>
      <c r="J31">
        <f t="shared" si="31"/>
        <v>3</v>
      </c>
      <c r="K31" s="109">
        <f t="shared" si="31"/>
        <v>3</v>
      </c>
      <c r="L31">
        <f t="shared" si="31"/>
        <v>3</v>
      </c>
      <c r="M31">
        <f t="shared" si="31"/>
        <v>3</v>
      </c>
      <c r="N31">
        <f t="shared" si="31"/>
        <v>3</v>
      </c>
      <c r="O31">
        <f t="shared" si="31"/>
        <v>3</v>
      </c>
      <c r="P31">
        <f t="shared" si="31"/>
        <v>3</v>
      </c>
      <c r="Q31">
        <f t="shared" si="31"/>
        <v>3</v>
      </c>
      <c r="R31">
        <f t="shared" si="31"/>
        <v>3</v>
      </c>
      <c r="S31">
        <f t="shared" si="31"/>
        <v>3</v>
      </c>
      <c r="T31">
        <f t="shared" si="31"/>
        <v>3</v>
      </c>
      <c r="U31">
        <f t="shared" si="31"/>
        <v>3</v>
      </c>
      <c r="V31">
        <f t="shared" si="31"/>
        <v>3</v>
      </c>
      <c r="W31">
        <f t="shared" si="31"/>
        <v>3</v>
      </c>
      <c r="X31">
        <f t="shared" si="31"/>
        <v>3</v>
      </c>
      <c r="Y31" s="109">
        <f t="shared" si="31"/>
        <v>3</v>
      </c>
      <c r="Z31">
        <f t="shared" si="31"/>
        <v>3</v>
      </c>
      <c r="AA31">
        <f t="shared" si="31"/>
        <v>3</v>
      </c>
      <c r="AB31">
        <f t="shared" si="31"/>
        <v>3</v>
      </c>
      <c r="AC31">
        <f t="shared" si="31"/>
        <v>3</v>
      </c>
      <c r="AD31">
        <f t="shared" si="32"/>
        <v>3</v>
      </c>
      <c r="AE31">
        <f t="shared" si="32"/>
        <v>3</v>
      </c>
      <c r="AF31">
        <f t="shared" si="32"/>
        <v>3</v>
      </c>
      <c r="AG31">
        <f t="shared" si="32"/>
        <v>3</v>
      </c>
      <c r="AH31">
        <f t="shared" si="32"/>
        <v>3</v>
      </c>
      <c r="AI31">
        <f t="shared" si="32"/>
        <v>3</v>
      </c>
      <c r="AJ31">
        <f t="shared" si="32"/>
        <v>3</v>
      </c>
      <c r="AK31">
        <f t="shared" si="33"/>
        <v>3</v>
      </c>
      <c r="AL31">
        <f t="shared" si="33"/>
        <v>3</v>
      </c>
      <c r="AM31">
        <f t="shared" si="33"/>
        <v>3</v>
      </c>
      <c r="AN31">
        <f t="shared" si="33"/>
        <v>3</v>
      </c>
      <c r="AO31">
        <f t="shared" si="33"/>
        <v>3</v>
      </c>
      <c r="AP31">
        <f t="shared" si="33"/>
        <v>3</v>
      </c>
      <c r="AQ31">
        <f t="shared" si="33"/>
        <v>3</v>
      </c>
      <c r="AR31">
        <f t="shared" si="33"/>
        <v>3</v>
      </c>
      <c r="AS31">
        <f t="shared" si="33"/>
        <v>3</v>
      </c>
      <c r="AT31">
        <f t="shared" si="33"/>
        <v>3</v>
      </c>
      <c r="AU31">
        <f t="shared" si="33"/>
        <v>3</v>
      </c>
      <c r="AV31">
        <f t="shared" si="33"/>
        <v>3</v>
      </c>
      <c r="AW31">
        <f t="shared" si="33"/>
        <v>3</v>
      </c>
      <c r="AX31" s="104">
        <v>3</v>
      </c>
      <c r="AY31" t="s">
        <v>153</v>
      </c>
      <c r="AZ31" s="3" t="str">
        <f ca="1" t="shared" si="35"/>
        <v>Trd_2w_elc</v>
      </c>
      <c r="BA31" t="str">
        <f ca="1" t="shared" si="0"/>
        <v>Trd_2w</v>
      </c>
      <c r="BB31" s="109">
        <f ca="1" t="shared" si="18"/>
        <v>25</v>
      </c>
      <c r="BD31" t="str">
        <f ca="1" t="shared" si="3"/>
        <v>DMD</v>
      </c>
      <c r="BE31" t="str">
        <f ca="1" t="shared" si="4"/>
        <v>Trd_2w_elc</v>
      </c>
      <c r="BG31" t="s">
        <v>92</v>
      </c>
      <c r="BH31" t="s">
        <v>144</v>
      </c>
      <c r="BI31" t="s">
        <v>145</v>
      </c>
    </row>
    <row r="32" spans="1:61">
      <c r="C32" t="str">
        <f t="shared" si="34"/>
        <v>TRAGSL</v>
      </c>
      <c r="D32">
        <f t="shared" si="31"/>
        <v>0.99</v>
      </c>
      <c r="E32">
        <f t="shared" si="31"/>
        <v>0.99</v>
      </c>
      <c r="F32">
        <f t="shared" si="31"/>
        <v>0.99</v>
      </c>
      <c r="G32">
        <f t="shared" si="31"/>
        <v>0.99</v>
      </c>
      <c r="H32">
        <f t="shared" si="31"/>
        <v>0.99</v>
      </c>
      <c r="I32">
        <f t="shared" si="31"/>
        <v>0.99</v>
      </c>
      <c r="J32">
        <f t="shared" si="31"/>
        <v>0.99</v>
      </c>
      <c r="K32" s="109">
        <f t="shared" si="31"/>
        <v>0.99</v>
      </c>
      <c r="L32">
        <f t="shared" si="31"/>
        <v>0.99</v>
      </c>
      <c r="M32">
        <f t="shared" si="31"/>
        <v>0.99</v>
      </c>
      <c r="N32">
        <f t="shared" si="31"/>
        <v>0.99</v>
      </c>
      <c r="O32">
        <f t="shared" si="31"/>
        <v>0.99</v>
      </c>
      <c r="P32">
        <f t="shared" si="31"/>
        <v>0.99</v>
      </c>
      <c r="Q32">
        <f t="shared" si="31"/>
        <v>0.99</v>
      </c>
      <c r="R32">
        <f t="shared" si="31"/>
        <v>0.99</v>
      </c>
      <c r="S32">
        <f t="shared" si="31"/>
        <v>0.99</v>
      </c>
      <c r="T32">
        <f t="shared" si="31"/>
        <v>0.99</v>
      </c>
      <c r="U32">
        <f t="shared" si="31"/>
        <v>0.99</v>
      </c>
      <c r="V32">
        <f t="shared" si="31"/>
        <v>0.99</v>
      </c>
      <c r="W32">
        <f t="shared" si="31"/>
        <v>0.99</v>
      </c>
      <c r="X32">
        <f t="shared" si="31"/>
        <v>0.99</v>
      </c>
      <c r="Y32" s="109">
        <f t="shared" si="31"/>
        <v>0.99</v>
      </c>
      <c r="Z32">
        <f t="shared" si="31"/>
        <v>0.99</v>
      </c>
      <c r="AA32">
        <f t="shared" si="31"/>
        <v>0.99</v>
      </c>
      <c r="AB32">
        <f t="shared" si="31"/>
        <v>0.99</v>
      </c>
      <c r="AC32">
        <f t="shared" si="31"/>
        <v>0.99</v>
      </c>
      <c r="AD32">
        <f t="shared" si="32"/>
        <v>0.99</v>
      </c>
      <c r="AE32">
        <f t="shared" si="32"/>
        <v>0.99</v>
      </c>
      <c r="AF32">
        <f t="shared" si="32"/>
        <v>0.99</v>
      </c>
      <c r="AG32">
        <f t="shared" si="32"/>
        <v>0.99</v>
      </c>
      <c r="AH32">
        <f t="shared" si="32"/>
        <v>0.99</v>
      </c>
      <c r="AI32">
        <f t="shared" si="32"/>
        <v>0.99</v>
      </c>
      <c r="AJ32">
        <f t="shared" si="32"/>
        <v>0.99</v>
      </c>
      <c r="AK32">
        <f t="shared" si="33"/>
        <v>0.99</v>
      </c>
      <c r="AL32">
        <f t="shared" si="33"/>
        <v>0.99</v>
      </c>
      <c r="AM32">
        <f t="shared" si="33"/>
        <v>0.99</v>
      </c>
      <c r="AN32">
        <f t="shared" si="33"/>
        <v>0.99</v>
      </c>
      <c r="AO32">
        <f t="shared" si="33"/>
        <v>0.99</v>
      </c>
      <c r="AP32">
        <f t="shared" si="33"/>
        <v>0.99</v>
      </c>
      <c r="AQ32">
        <f t="shared" si="33"/>
        <v>0.99</v>
      </c>
      <c r="AR32">
        <f t="shared" si="33"/>
        <v>0.99</v>
      </c>
      <c r="AS32">
        <f t="shared" si="33"/>
        <v>0.99</v>
      </c>
      <c r="AT32">
        <f t="shared" si="33"/>
        <v>0.99</v>
      </c>
      <c r="AU32">
        <f t="shared" si="33"/>
        <v>0.99</v>
      </c>
      <c r="AV32">
        <f t="shared" si="33"/>
        <v>0.99</v>
      </c>
      <c r="AW32">
        <f t="shared" si="33"/>
        <v>0.99</v>
      </c>
      <c r="AX32" s="104">
        <v>0.99</v>
      </c>
      <c r="AY32" t="s">
        <v>153</v>
      </c>
      <c r="AZ32" s="105" t="str">
        <f ca="1" t="shared" si="35"/>
        <v>Trd_2w_gsl</v>
      </c>
      <c r="BA32" t="str">
        <f ca="1" t="shared" si="0"/>
        <v>Trd_2w</v>
      </c>
      <c r="BB32" s="109">
        <f ca="1" t="shared" si="18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4"/>
        <v>TRALPG</v>
      </c>
      <c r="D33">
        <f t="shared" si="31"/>
        <v>0.99</v>
      </c>
      <c r="E33">
        <f t="shared" si="31"/>
        <v>0.99</v>
      </c>
      <c r="F33">
        <f t="shared" si="31"/>
        <v>0.99</v>
      </c>
      <c r="G33">
        <f t="shared" si="31"/>
        <v>0.99</v>
      </c>
      <c r="H33">
        <f t="shared" si="31"/>
        <v>0.99</v>
      </c>
      <c r="I33">
        <f t="shared" si="31"/>
        <v>0.99</v>
      </c>
      <c r="J33">
        <f t="shared" si="31"/>
        <v>0.99</v>
      </c>
      <c r="K33" s="109">
        <f t="shared" si="31"/>
        <v>0.99</v>
      </c>
      <c r="L33">
        <f t="shared" si="31"/>
        <v>0.99</v>
      </c>
      <c r="M33">
        <f t="shared" si="31"/>
        <v>0.99</v>
      </c>
      <c r="N33">
        <f t="shared" si="31"/>
        <v>0.99</v>
      </c>
      <c r="O33">
        <f t="shared" si="31"/>
        <v>0.99</v>
      </c>
      <c r="P33">
        <f t="shared" si="31"/>
        <v>0.99</v>
      </c>
      <c r="Q33">
        <f t="shared" si="31"/>
        <v>0.99</v>
      </c>
      <c r="R33">
        <f t="shared" si="31"/>
        <v>0.99</v>
      </c>
      <c r="S33">
        <f t="shared" si="31"/>
        <v>0.99</v>
      </c>
      <c r="T33">
        <f t="shared" si="31"/>
        <v>0.99</v>
      </c>
      <c r="U33">
        <f t="shared" si="31"/>
        <v>0.99</v>
      </c>
      <c r="V33">
        <f t="shared" si="31"/>
        <v>0.99</v>
      </c>
      <c r="W33">
        <f t="shared" si="31"/>
        <v>0.99</v>
      </c>
      <c r="X33">
        <f t="shared" si="31"/>
        <v>0.99</v>
      </c>
      <c r="Y33" s="109">
        <f t="shared" si="31"/>
        <v>0.99</v>
      </c>
      <c r="Z33">
        <f t="shared" si="31"/>
        <v>0.99</v>
      </c>
      <c r="AA33">
        <f t="shared" si="31"/>
        <v>0.99</v>
      </c>
      <c r="AB33">
        <f t="shared" si="31"/>
        <v>0.99</v>
      </c>
      <c r="AC33">
        <f t="shared" si="31"/>
        <v>0.99</v>
      </c>
      <c r="AD33">
        <f t="shared" si="32"/>
        <v>0.99</v>
      </c>
      <c r="AE33">
        <f t="shared" si="32"/>
        <v>0.99</v>
      </c>
      <c r="AF33">
        <f t="shared" si="32"/>
        <v>0.99</v>
      </c>
      <c r="AG33">
        <f t="shared" si="32"/>
        <v>0.99</v>
      </c>
      <c r="AH33">
        <f t="shared" si="32"/>
        <v>0.99</v>
      </c>
      <c r="AI33">
        <f t="shared" si="32"/>
        <v>0.99</v>
      </c>
      <c r="AJ33">
        <f t="shared" si="32"/>
        <v>0.99</v>
      </c>
      <c r="AK33">
        <f t="shared" si="33"/>
        <v>0.99</v>
      </c>
      <c r="AL33">
        <f t="shared" si="33"/>
        <v>0.99</v>
      </c>
      <c r="AM33">
        <f t="shared" si="33"/>
        <v>0.99</v>
      </c>
      <c r="AN33">
        <f t="shared" si="33"/>
        <v>0.99</v>
      </c>
      <c r="AO33">
        <f t="shared" si="33"/>
        <v>0.99</v>
      </c>
      <c r="AP33">
        <f t="shared" si="33"/>
        <v>0.99</v>
      </c>
      <c r="AQ33">
        <f t="shared" si="33"/>
        <v>0.99</v>
      </c>
      <c r="AR33">
        <f t="shared" si="33"/>
        <v>0.99</v>
      </c>
      <c r="AS33">
        <f t="shared" si="33"/>
        <v>0.99</v>
      </c>
      <c r="AT33">
        <f t="shared" si="33"/>
        <v>0.99</v>
      </c>
      <c r="AU33">
        <f t="shared" si="33"/>
        <v>0.99</v>
      </c>
      <c r="AV33">
        <f t="shared" si="33"/>
        <v>0.99</v>
      </c>
      <c r="AW33">
        <f t="shared" si="33"/>
        <v>0.99</v>
      </c>
      <c r="AX33" s="104">
        <v>0.99</v>
      </c>
      <c r="AY33" t="s">
        <v>153</v>
      </c>
      <c r="AZ33" s="3" t="str">
        <f ca="1" t="shared" si="35"/>
        <v>\I:</v>
      </c>
      <c r="BA33" t="str">
        <f ca="1" t="shared" si="0"/>
        <v>Trd_2w</v>
      </c>
      <c r="BB33" s="109">
        <f ca="1" t="shared" si="18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4"/>
        <v>TRANGA</v>
      </c>
      <c r="D34">
        <f t="shared" si="31"/>
        <v>0.99</v>
      </c>
      <c r="E34">
        <f t="shared" si="31"/>
        <v>0.99</v>
      </c>
      <c r="F34">
        <f t="shared" si="31"/>
        <v>0.99</v>
      </c>
      <c r="G34">
        <f t="shared" si="31"/>
        <v>0.99</v>
      </c>
      <c r="H34">
        <f t="shared" si="31"/>
        <v>0.99</v>
      </c>
      <c r="I34">
        <f t="shared" si="31"/>
        <v>0.99</v>
      </c>
      <c r="J34">
        <f t="shared" si="31"/>
        <v>0.99</v>
      </c>
      <c r="K34" s="109">
        <f t="shared" si="31"/>
        <v>0.99</v>
      </c>
      <c r="L34">
        <f t="shared" si="31"/>
        <v>0.99</v>
      </c>
      <c r="M34">
        <f t="shared" si="31"/>
        <v>0.99</v>
      </c>
      <c r="N34">
        <f t="shared" si="31"/>
        <v>0.99</v>
      </c>
      <c r="O34">
        <f t="shared" si="31"/>
        <v>0.99</v>
      </c>
      <c r="P34">
        <f t="shared" si="31"/>
        <v>0.99</v>
      </c>
      <c r="Q34">
        <f t="shared" si="31"/>
        <v>0.99</v>
      </c>
      <c r="R34">
        <f t="shared" si="31"/>
        <v>0.99</v>
      </c>
      <c r="S34">
        <f t="shared" si="31"/>
        <v>0.99</v>
      </c>
      <c r="T34">
        <f t="shared" si="31"/>
        <v>0.99</v>
      </c>
      <c r="U34">
        <f t="shared" si="31"/>
        <v>0.99</v>
      </c>
      <c r="V34">
        <f t="shared" si="31"/>
        <v>0.99</v>
      </c>
      <c r="W34">
        <f t="shared" si="31"/>
        <v>0.99</v>
      </c>
      <c r="X34">
        <f t="shared" si="31"/>
        <v>0.99</v>
      </c>
      <c r="Y34" s="109">
        <f t="shared" si="31"/>
        <v>0.99</v>
      </c>
      <c r="Z34">
        <f t="shared" si="31"/>
        <v>0.99</v>
      </c>
      <c r="AA34">
        <f t="shared" si="31"/>
        <v>0.99</v>
      </c>
      <c r="AB34">
        <f t="shared" si="31"/>
        <v>0.99</v>
      </c>
      <c r="AC34">
        <f t="shared" si="31"/>
        <v>0.99</v>
      </c>
      <c r="AD34">
        <f t="shared" si="32"/>
        <v>0.99</v>
      </c>
      <c r="AE34">
        <f t="shared" si="32"/>
        <v>0.99</v>
      </c>
      <c r="AF34">
        <f t="shared" si="32"/>
        <v>0.99</v>
      </c>
      <c r="AG34">
        <f t="shared" si="32"/>
        <v>0.99</v>
      </c>
      <c r="AH34">
        <f t="shared" si="32"/>
        <v>0.99</v>
      </c>
      <c r="AI34">
        <f t="shared" si="32"/>
        <v>0.99</v>
      </c>
      <c r="AJ34">
        <f t="shared" si="32"/>
        <v>0.99</v>
      </c>
      <c r="AK34">
        <f t="shared" si="33"/>
        <v>0.99</v>
      </c>
      <c r="AL34">
        <f t="shared" si="33"/>
        <v>0.99</v>
      </c>
      <c r="AM34">
        <f t="shared" si="33"/>
        <v>0.99</v>
      </c>
      <c r="AN34">
        <f t="shared" si="33"/>
        <v>0.99</v>
      </c>
      <c r="AO34">
        <f t="shared" si="33"/>
        <v>0.99</v>
      </c>
      <c r="AP34">
        <f t="shared" si="33"/>
        <v>0.99</v>
      </c>
      <c r="AQ34">
        <f t="shared" si="33"/>
        <v>0.99</v>
      </c>
      <c r="AR34">
        <f t="shared" si="33"/>
        <v>0.99</v>
      </c>
      <c r="AS34">
        <f t="shared" si="33"/>
        <v>0.99</v>
      </c>
      <c r="AT34">
        <f t="shared" si="33"/>
        <v>0.99</v>
      </c>
      <c r="AU34">
        <f t="shared" si="33"/>
        <v>0.99</v>
      </c>
      <c r="AV34">
        <f t="shared" si="33"/>
        <v>0.99</v>
      </c>
      <c r="AW34">
        <f t="shared" si="33"/>
        <v>0.99</v>
      </c>
      <c r="AX34" s="104">
        <v>0.99</v>
      </c>
      <c r="AY34" t="s">
        <v>153</v>
      </c>
      <c r="AZ34" s="3" t="str">
        <f ca="1" t="shared" si="35"/>
        <v>\I:</v>
      </c>
      <c r="BA34" t="str">
        <f ca="1" t="shared" si="0"/>
        <v>Trd_2w</v>
      </c>
      <c r="BB34" s="109">
        <f ca="1" t="shared" si="18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s="109" t="str">
        <f t="shared" si="18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7</v>
      </c>
      <c r="E36" s="76">
        <v>7</v>
      </c>
      <c r="F36" s="76">
        <v>7</v>
      </c>
      <c r="G36" s="76">
        <v>7</v>
      </c>
      <c r="H36" s="76">
        <v>7</v>
      </c>
      <c r="I36" s="76">
        <v>7</v>
      </c>
      <c r="J36" s="76">
        <v>7</v>
      </c>
      <c r="K36" s="112">
        <v>7</v>
      </c>
      <c r="L36" s="76">
        <v>7</v>
      </c>
      <c r="M36" s="76">
        <v>7</v>
      </c>
      <c r="N36" s="76">
        <v>7</v>
      </c>
      <c r="O36" s="76">
        <v>7</v>
      </c>
      <c r="P36" s="76">
        <v>7</v>
      </c>
      <c r="Q36" s="76">
        <v>7</v>
      </c>
      <c r="R36" s="76">
        <v>7</v>
      </c>
      <c r="S36" s="76">
        <v>7</v>
      </c>
      <c r="T36" s="76">
        <v>7</v>
      </c>
      <c r="U36" s="76">
        <v>7</v>
      </c>
      <c r="V36" s="76">
        <v>4</v>
      </c>
      <c r="W36" s="76">
        <v>7</v>
      </c>
      <c r="X36" s="76">
        <v>5</v>
      </c>
      <c r="Y36" s="112">
        <v>7</v>
      </c>
      <c r="Z36" s="76">
        <v>4</v>
      </c>
      <c r="AA36" s="76">
        <v>7</v>
      </c>
      <c r="AB36" s="76">
        <v>7</v>
      </c>
      <c r="AC36" s="76">
        <v>3</v>
      </c>
      <c r="AD36" s="76">
        <v>7</v>
      </c>
      <c r="AE36" s="76">
        <v>7</v>
      </c>
      <c r="AF36" s="76">
        <v>6.5</v>
      </c>
      <c r="AG36" s="76">
        <v>7</v>
      </c>
      <c r="AH36" s="76">
        <v>7</v>
      </c>
      <c r="AI36" s="76">
        <v>7</v>
      </c>
      <c r="AJ36" s="76">
        <v>4</v>
      </c>
      <c r="AK36" s="76">
        <v>4</v>
      </c>
      <c r="AL36" s="76">
        <v>4</v>
      </c>
      <c r="AM36" s="76">
        <v>4</v>
      </c>
      <c r="AN36" s="76">
        <v>4</v>
      </c>
      <c r="AO36" s="76">
        <v>4</v>
      </c>
      <c r="AP36" s="76">
        <v>4</v>
      </c>
      <c r="AQ36" s="76">
        <v>4</v>
      </c>
      <c r="AR36" s="76">
        <v>4</v>
      </c>
      <c r="AS36" s="76">
        <v>4</v>
      </c>
      <c r="AT36" s="76">
        <v>4</v>
      </c>
      <c r="AU36" s="76">
        <v>4</v>
      </c>
      <c r="AV36" s="76">
        <v>4</v>
      </c>
      <c r="AW36" s="76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 s="109">
        <f ca="1" t="shared" si="18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6">
        <v>7</v>
      </c>
      <c r="E37" s="76">
        <v>7</v>
      </c>
      <c r="F37" s="76">
        <v>7</v>
      </c>
      <c r="G37" s="76">
        <v>7</v>
      </c>
      <c r="H37" s="76">
        <v>7</v>
      </c>
      <c r="I37" s="76">
        <v>7</v>
      </c>
      <c r="J37" s="76">
        <v>7</v>
      </c>
      <c r="K37" s="112">
        <v>7</v>
      </c>
      <c r="L37" s="76">
        <v>7</v>
      </c>
      <c r="M37" s="76">
        <v>7</v>
      </c>
      <c r="N37" s="76">
        <v>7</v>
      </c>
      <c r="O37" s="76">
        <v>7</v>
      </c>
      <c r="P37" s="76">
        <v>7</v>
      </c>
      <c r="Q37" s="76">
        <v>7</v>
      </c>
      <c r="R37" s="76">
        <v>7</v>
      </c>
      <c r="S37" s="76">
        <v>7</v>
      </c>
      <c r="T37" s="76">
        <v>7</v>
      </c>
      <c r="U37" s="76">
        <v>7</v>
      </c>
      <c r="V37" s="76">
        <v>4</v>
      </c>
      <c r="W37" s="76">
        <v>7</v>
      </c>
      <c r="X37" s="76">
        <v>5</v>
      </c>
      <c r="Y37" s="112">
        <v>7</v>
      </c>
      <c r="Z37" s="76">
        <v>4</v>
      </c>
      <c r="AA37" s="76">
        <v>7</v>
      </c>
      <c r="AB37" s="76">
        <v>7</v>
      </c>
      <c r="AC37" s="76">
        <v>3</v>
      </c>
      <c r="AD37" s="76">
        <v>7</v>
      </c>
      <c r="AE37" s="76">
        <v>7</v>
      </c>
      <c r="AF37" s="76">
        <v>6.5</v>
      </c>
      <c r="AG37" s="76">
        <v>7</v>
      </c>
      <c r="AH37" s="76">
        <v>7</v>
      </c>
      <c r="AI37" s="76">
        <v>7</v>
      </c>
      <c r="AJ37" s="76">
        <v>4</v>
      </c>
      <c r="AK37" s="76">
        <v>4</v>
      </c>
      <c r="AL37" s="76">
        <v>4</v>
      </c>
      <c r="AM37" s="76">
        <v>4</v>
      </c>
      <c r="AN37" s="76">
        <v>4</v>
      </c>
      <c r="AO37" s="76">
        <v>4</v>
      </c>
      <c r="AP37" s="76">
        <v>4</v>
      </c>
      <c r="AQ37" s="76">
        <v>4</v>
      </c>
      <c r="AR37" s="76">
        <v>4</v>
      </c>
      <c r="AS37" s="76">
        <v>4</v>
      </c>
      <c r="AT37" s="76">
        <v>4</v>
      </c>
      <c r="AU37" s="76">
        <v>4</v>
      </c>
      <c r="AV37" s="76">
        <v>4</v>
      </c>
      <c r="AW37" s="76">
        <v>4</v>
      </c>
      <c r="AY37" t="s">
        <v>155</v>
      </c>
      <c r="AZ37" s="3" t="str">
        <f ca="1" t="shared" ref="AZ37:AZ42" si="37">AZ29</f>
        <v>\I:</v>
      </c>
      <c r="BA37" t="str">
        <f ca="1" t="shared" si="0"/>
        <v>Trd_2w</v>
      </c>
      <c r="BB37" s="109">
        <f ca="1" t="shared" si="18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6">
        <v>7</v>
      </c>
      <c r="E38" s="76">
        <v>7</v>
      </c>
      <c r="F38" s="76">
        <v>7</v>
      </c>
      <c r="G38" s="76">
        <v>7</v>
      </c>
      <c r="H38" s="76">
        <v>7</v>
      </c>
      <c r="I38" s="76">
        <v>7</v>
      </c>
      <c r="J38" s="76">
        <v>7</v>
      </c>
      <c r="K38" s="112">
        <v>7</v>
      </c>
      <c r="L38" s="76">
        <v>7</v>
      </c>
      <c r="M38" s="76">
        <v>7</v>
      </c>
      <c r="N38" s="76">
        <v>7</v>
      </c>
      <c r="O38" s="76">
        <v>7</v>
      </c>
      <c r="P38" s="76">
        <v>7</v>
      </c>
      <c r="Q38" s="76">
        <v>7</v>
      </c>
      <c r="R38" s="76">
        <v>7</v>
      </c>
      <c r="S38" s="76">
        <v>7</v>
      </c>
      <c r="T38" s="76">
        <v>7</v>
      </c>
      <c r="U38" s="76">
        <v>7</v>
      </c>
      <c r="V38" s="76">
        <v>4</v>
      </c>
      <c r="W38" s="76">
        <v>7</v>
      </c>
      <c r="X38" s="76">
        <v>5</v>
      </c>
      <c r="Y38" s="112">
        <v>7</v>
      </c>
      <c r="Z38" s="76">
        <v>4</v>
      </c>
      <c r="AA38" s="76">
        <v>7</v>
      </c>
      <c r="AB38" s="76">
        <v>7</v>
      </c>
      <c r="AC38" s="76">
        <v>3</v>
      </c>
      <c r="AD38" s="76">
        <v>7</v>
      </c>
      <c r="AE38" s="76">
        <v>7</v>
      </c>
      <c r="AF38" s="76">
        <v>6.5</v>
      </c>
      <c r="AG38" s="76">
        <v>7</v>
      </c>
      <c r="AH38" s="76">
        <v>7</v>
      </c>
      <c r="AI38" s="76">
        <v>7</v>
      </c>
      <c r="AJ38" s="76">
        <v>4</v>
      </c>
      <c r="AK38" s="76">
        <v>4</v>
      </c>
      <c r="AL38" s="76">
        <v>4</v>
      </c>
      <c r="AM38" s="76">
        <v>4</v>
      </c>
      <c r="AN38" s="76">
        <v>4</v>
      </c>
      <c r="AO38" s="76">
        <v>4</v>
      </c>
      <c r="AP38" s="76">
        <v>4</v>
      </c>
      <c r="AQ38" s="76">
        <v>4</v>
      </c>
      <c r="AR38" s="76">
        <v>4</v>
      </c>
      <c r="AS38" s="76">
        <v>4</v>
      </c>
      <c r="AT38" s="76">
        <v>4</v>
      </c>
      <c r="AU38" s="76">
        <v>4</v>
      </c>
      <c r="AV38" s="76">
        <v>4</v>
      </c>
      <c r="AW38" s="76">
        <v>4</v>
      </c>
      <c r="AY38" t="s">
        <v>155</v>
      </c>
      <c r="AZ38" s="3" t="str">
        <f ca="1" t="shared" si="37"/>
        <v>\I:</v>
      </c>
      <c r="BA38" t="str">
        <f ca="1" t="shared" si="0"/>
        <v>Trd_2w</v>
      </c>
      <c r="BB38" s="109">
        <f ca="1" t="shared" si="18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6">
        <v>7</v>
      </c>
      <c r="E39" s="76">
        <v>7</v>
      </c>
      <c r="F39" s="76">
        <v>7</v>
      </c>
      <c r="G39" s="76">
        <v>7</v>
      </c>
      <c r="H39" s="76">
        <v>7</v>
      </c>
      <c r="I39" s="76">
        <v>7</v>
      </c>
      <c r="J39" s="76">
        <v>7</v>
      </c>
      <c r="K39" s="112">
        <v>7</v>
      </c>
      <c r="L39" s="76">
        <v>7</v>
      </c>
      <c r="M39" s="76">
        <v>7</v>
      </c>
      <c r="N39" s="76">
        <v>7</v>
      </c>
      <c r="O39" s="76">
        <v>7</v>
      </c>
      <c r="P39" s="76">
        <v>7</v>
      </c>
      <c r="Q39" s="76">
        <v>7</v>
      </c>
      <c r="R39" s="76">
        <v>7</v>
      </c>
      <c r="S39" s="76">
        <v>7</v>
      </c>
      <c r="T39" s="76">
        <v>7</v>
      </c>
      <c r="U39" s="76">
        <v>7</v>
      </c>
      <c r="V39" s="76">
        <v>4</v>
      </c>
      <c r="W39" s="76">
        <v>7</v>
      </c>
      <c r="X39" s="76">
        <v>5</v>
      </c>
      <c r="Y39" s="112">
        <v>7</v>
      </c>
      <c r="Z39" s="76">
        <v>4</v>
      </c>
      <c r="AA39" s="76">
        <v>7</v>
      </c>
      <c r="AB39" s="76">
        <v>7</v>
      </c>
      <c r="AC39" s="76">
        <v>3</v>
      </c>
      <c r="AD39" s="76">
        <v>7</v>
      </c>
      <c r="AE39" s="76">
        <v>7</v>
      </c>
      <c r="AF39" s="76">
        <v>6.5</v>
      </c>
      <c r="AG39" s="76">
        <v>7</v>
      </c>
      <c r="AH39" s="76">
        <v>7</v>
      </c>
      <c r="AI39" s="76">
        <v>7</v>
      </c>
      <c r="AJ39" s="76">
        <v>4</v>
      </c>
      <c r="AK39" s="76">
        <v>4</v>
      </c>
      <c r="AL39" s="76">
        <v>4</v>
      </c>
      <c r="AM39" s="76">
        <v>4</v>
      </c>
      <c r="AN39" s="76">
        <v>4</v>
      </c>
      <c r="AO39" s="76">
        <v>4</v>
      </c>
      <c r="AP39" s="76">
        <v>4</v>
      </c>
      <c r="AQ39" s="76">
        <v>4</v>
      </c>
      <c r="AR39" s="76">
        <v>4</v>
      </c>
      <c r="AS39" s="76">
        <v>4</v>
      </c>
      <c r="AT39" s="76">
        <v>4</v>
      </c>
      <c r="AU39" s="76">
        <v>4</v>
      </c>
      <c r="AV39" s="76">
        <v>4</v>
      </c>
      <c r="AW39" s="76">
        <v>4</v>
      </c>
      <c r="AY39" t="s">
        <v>155</v>
      </c>
      <c r="AZ39" s="3" t="str">
        <f ca="1" t="shared" si="37"/>
        <v>Trd_2w_elc</v>
      </c>
      <c r="BA39" t="str">
        <f ca="1" t="shared" si="0"/>
        <v>Trd_2w</v>
      </c>
      <c r="BB39" s="109">
        <f ca="1" t="shared" si="18"/>
        <v>25</v>
      </c>
      <c r="BD39" t="str">
        <f ca="1" t="shared" si="3"/>
        <v>DMD</v>
      </c>
      <c r="BE39" t="str">
        <f ca="1" t="shared" si="4"/>
        <v>Trd_2w_elc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6">
        <v>7</v>
      </c>
      <c r="E40" s="76">
        <v>7</v>
      </c>
      <c r="F40" s="76">
        <v>7</v>
      </c>
      <c r="G40" s="76">
        <v>7</v>
      </c>
      <c r="H40" s="76">
        <v>7</v>
      </c>
      <c r="I40" s="76">
        <v>7</v>
      </c>
      <c r="J40" s="76">
        <v>7</v>
      </c>
      <c r="K40" s="112">
        <v>7</v>
      </c>
      <c r="L40" s="76">
        <v>7</v>
      </c>
      <c r="M40" s="76">
        <v>7</v>
      </c>
      <c r="N40" s="76">
        <v>7</v>
      </c>
      <c r="O40" s="76">
        <v>7</v>
      </c>
      <c r="P40" s="76">
        <v>7</v>
      </c>
      <c r="Q40" s="76">
        <v>7</v>
      </c>
      <c r="R40" s="76">
        <v>7</v>
      </c>
      <c r="S40" s="76">
        <v>7</v>
      </c>
      <c r="T40" s="76">
        <v>7</v>
      </c>
      <c r="U40" s="76">
        <v>7</v>
      </c>
      <c r="V40" s="76">
        <v>4</v>
      </c>
      <c r="W40" s="76">
        <v>7</v>
      </c>
      <c r="X40" s="76">
        <v>5</v>
      </c>
      <c r="Y40" s="112">
        <v>7</v>
      </c>
      <c r="Z40" s="76">
        <v>4</v>
      </c>
      <c r="AA40" s="76">
        <v>7</v>
      </c>
      <c r="AB40" s="76">
        <v>7</v>
      </c>
      <c r="AC40" s="76">
        <v>3</v>
      </c>
      <c r="AD40" s="76">
        <v>7</v>
      </c>
      <c r="AE40" s="76">
        <v>7</v>
      </c>
      <c r="AF40" s="76">
        <v>6.5</v>
      </c>
      <c r="AG40" s="76">
        <v>7</v>
      </c>
      <c r="AH40" s="76">
        <v>7</v>
      </c>
      <c r="AI40" s="76">
        <v>7</v>
      </c>
      <c r="AJ40" s="76">
        <v>4</v>
      </c>
      <c r="AK40" s="76">
        <v>4</v>
      </c>
      <c r="AL40" s="76">
        <v>4</v>
      </c>
      <c r="AM40" s="76">
        <v>4</v>
      </c>
      <c r="AN40" s="76">
        <v>4</v>
      </c>
      <c r="AO40" s="76">
        <v>4</v>
      </c>
      <c r="AP40" s="76">
        <v>4</v>
      </c>
      <c r="AQ40" s="76">
        <v>4</v>
      </c>
      <c r="AR40" s="76">
        <v>4</v>
      </c>
      <c r="AS40" s="76">
        <v>4</v>
      </c>
      <c r="AT40" s="76">
        <v>4</v>
      </c>
      <c r="AU40" s="76">
        <v>4</v>
      </c>
      <c r="AV40" s="76">
        <v>4</v>
      </c>
      <c r="AW40" s="76">
        <v>4</v>
      </c>
      <c r="AY40" t="s">
        <v>155</v>
      </c>
      <c r="AZ40" s="3" t="str">
        <f ca="1" t="shared" si="37"/>
        <v>Trd_2w_gsl</v>
      </c>
      <c r="BA40" t="str">
        <f ca="1" t="shared" si="0"/>
        <v>Trd_2w</v>
      </c>
      <c r="BB40" s="109">
        <f ca="1" t="shared" si="18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6">
        <v>7</v>
      </c>
      <c r="E41" s="76">
        <v>7</v>
      </c>
      <c r="F41" s="76">
        <v>7</v>
      </c>
      <c r="G41" s="76">
        <v>7</v>
      </c>
      <c r="H41" s="76">
        <v>7</v>
      </c>
      <c r="I41" s="76">
        <v>7</v>
      </c>
      <c r="J41" s="76">
        <v>7</v>
      </c>
      <c r="K41" s="112">
        <v>7</v>
      </c>
      <c r="L41" s="76">
        <v>7</v>
      </c>
      <c r="M41" s="76">
        <v>7</v>
      </c>
      <c r="N41" s="76">
        <v>7</v>
      </c>
      <c r="O41" s="76">
        <v>7</v>
      </c>
      <c r="P41" s="76">
        <v>7</v>
      </c>
      <c r="Q41" s="76">
        <v>7</v>
      </c>
      <c r="R41" s="76">
        <v>7</v>
      </c>
      <c r="S41" s="76">
        <v>7</v>
      </c>
      <c r="T41" s="76">
        <v>7</v>
      </c>
      <c r="U41" s="76">
        <v>7</v>
      </c>
      <c r="V41" s="76">
        <v>4</v>
      </c>
      <c r="W41" s="76">
        <v>7</v>
      </c>
      <c r="X41" s="76">
        <v>5</v>
      </c>
      <c r="Y41" s="112">
        <v>7</v>
      </c>
      <c r="Z41" s="76">
        <v>4</v>
      </c>
      <c r="AA41" s="76">
        <v>7</v>
      </c>
      <c r="AB41" s="76">
        <v>7</v>
      </c>
      <c r="AC41" s="76">
        <v>3</v>
      </c>
      <c r="AD41" s="76">
        <v>7</v>
      </c>
      <c r="AE41" s="76">
        <v>7</v>
      </c>
      <c r="AF41" s="76">
        <v>6.5</v>
      </c>
      <c r="AG41" s="76">
        <v>7</v>
      </c>
      <c r="AH41" s="76">
        <v>7</v>
      </c>
      <c r="AI41" s="76">
        <v>7</v>
      </c>
      <c r="AJ41" s="76">
        <v>4</v>
      </c>
      <c r="AK41" s="76">
        <v>4</v>
      </c>
      <c r="AL41" s="76">
        <v>4</v>
      </c>
      <c r="AM41" s="76">
        <v>4</v>
      </c>
      <c r="AN41" s="76">
        <v>4</v>
      </c>
      <c r="AO41" s="76">
        <v>4</v>
      </c>
      <c r="AP41" s="76">
        <v>4</v>
      </c>
      <c r="AQ41" s="76">
        <v>4</v>
      </c>
      <c r="AR41" s="76">
        <v>4</v>
      </c>
      <c r="AS41" s="76">
        <v>4</v>
      </c>
      <c r="AT41" s="76">
        <v>4</v>
      </c>
      <c r="AU41" s="76">
        <v>4</v>
      </c>
      <c r="AV41" s="76">
        <v>4</v>
      </c>
      <c r="AW41" s="76">
        <v>4</v>
      </c>
      <c r="AY41" t="s">
        <v>155</v>
      </c>
      <c r="AZ41" s="3" t="str">
        <f ca="1" t="shared" si="37"/>
        <v>\I:</v>
      </c>
      <c r="BA41" t="str">
        <f ca="1" t="shared" si="0"/>
        <v>Trd_2w</v>
      </c>
      <c r="BB41" s="109">
        <f ca="1" t="shared" si="18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6">
        <v>7</v>
      </c>
      <c r="E42" s="76">
        <v>7</v>
      </c>
      <c r="F42" s="76">
        <v>7</v>
      </c>
      <c r="G42" s="76">
        <v>7</v>
      </c>
      <c r="H42" s="76">
        <v>7</v>
      </c>
      <c r="I42" s="76">
        <v>7</v>
      </c>
      <c r="J42" s="76">
        <v>7</v>
      </c>
      <c r="K42" s="112">
        <v>7</v>
      </c>
      <c r="L42" s="76">
        <v>7</v>
      </c>
      <c r="M42" s="76">
        <v>7</v>
      </c>
      <c r="N42" s="76">
        <v>7</v>
      </c>
      <c r="O42" s="76">
        <v>7</v>
      </c>
      <c r="P42" s="76">
        <v>7</v>
      </c>
      <c r="Q42" s="76">
        <v>7</v>
      </c>
      <c r="R42" s="76">
        <v>7</v>
      </c>
      <c r="S42" s="76">
        <v>7</v>
      </c>
      <c r="T42" s="76">
        <v>7</v>
      </c>
      <c r="U42" s="76">
        <v>7</v>
      </c>
      <c r="V42" s="76">
        <v>4</v>
      </c>
      <c r="W42" s="76">
        <v>7</v>
      </c>
      <c r="X42" s="76">
        <v>5</v>
      </c>
      <c r="Y42" s="112">
        <v>7</v>
      </c>
      <c r="Z42" s="76">
        <v>4</v>
      </c>
      <c r="AA42" s="76">
        <v>7</v>
      </c>
      <c r="AB42" s="76">
        <v>7</v>
      </c>
      <c r="AC42" s="76">
        <v>3</v>
      </c>
      <c r="AD42" s="76">
        <v>7</v>
      </c>
      <c r="AE42" s="76">
        <v>7</v>
      </c>
      <c r="AF42" s="76">
        <v>6.5</v>
      </c>
      <c r="AG42" s="76">
        <v>7</v>
      </c>
      <c r="AH42" s="76">
        <v>7</v>
      </c>
      <c r="AI42" s="76">
        <v>7</v>
      </c>
      <c r="AJ42" s="76">
        <v>4</v>
      </c>
      <c r="AK42" s="76">
        <v>4</v>
      </c>
      <c r="AL42" s="76">
        <v>4</v>
      </c>
      <c r="AM42" s="76">
        <v>4</v>
      </c>
      <c r="AN42" s="76">
        <v>4</v>
      </c>
      <c r="AO42" s="76">
        <v>4</v>
      </c>
      <c r="AP42" s="76">
        <v>4</v>
      </c>
      <c r="AQ42" s="76">
        <v>4</v>
      </c>
      <c r="AR42" s="76">
        <v>4</v>
      </c>
      <c r="AS42" s="76">
        <v>4</v>
      </c>
      <c r="AT42" s="76">
        <v>4</v>
      </c>
      <c r="AU42" s="76">
        <v>4</v>
      </c>
      <c r="AV42" s="76">
        <v>4</v>
      </c>
      <c r="AW42" s="76">
        <v>4</v>
      </c>
      <c r="AY42" t="s">
        <v>155</v>
      </c>
      <c r="AZ42" s="3" t="str">
        <f ca="1" t="shared" si="37"/>
        <v>\I:</v>
      </c>
      <c r="BA42" t="str">
        <f ca="1" t="shared" si="0"/>
        <v>Trd_2w</v>
      </c>
      <c r="BB42" s="109">
        <f ca="1" t="shared" si="18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s="109" t="str">
        <f t="shared" si="18"/>
        <v/>
      </c>
    </row>
    <row r="44" spans="1:61">
      <c r="D44" t="str">
        <f>D3</f>
        <v>Africa_North</v>
      </c>
      <c r="E44" t="str">
        <f t="shared" ref="E44:U44" si="38">E3</f>
        <v>Africa_Other</v>
      </c>
      <c r="F44" t="str">
        <f t="shared" si="38"/>
        <v>Australia</v>
      </c>
      <c r="G44" t="str">
        <f t="shared" si="38"/>
        <v>Austria</v>
      </c>
      <c r="H44" t="str">
        <f t="shared" si="38"/>
        <v>Baltics</v>
      </c>
      <c r="I44" t="str">
        <f t="shared" si="38"/>
        <v>BeNeLux</v>
      </c>
      <c r="J44" t="str">
        <f t="shared" si="38"/>
        <v>Brazil</v>
      </c>
      <c r="K44" s="109" t="str">
        <f t="shared" si="38"/>
        <v>China</v>
      </c>
      <c r="L44" t="str">
        <f t="shared" si="38"/>
        <v>CroSloven</v>
      </c>
      <c r="M44" t="str">
        <f t="shared" si="38"/>
        <v>CzechSlovak</v>
      </c>
      <c r="N44" t="str">
        <f t="shared" si="38"/>
        <v>France</v>
      </c>
      <c r="O44" t="str">
        <f t="shared" si="38"/>
        <v>Germany</v>
      </c>
      <c r="P44" t="str">
        <f t="shared" si="38"/>
        <v>GreeceCyp</v>
      </c>
      <c r="Q44" t="str">
        <f t="shared" si="38"/>
        <v>HunRomBul</v>
      </c>
      <c r="R44" t="str">
        <f t="shared" si="38"/>
        <v>Iceland</v>
      </c>
      <c r="S44" t="str">
        <f t="shared" si="38"/>
        <v>India</v>
      </c>
      <c r="T44" t="str">
        <f t="shared" si="38"/>
        <v>Ireland</v>
      </c>
      <c r="U44" t="str">
        <f t="shared" si="38"/>
        <v>ItalyMal</v>
      </c>
      <c r="V44" t="str">
        <f t="shared" ref="V44:AJ44" si="39">V3</f>
        <v>Japan</v>
      </c>
      <c r="W44" t="str">
        <f t="shared" si="39"/>
        <v>LatAm</v>
      </c>
      <c r="X44" t="str">
        <f t="shared" si="39"/>
        <v>MidEast</v>
      </c>
      <c r="Y44" s="109" t="str">
        <f t="shared" si="39"/>
        <v>NorthAm</v>
      </c>
      <c r="Z44" t="str">
        <f t="shared" si="39"/>
        <v>Norway</v>
      </c>
      <c r="AA44" t="str">
        <f t="shared" si="39"/>
        <v>Poland</v>
      </c>
      <c r="AB44" t="str">
        <f t="shared" si="39"/>
        <v>ROW</v>
      </c>
      <c r="AC44" t="str">
        <f t="shared" si="39"/>
        <v>Russia</v>
      </c>
      <c r="AD44" t="str">
        <f t="shared" si="39"/>
        <v>SaudiArabia</v>
      </c>
      <c r="AE44" t="str">
        <f t="shared" si="39"/>
        <v>SouthAfrica</v>
      </c>
      <c r="AF44" t="str">
        <f t="shared" si="39"/>
        <v>SpainPor</v>
      </c>
      <c r="AG44" t="str">
        <f t="shared" si="39"/>
        <v>SweFinDen</v>
      </c>
      <c r="AH44" t="str">
        <f t="shared" si="39"/>
        <v>Switzerland</v>
      </c>
      <c r="AI44" t="str">
        <f t="shared" si="39"/>
        <v>Turkey</v>
      </c>
      <c r="AJ44" t="str">
        <f t="shared" si="39"/>
        <v>UK</v>
      </c>
      <c r="AK44" t="str">
        <f t="shared" ref="AK44:AW44" si="40">AK3</f>
        <v>Ukraine</v>
      </c>
      <c r="AL44" t="str">
        <f t="shared" si="40"/>
        <v>WestBalkans</v>
      </c>
      <c r="AM44" t="str">
        <f t="shared" si="40"/>
        <v>\I:</v>
      </c>
      <c r="AN44" t="str">
        <f t="shared" si="40"/>
        <v>\I:</v>
      </c>
      <c r="AO44" t="str">
        <f t="shared" si="40"/>
        <v>\I:</v>
      </c>
      <c r="AP44" t="str">
        <f t="shared" si="40"/>
        <v>\I:</v>
      </c>
      <c r="AQ44" t="str">
        <f t="shared" si="40"/>
        <v>\I:</v>
      </c>
      <c r="AR44" t="str">
        <f t="shared" si="40"/>
        <v>\I:</v>
      </c>
      <c r="AS44" t="str">
        <f t="shared" si="40"/>
        <v>\I:</v>
      </c>
      <c r="AT44" t="str">
        <f t="shared" si="40"/>
        <v>\I:</v>
      </c>
      <c r="AU44" t="str">
        <f t="shared" si="40"/>
        <v>\I:</v>
      </c>
      <c r="AV44" t="str">
        <f t="shared" si="40"/>
        <v>\I:</v>
      </c>
      <c r="AW44" t="str">
        <f t="shared" si="40"/>
        <v>\I:</v>
      </c>
      <c r="AY44" t="s">
        <v>133</v>
      </c>
      <c r="BB44" s="109" t="str">
        <f t="shared" si="18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10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10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8"/>
        <v/>
      </c>
    </row>
    <row r="46" spans="1:61">
      <c r="D46" s="3"/>
      <c r="E46" s="3"/>
      <c r="F46" s="3"/>
      <c r="G46" s="3"/>
      <c r="H46" s="3"/>
      <c r="I46" s="3"/>
      <c r="J46" s="3"/>
      <c r="K46" s="11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11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AL1" workbookViewId="0">
      <selection activeCell="BD51" sqref="BD51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103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103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103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103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0.0557233779729363</v>
      </c>
      <c r="E11" s="100">
        <f ca="1" t="shared" ref="E11:U11" si="5">SUM(E$4:E$10)/SUM($D$4:$AJ$10)</f>
        <v>0.0967629226618338</v>
      </c>
      <c r="F11" s="100">
        <f ca="1" t="shared" si="5"/>
        <v>0</v>
      </c>
      <c r="G11" s="100">
        <f ca="1" t="shared" si="5"/>
        <v>0.00026148657753115</v>
      </c>
      <c r="H11" s="100">
        <f ca="1" t="shared" si="5"/>
        <v>7.88005981125884e-5</v>
      </c>
      <c r="I11" s="100">
        <f ca="1" t="shared" si="5"/>
        <v>0.00101171551941102</v>
      </c>
      <c r="J11" s="100">
        <f ca="1" t="shared" si="5"/>
        <v>0.00428452730336018</v>
      </c>
      <c r="K11" s="100">
        <f ca="1" t="shared" si="5"/>
        <v>0.183097114654915</v>
      </c>
      <c r="L11" s="100">
        <f ca="1" t="shared" si="5"/>
        <v>0.000131691223824207</v>
      </c>
      <c r="M11" s="100">
        <f ca="1" t="shared" si="5"/>
        <v>0.00031218689995024</v>
      </c>
      <c r="N11" s="100">
        <f ca="1" t="shared" si="5"/>
        <v>0.00124279166935712</v>
      </c>
      <c r="O11" s="100">
        <f ca="1" t="shared" si="5"/>
        <v>0.00272879777773932</v>
      </c>
      <c r="P11" s="100">
        <f ca="1" t="shared" si="5"/>
        <v>0.000426779446173041</v>
      </c>
      <c r="Q11" s="100">
        <f ca="1" t="shared" si="5"/>
        <v>0.000486561394038099</v>
      </c>
      <c r="R11" s="100">
        <f ca="1" t="shared" si="5"/>
        <v>1.97301605766725e-5</v>
      </c>
      <c r="S11" s="100">
        <f ca="1" t="shared" si="5"/>
        <v>0.223069381323866</v>
      </c>
      <c r="T11" s="100">
        <f ca="1" t="shared" si="5"/>
        <v>0.000121720194167222</v>
      </c>
      <c r="U11" s="100">
        <f ca="1" t="shared" si="5"/>
        <v>0.00123288455658408</v>
      </c>
      <c r="V11" s="100">
        <f ca="1" t="shared" ref="V11:AW11" si="6">SUM(V$4:V$10)/SUM($D$4:$AJ$10)</f>
        <v>0.00590762177452132</v>
      </c>
      <c r="W11" s="100">
        <f ca="1" t="shared" si="6"/>
        <v>0.00682777903277472</v>
      </c>
      <c r="X11" s="100">
        <f ca="1" t="shared" si="6"/>
        <v>0.0128607196277483</v>
      </c>
      <c r="Y11" s="100">
        <f ca="1" t="shared" si="6"/>
        <v>0.0114283989929256</v>
      </c>
      <c r="Z11" s="100">
        <f ca="1" t="shared" si="6"/>
        <v>0.000105343098574254</v>
      </c>
      <c r="AA11" s="100">
        <f ca="1" t="shared" si="6"/>
        <v>0.000680843838267133</v>
      </c>
      <c r="AB11" s="100">
        <f ca="1" t="shared" si="6"/>
        <v>0.352169432891134</v>
      </c>
      <c r="AC11" s="100">
        <f ca="1" t="shared" si="6"/>
        <v>0.004215737178607</v>
      </c>
      <c r="AD11" s="100">
        <f ca="1" t="shared" si="6"/>
        <v>0.00555590263441336</v>
      </c>
      <c r="AE11" s="100">
        <f ca="1" t="shared" si="6"/>
        <v>0.0246490567012818</v>
      </c>
      <c r="AF11" s="100">
        <f ca="1" t="shared" si="6"/>
        <v>0.00102390032328031</v>
      </c>
      <c r="AG11" s="100">
        <f ca="1" t="shared" si="6"/>
        <v>0.000718112313208816</v>
      </c>
      <c r="AH11" s="100">
        <f ca="1" t="shared" si="6"/>
        <v>0.000377151327045281</v>
      </c>
      <c r="AI11" s="100">
        <f ca="1" t="shared" si="6"/>
        <v>0.000541260974262375</v>
      </c>
      <c r="AJ11" s="100">
        <f ca="1" t="shared" si="6"/>
        <v>0.00194626935757935</v>
      </c>
      <c r="AK11" s="100">
        <f ca="1" t="shared" si="6"/>
        <v>0.000210247641047682</v>
      </c>
      <c r="AL11" s="100">
        <f ca="1" t="shared" si="6"/>
        <v>0.000137065149555676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0.0557490595704874</v>
      </c>
      <c r="E14" s="100">
        <f ca="1" t="shared" ref="E14:U14" si="10">E13/SUM($D$13:$AJ$13)</f>
        <v>0.0967896025316959</v>
      </c>
      <c r="F14" s="100">
        <f ca="1" t="shared" si="10"/>
        <v>0</v>
      </c>
      <c r="G14" s="100">
        <f ca="1" t="shared" si="10"/>
        <v>0.000258742511394622</v>
      </c>
      <c r="H14" s="100">
        <f ca="1" t="shared" si="10"/>
        <v>7.96130804291145e-5</v>
      </c>
      <c r="I14" s="100">
        <f ca="1" t="shared" si="10"/>
        <v>0.00101506677547121</v>
      </c>
      <c r="J14" s="100">
        <f ca="1" t="shared" si="10"/>
        <v>0.0042792030730649</v>
      </c>
      <c r="K14" s="100">
        <f ca="1" t="shared" si="10"/>
        <v>0.183149891527178</v>
      </c>
      <c r="L14" s="100">
        <f ca="1" t="shared" si="10"/>
        <v>0.00013932289075095</v>
      </c>
      <c r="M14" s="100">
        <f ca="1" t="shared" si="10"/>
        <v>0.000318452321716458</v>
      </c>
      <c r="N14" s="100">
        <f ca="1" t="shared" si="10"/>
        <v>0.00123400274665127</v>
      </c>
      <c r="O14" s="100">
        <f ca="1" t="shared" si="10"/>
        <v>0.00272674800469717</v>
      </c>
      <c r="P14" s="100">
        <f ca="1" t="shared" si="10"/>
        <v>0.000417968672252851</v>
      </c>
      <c r="Q14" s="100">
        <f ca="1" t="shared" si="10"/>
        <v>0.000477678482574687</v>
      </c>
      <c r="R14" s="100">
        <f ca="1" t="shared" si="10"/>
        <v>1.99032701072786e-5</v>
      </c>
      <c r="S14" s="100">
        <f ca="1" t="shared" si="10"/>
        <v>0.223135561172701</v>
      </c>
      <c r="T14" s="100">
        <f ca="1" t="shared" si="10"/>
        <v>0.000119419620643672</v>
      </c>
      <c r="U14" s="100">
        <f ca="1" t="shared" si="10"/>
        <v>0.00123400274665127</v>
      </c>
      <c r="V14" s="100">
        <f ca="1" t="shared" ref="V14:AJ14" si="11">V13/SUM($D$13:$AJ$13)</f>
        <v>0.00591127122186175</v>
      </c>
      <c r="W14" s="100">
        <f ca="1" t="shared" si="11"/>
        <v>0.00682682164679657</v>
      </c>
      <c r="X14" s="100">
        <f ca="1" t="shared" si="11"/>
        <v>0.012857512489302</v>
      </c>
      <c r="Y14" s="100">
        <f ca="1" t="shared" si="11"/>
        <v>0.0114244770415779</v>
      </c>
      <c r="Z14" s="100">
        <f ca="1" t="shared" si="11"/>
        <v>9.95163505363931e-5</v>
      </c>
      <c r="AA14" s="100">
        <f ca="1" t="shared" si="11"/>
        <v>0.000676711183647473</v>
      </c>
      <c r="AB14" s="100">
        <f ca="1" t="shared" si="11"/>
        <v>0.352267977628724</v>
      </c>
      <c r="AC14" s="100">
        <f ca="1" t="shared" si="11"/>
        <v>0.00421949326274307</v>
      </c>
      <c r="AD14" s="100">
        <f ca="1" t="shared" si="11"/>
        <v>0.00555301235993073</v>
      </c>
      <c r="AE14" s="100">
        <f ca="1" t="shared" si="11"/>
        <v>0.0246601516629182</v>
      </c>
      <c r="AF14" s="100">
        <f ca="1" t="shared" si="11"/>
        <v>0.000776227534183866</v>
      </c>
      <c r="AG14" s="100">
        <f ca="1" t="shared" si="11"/>
        <v>0.00071651772386203</v>
      </c>
      <c r="AH14" s="100">
        <f ca="1" t="shared" si="11"/>
        <v>0.000378162132038294</v>
      </c>
      <c r="AI14" s="100">
        <f ca="1" t="shared" si="11"/>
        <v>0.000537388292896523</v>
      </c>
      <c r="AJ14" s="100">
        <f ca="1" t="shared" si="11"/>
        <v>0.0019505204705133</v>
      </c>
      <c r="AK14" s="100">
        <f ca="1" t="shared" ref="AK14:AW14" si="12">AK13/SUM($D$13:$AJ$13)</f>
        <v>0.000218935971180065</v>
      </c>
      <c r="AL14" s="100">
        <f ca="1" t="shared" si="12"/>
        <v>0.00013932289075095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6">
        <f ca="1">ROUND(D4*D28/D36,3)</f>
        <v>0</v>
      </c>
      <c r="E19" s="76">
        <f ca="1" t="shared" ref="E19:U19" si="17">ROUND(E4*E28/E36,3)</f>
        <v>0</v>
      </c>
      <c r="F19" s="76">
        <f ca="1" t="shared" si="17"/>
        <v>0</v>
      </c>
      <c r="G19" s="76">
        <f ca="1" t="shared" si="17"/>
        <v>0</v>
      </c>
      <c r="H19" s="76">
        <f ca="1" t="shared" si="17"/>
        <v>0</v>
      </c>
      <c r="I19" s="76">
        <f ca="1" t="shared" si="17"/>
        <v>0</v>
      </c>
      <c r="J19" s="76">
        <f ca="1" t="shared" si="17"/>
        <v>0.018</v>
      </c>
      <c r="K19" s="76">
        <f ca="1" t="shared" si="17"/>
        <v>0.089</v>
      </c>
      <c r="L19" s="76">
        <f ca="1" t="shared" si="17"/>
        <v>0</v>
      </c>
      <c r="M19" s="76">
        <f ca="1" t="shared" si="17"/>
        <v>0</v>
      </c>
      <c r="N19" s="76">
        <f ca="1" t="shared" si="17"/>
        <v>0</v>
      </c>
      <c r="O19" s="76">
        <f ca="1" t="shared" si="17"/>
        <v>0</v>
      </c>
      <c r="P19" s="76">
        <f ca="1" t="shared" si="17"/>
        <v>0</v>
      </c>
      <c r="Q19" s="76">
        <f ca="1" t="shared" si="17"/>
        <v>0</v>
      </c>
      <c r="R19" s="76">
        <f ca="1" t="shared" si="17"/>
        <v>0</v>
      </c>
      <c r="S19" s="76">
        <f ca="1" t="shared" si="17"/>
        <v>0.004</v>
      </c>
      <c r="T19" s="76">
        <f ca="1" t="shared" si="17"/>
        <v>0</v>
      </c>
      <c r="U19" s="76">
        <f ca="1" t="shared" si="17"/>
        <v>0</v>
      </c>
      <c r="V19" s="76">
        <f ca="1" t="shared" ref="V19:AW19" si="18">ROUND(V4*V28/V36,3)</f>
        <v>0</v>
      </c>
      <c r="W19" s="76">
        <f ca="1" t="shared" si="18"/>
        <v>0.002</v>
      </c>
      <c r="X19" s="76">
        <f ca="1" t="shared" si="18"/>
        <v>0</v>
      </c>
      <c r="Y19" s="76">
        <f ca="1" t="shared" si="18"/>
        <v>0</v>
      </c>
      <c r="Z19" s="76">
        <f ca="1" t="shared" si="18"/>
        <v>0</v>
      </c>
      <c r="AA19" s="76">
        <f ca="1" t="shared" si="18"/>
        <v>0</v>
      </c>
      <c r="AB19" s="76">
        <f ca="1" t="shared" si="18"/>
        <v>0</v>
      </c>
      <c r="AC19" s="76">
        <f ca="1" t="shared" si="18"/>
        <v>0</v>
      </c>
      <c r="AD19" s="76">
        <f ca="1" t="shared" si="18"/>
        <v>0</v>
      </c>
      <c r="AE19" s="76">
        <f ca="1" t="shared" si="18"/>
        <v>0</v>
      </c>
      <c r="AF19" s="76">
        <f ca="1" t="shared" si="18"/>
        <v>0</v>
      </c>
      <c r="AG19" s="76">
        <f ca="1" t="shared" si="18"/>
        <v>0</v>
      </c>
      <c r="AH19" s="76">
        <f ca="1" t="shared" si="18"/>
        <v>0</v>
      </c>
      <c r="AI19" s="76">
        <f ca="1" t="shared" si="18"/>
        <v>0</v>
      </c>
      <c r="AJ19" s="76">
        <f ca="1" t="shared" si="18"/>
        <v>0</v>
      </c>
      <c r="AK19" s="76">
        <f ca="1" t="shared" si="18"/>
        <v>0</v>
      </c>
      <c r="AL19" s="76">
        <f ca="1" t="shared" si="18"/>
        <v>0</v>
      </c>
      <c r="AM19" s="76">
        <f ca="1" t="shared" si="18"/>
        <v>0</v>
      </c>
      <c r="AN19" s="76">
        <f ca="1" t="shared" si="18"/>
        <v>0</v>
      </c>
      <c r="AO19" s="76">
        <f ca="1" t="shared" si="18"/>
        <v>0</v>
      </c>
      <c r="AP19" s="76">
        <f ca="1" t="shared" si="18"/>
        <v>0</v>
      </c>
      <c r="AQ19" s="76">
        <f ca="1" t="shared" si="18"/>
        <v>0</v>
      </c>
      <c r="AR19" s="76">
        <f ca="1" t="shared" si="18"/>
        <v>0</v>
      </c>
      <c r="AS19" s="76">
        <f ca="1" t="shared" si="18"/>
        <v>0</v>
      </c>
      <c r="AT19" s="76">
        <f ca="1" t="shared" si="18"/>
        <v>0</v>
      </c>
      <c r="AU19" s="76">
        <f ca="1" t="shared" si="18"/>
        <v>0</v>
      </c>
      <c r="AV19" s="76">
        <f ca="1" t="shared" si="18"/>
        <v>0</v>
      </c>
      <c r="AW19" s="76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6">
        <f ca="1" t="shared" ref="D20:AW25" si="19">ROUND(D5*D29/D37,3)</f>
        <v>0</v>
      </c>
      <c r="E20" s="76">
        <f ca="1" t="shared" ref="E20:U20" si="20">ROUND(E5*E29/E37,3)</f>
        <v>0</v>
      </c>
      <c r="F20" s="76">
        <f ca="1" t="shared" si="20"/>
        <v>0</v>
      </c>
      <c r="G20" s="76">
        <f ca="1" t="shared" si="20"/>
        <v>0</v>
      </c>
      <c r="H20" s="76">
        <f ca="1" t="shared" si="20"/>
        <v>0</v>
      </c>
      <c r="I20" s="76">
        <f ca="1" t="shared" si="20"/>
        <v>0</v>
      </c>
      <c r="J20" s="76">
        <f ca="1" t="shared" si="20"/>
        <v>0</v>
      </c>
      <c r="K20" s="76">
        <f ca="1" t="shared" si="20"/>
        <v>0</v>
      </c>
      <c r="L20" s="76">
        <f ca="1" t="shared" si="20"/>
        <v>0</v>
      </c>
      <c r="M20" s="76">
        <f ca="1" t="shared" si="20"/>
        <v>0</v>
      </c>
      <c r="N20" s="76">
        <f ca="1" t="shared" si="20"/>
        <v>0</v>
      </c>
      <c r="O20" s="76">
        <f ca="1" t="shared" si="20"/>
        <v>0</v>
      </c>
      <c r="P20" s="76">
        <f ca="1" t="shared" si="20"/>
        <v>0</v>
      </c>
      <c r="Q20" s="76">
        <f ca="1" t="shared" si="20"/>
        <v>0</v>
      </c>
      <c r="R20" s="76">
        <f ca="1" t="shared" si="20"/>
        <v>0</v>
      </c>
      <c r="S20" s="76">
        <f ca="1" t="shared" si="20"/>
        <v>0</v>
      </c>
      <c r="T20" s="76">
        <f ca="1" t="shared" si="20"/>
        <v>0</v>
      </c>
      <c r="U20" s="76">
        <f ca="1" t="shared" si="20"/>
        <v>0</v>
      </c>
      <c r="V20" s="76">
        <f ca="1" t="shared" si="19"/>
        <v>0</v>
      </c>
      <c r="W20" s="76">
        <f ca="1" t="shared" si="19"/>
        <v>0</v>
      </c>
      <c r="X20" s="76">
        <f ca="1" t="shared" si="19"/>
        <v>0</v>
      </c>
      <c r="Y20" s="76">
        <f ca="1" t="shared" si="19"/>
        <v>0</v>
      </c>
      <c r="Z20" s="76">
        <f ca="1" t="shared" si="19"/>
        <v>0</v>
      </c>
      <c r="AA20" s="76">
        <f ca="1" t="shared" si="19"/>
        <v>0</v>
      </c>
      <c r="AB20" s="76">
        <f ca="1" t="shared" si="19"/>
        <v>0</v>
      </c>
      <c r="AC20" s="76">
        <f ca="1" t="shared" si="19"/>
        <v>0</v>
      </c>
      <c r="AD20" s="76">
        <f ca="1" t="shared" si="19"/>
        <v>0</v>
      </c>
      <c r="AE20" s="76">
        <f ca="1" t="shared" si="19"/>
        <v>0</v>
      </c>
      <c r="AF20" s="76">
        <f ca="1" t="shared" si="19"/>
        <v>0</v>
      </c>
      <c r="AG20" s="76">
        <f ca="1" t="shared" si="19"/>
        <v>0</v>
      </c>
      <c r="AH20" s="76">
        <f ca="1" t="shared" si="19"/>
        <v>0</v>
      </c>
      <c r="AI20" s="76">
        <f ca="1" t="shared" si="19"/>
        <v>0</v>
      </c>
      <c r="AJ20" s="76">
        <f ca="1" t="shared" si="19"/>
        <v>0</v>
      </c>
      <c r="AK20" s="76">
        <f ca="1" t="shared" si="19"/>
        <v>0</v>
      </c>
      <c r="AL20" s="76">
        <f ca="1" t="shared" si="19"/>
        <v>0</v>
      </c>
      <c r="AM20" s="76">
        <f ca="1" t="shared" si="19"/>
        <v>0</v>
      </c>
      <c r="AN20" s="76">
        <f ca="1" t="shared" si="19"/>
        <v>0</v>
      </c>
      <c r="AO20" s="76">
        <f ca="1" t="shared" si="19"/>
        <v>0</v>
      </c>
      <c r="AP20" s="76">
        <f ca="1" t="shared" si="19"/>
        <v>0</v>
      </c>
      <c r="AQ20" s="76">
        <f ca="1" t="shared" si="19"/>
        <v>0</v>
      </c>
      <c r="AR20" s="76">
        <f ca="1" t="shared" si="19"/>
        <v>0</v>
      </c>
      <c r="AS20" s="76">
        <f ca="1" t="shared" si="19"/>
        <v>0</v>
      </c>
      <c r="AT20" s="76">
        <f ca="1" t="shared" si="19"/>
        <v>0</v>
      </c>
      <c r="AU20" s="76">
        <f ca="1" t="shared" si="19"/>
        <v>0</v>
      </c>
      <c r="AV20" s="76">
        <f ca="1" t="shared" si="19"/>
        <v>0</v>
      </c>
      <c r="AW20" s="76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6">
        <f ca="1" t="shared" si="19"/>
        <v>0</v>
      </c>
      <c r="E21" s="76">
        <f ca="1" t="shared" ref="E21:U21" si="21">ROUND(E6*E30/E38,3)</f>
        <v>0</v>
      </c>
      <c r="F21" s="76">
        <f ca="1" t="shared" si="21"/>
        <v>0</v>
      </c>
      <c r="G21" s="76">
        <f ca="1" t="shared" si="21"/>
        <v>0</v>
      </c>
      <c r="H21" s="76">
        <f ca="1" t="shared" si="21"/>
        <v>0</v>
      </c>
      <c r="I21" s="76">
        <f ca="1" t="shared" si="21"/>
        <v>0</v>
      </c>
      <c r="J21" s="76">
        <f ca="1" t="shared" si="21"/>
        <v>0.039</v>
      </c>
      <c r="K21" s="76">
        <f ca="1" t="shared" si="21"/>
        <v>9.113</v>
      </c>
      <c r="L21" s="76">
        <f ca="1" t="shared" si="21"/>
        <v>0</v>
      </c>
      <c r="M21" s="76">
        <f ca="1" t="shared" si="21"/>
        <v>0</v>
      </c>
      <c r="N21" s="76">
        <f ca="1" t="shared" si="21"/>
        <v>0</v>
      </c>
      <c r="O21" s="76">
        <f ca="1" t="shared" si="21"/>
        <v>0</v>
      </c>
      <c r="P21" s="76">
        <f ca="1" t="shared" si="21"/>
        <v>0</v>
      </c>
      <c r="Q21" s="76">
        <f ca="1" t="shared" si="21"/>
        <v>0</v>
      </c>
      <c r="R21" s="76">
        <f ca="1" t="shared" si="21"/>
        <v>0</v>
      </c>
      <c r="S21" s="76">
        <f ca="1" t="shared" si="21"/>
        <v>5.952</v>
      </c>
      <c r="T21" s="76">
        <f ca="1" t="shared" si="21"/>
        <v>0</v>
      </c>
      <c r="U21" s="76">
        <f ca="1" t="shared" si="21"/>
        <v>0</v>
      </c>
      <c r="V21" s="76">
        <f ca="1" t="shared" si="19"/>
        <v>0.018</v>
      </c>
      <c r="W21" s="76">
        <f ca="1" t="shared" si="19"/>
        <v>0.04</v>
      </c>
      <c r="X21" s="76">
        <f ca="1" t="shared" si="19"/>
        <v>0</v>
      </c>
      <c r="Y21" s="76">
        <f ca="1" t="shared" si="19"/>
        <v>0</v>
      </c>
      <c r="Z21" s="76">
        <f ca="1" t="shared" si="19"/>
        <v>0</v>
      </c>
      <c r="AA21" s="76">
        <f ca="1" t="shared" si="19"/>
        <v>0</v>
      </c>
      <c r="AB21" s="76">
        <f ca="1" t="shared" si="19"/>
        <v>0</v>
      </c>
      <c r="AC21" s="76">
        <f ca="1" t="shared" si="19"/>
        <v>0</v>
      </c>
      <c r="AD21" s="76">
        <f ca="1" t="shared" si="19"/>
        <v>0</v>
      </c>
      <c r="AE21" s="76">
        <f ca="1" t="shared" si="19"/>
        <v>0</v>
      </c>
      <c r="AF21" s="76">
        <f ca="1" t="shared" si="19"/>
        <v>0</v>
      </c>
      <c r="AG21" s="76">
        <f ca="1" t="shared" si="19"/>
        <v>0</v>
      </c>
      <c r="AH21" s="76">
        <f ca="1" t="shared" si="19"/>
        <v>0</v>
      </c>
      <c r="AI21" s="76">
        <f ca="1" t="shared" si="19"/>
        <v>0</v>
      </c>
      <c r="AJ21" s="76">
        <f ca="1" t="shared" si="19"/>
        <v>0</v>
      </c>
      <c r="AK21" s="76">
        <f ca="1" t="shared" si="19"/>
        <v>0</v>
      </c>
      <c r="AL21" s="76">
        <f ca="1" t="shared" si="19"/>
        <v>0</v>
      </c>
      <c r="AM21" s="76">
        <f ca="1" t="shared" si="19"/>
        <v>0</v>
      </c>
      <c r="AN21" s="76">
        <f ca="1" t="shared" si="19"/>
        <v>0</v>
      </c>
      <c r="AO21" s="76">
        <f ca="1" t="shared" si="19"/>
        <v>0</v>
      </c>
      <c r="AP21" s="76">
        <f ca="1" t="shared" si="19"/>
        <v>0</v>
      </c>
      <c r="AQ21" s="76">
        <f ca="1" t="shared" si="19"/>
        <v>0</v>
      </c>
      <c r="AR21" s="76">
        <f ca="1" t="shared" si="19"/>
        <v>0</v>
      </c>
      <c r="AS21" s="76">
        <f ca="1" t="shared" si="19"/>
        <v>0</v>
      </c>
      <c r="AT21" s="76">
        <f ca="1" t="shared" si="19"/>
        <v>0</v>
      </c>
      <c r="AU21" s="76">
        <f ca="1" t="shared" si="19"/>
        <v>0</v>
      </c>
      <c r="AV21" s="76">
        <f ca="1" t="shared" si="19"/>
        <v>0</v>
      </c>
      <c r="AW21" s="76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6">
        <f ca="1" t="shared" si="19"/>
        <v>0</v>
      </c>
      <c r="E22" s="76">
        <f ca="1" t="shared" ref="E22:U22" si="22">ROUND(E7*E31/E39,3)</f>
        <v>0</v>
      </c>
      <c r="F22" s="76">
        <f ca="1" t="shared" si="22"/>
        <v>0</v>
      </c>
      <c r="G22" s="76">
        <f ca="1" t="shared" si="22"/>
        <v>0</v>
      </c>
      <c r="H22" s="76">
        <f ca="1" t="shared" si="22"/>
        <v>0</v>
      </c>
      <c r="I22" s="76">
        <f ca="1" t="shared" si="22"/>
        <v>0</v>
      </c>
      <c r="J22" s="76">
        <f ca="1" t="shared" si="22"/>
        <v>0</v>
      </c>
      <c r="K22" s="76">
        <f ca="1" t="shared" si="22"/>
        <v>0</v>
      </c>
      <c r="L22" s="76">
        <f ca="1" t="shared" si="22"/>
        <v>0</v>
      </c>
      <c r="M22" s="76">
        <f ca="1" t="shared" si="22"/>
        <v>0</v>
      </c>
      <c r="N22" s="76">
        <f ca="1" t="shared" si="22"/>
        <v>0</v>
      </c>
      <c r="O22" s="76">
        <f ca="1" t="shared" si="22"/>
        <v>0</v>
      </c>
      <c r="P22" s="76">
        <f ca="1" t="shared" si="22"/>
        <v>0</v>
      </c>
      <c r="Q22" s="76">
        <f ca="1" t="shared" si="22"/>
        <v>0</v>
      </c>
      <c r="R22" s="76">
        <f ca="1" t="shared" si="22"/>
        <v>0</v>
      </c>
      <c r="S22" s="76">
        <f ca="1" t="shared" si="22"/>
        <v>0</v>
      </c>
      <c r="T22" s="76">
        <f ca="1" t="shared" si="22"/>
        <v>0</v>
      </c>
      <c r="U22" s="76">
        <f ca="1" t="shared" si="22"/>
        <v>0</v>
      </c>
      <c r="V22" s="76">
        <f ca="1" t="shared" si="19"/>
        <v>0</v>
      </c>
      <c r="W22" s="76">
        <f ca="1" t="shared" si="19"/>
        <v>0</v>
      </c>
      <c r="X22" s="76">
        <f ca="1" t="shared" si="19"/>
        <v>0</v>
      </c>
      <c r="Y22" s="76">
        <f ca="1" t="shared" si="19"/>
        <v>0</v>
      </c>
      <c r="Z22" s="76">
        <f ca="1" t="shared" si="19"/>
        <v>0</v>
      </c>
      <c r="AA22" s="76">
        <f ca="1" t="shared" si="19"/>
        <v>0</v>
      </c>
      <c r="AB22" s="76">
        <f ca="1" t="shared" si="19"/>
        <v>0</v>
      </c>
      <c r="AC22" s="76">
        <f ca="1" t="shared" si="19"/>
        <v>0</v>
      </c>
      <c r="AD22" s="76">
        <f ca="1" t="shared" si="19"/>
        <v>0</v>
      </c>
      <c r="AE22" s="76">
        <f ca="1" t="shared" si="19"/>
        <v>0</v>
      </c>
      <c r="AF22" s="76">
        <f ca="1" t="shared" si="19"/>
        <v>0</v>
      </c>
      <c r="AG22" s="76">
        <f ca="1" t="shared" si="19"/>
        <v>0</v>
      </c>
      <c r="AH22" s="76">
        <f ca="1" t="shared" si="19"/>
        <v>0</v>
      </c>
      <c r="AI22" s="76">
        <f ca="1" t="shared" si="19"/>
        <v>0</v>
      </c>
      <c r="AJ22" s="76">
        <f ca="1" t="shared" si="19"/>
        <v>0</v>
      </c>
      <c r="AK22" s="76">
        <f ca="1" t="shared" si="19"/>
        <v>0</v>
      </c>
      <c r="AL22" s="76">
        <f ca="1" t="shared" si="19"/>
        <v>0</v>
      </c>
      <c r="AM22" s="76">
        <f ca="1" t="shared" si="19"/>
        <v>0</v>
      </c>
      <c r="AN22" s="76">
        <f ca="1" t="shared" si="19"/>
        <v>0</v>
      </c>
      <c r="AO22" s="76">
        <f ca="1" t="shared" si="19"/>
        <v>0</v>
      </c>
      <c r="AP22" s="76">
        <f ca="1" t="shared" si="19"/>
        <v>0</v>
      </c>
      <c r="AQ22" s="76">
        <f ca="1" t="shared" si="19"/>
        <v>0</v>
      </c>
      <c r="AR22" s="76">
        <f ca="1" t="shared" si="19"/>
        <v>0</v>
      </c>
      <c r="AS22" s="76">
        <f ca="1" t="shared" si="19"/>
        <v>0</v>
      </c>
      <c r="AT22" s="76">
        <f ca="1" t="shared" si="19"/>
        <v>0</v>
      </c>
      <c r="AU22" s="76">
        <f ca="1" t="shared" si="19"/>
        <v>0</v>
      </c>
      <c r="AV22" s="76">
        <f ca="1" t="shared" si="19"/>
        <v>0</v>
      </c>
      <c r="AW22" s="76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6">
        <f ca="1" t="shared" si="19"/>
        <v>2.801</v>
      </c>
      <c r="E23" s="76">
        <f ca="1" t="shared" ref="E23:U23" si="23">ROUND(E8*E32/E40,3)</f>
        <v>4.863</v>
      </c>
      <c r="F23" s="76">
        <f ca="1" t="shared" si="23"/>
        <v>0</v>
      </c>
      <c r="G23" s="76">
        <f ca="1" t="shared" si="23"/>
        <v>0.013</v>
      </c>
      <c r="H23" s="76">
        <f ca="1" t="shared" si="23"/>
        <v>0.004</v>
      </c>
      <c r="I23" s="76">
        <f ca="1" t="shared" si="23"/>
        <v>0.051</v>
      </c>
      <c r="J23" s="76">
        <f ca="1" t="shared" si="23"/>
        <v>0.158</v>
      </c>
      <c r="K23" s="76">
        <f ca="1" t="shared" si="23"/>
        <v>0</v>
      </c>
      <c r="L23" s="76">
        <f ca="1" t="shared" si="23"/>
        <v>0.007</v>
      </c>
      <c r="M23" s="76">
        <f ca="1" t="shared" si="23"/>
        <v>0.016</v>
      </c>
      <c r="N23" s="76">
        <f ca="1" t="shared" si="23"/>
        <v>0.062</v>
      </c>
      <c r="O23" s="76">
        <f ca="1" t="shared" si="23"/>
        <v>0.137</v>
      </c>
      <c r="P23" s="76">
        <f ca="1" t="shared" si="23"/>
        <v>0.021</v>
      </c>
      <c r="Q23" s="76">
        <f ca="1" t="shared" si="23"/>
        <v>0.024</v>
      </c>
      <c r="R23" s="76">
        <f ca="1" t="shared" si="23"/>
        <v>0.001</v>
      </c>
      <c r="S23" s="76">
        <f ca="1" t="shared" si="23"/>
        <v>5.255</v>
      </c>
      <c r="T23" s="76">
        <f ca="1" t="shared" si="23"/>
        <v>0.006</v>
      </c>
      <c r="U23" s="76">
        <f ca="1" t="shared" si="23"/>
        <v>0.062</v>
      </c>
      <c r="V23" s="76">
        <f ca="1" t="shared" si="19"/>
        <v>0.279</v>
      </c>
      <c r="W23" s="76">
        <f ca="1" t="shared" si="19"/>
        <v>0.301</v>
      </c>
      <c r="X23" s="76">
        <f ca="1" t="shared" si="19"/>
        <v>0.646</v>
      </c>
      <c r="Y23" s="76">
        <f ca="1" t="shared" si="19"/>
        <v>0.574</v>
      </c>
      <c r="Z23" s="76">
        <f ca="1" t="shared" si="19"/>
        <v>0.005</v>
      </c>
      <c r="AA23" s="76">
        <f ca="1" t="shared" si="19"/>
        <v>0.034</v>
      </c>
      <c r="AB23" s="76">
        <f ca="1" t="shared" si="19"/>
        <v>17.699</v>
      </c>
      <c r="AC23" s="76">
        <f ca="1" t="shared" si="19"/>
        <v>0.212</v>
      </c>
      <c r="AD23" s="76">
        <f ca="1" t="shared" si="19"/>
        <v>0.279</v>
      </c>
      <c r="AE23" s="76">
        <f ca="1" t="shared" si="19"/>
        <v>1.239</v>
      </c>
      <c r="AF23" s="76">
        <f ca="1" t="shared" si="19"/>
        <v>0.039</v>
      </c>
      <c r="AG23" s="76">
        <f ca="1" t="shared" si="19"/>
        <v>0.036</v>
      </c>
      <c r="AH23" s="76">
        <f ca="1" t="shared" si="19"/>
        <v>0.019</v>
      </c>
      <c r="AI23" s="76">
        <f ca="1" t="shared" si="19"/>
        <v>0.027</v>
      </c>
      <c r="AJ23" s="76">
        <f ca="1" t="shared" si="19"/>
        <v>0.098</v>
      </c>
      <c r="AK23" s="76">
        <f ca="1" t="shared" si="19"/>
        <v>0.011</v>
      </c>
      <c r="AL23" s="76">
        <f ca="1" t="shared" si="19"/>
        <v>0.007</v>
      </c>
      <c r="AM23" s="76">
        <f ca="1" t="shared" si="19"/>
        <v>0</v>
      </c>
      <c r="AN23" s="76">
        <f ca="1" t="shared" si="19"/>
        <v>0</v>
      </c>
      <c r="AO23" s="76">
        <f ca="1" t="shared" si="19"/>
        <v>0</v>
      </c>
      <c r="AP23" s="76">
        <f ca="1" t="shared" si="19"/>
        <v>0</v>
      </c>
      <c r="AQ23" s="76">
        <f ca="1" t="shared" si="19"/>
        <v>0</v>
      </c>
      <c r="AR23" s="76">
        <f ca="1" t="shared" si="19"/>
        <v>0</v>
      </c>
      <c r="AS23" s="76">
        <f ca="1" t="shared" si="19"/>
        <v>0</v>
      </c>
      <c r="AT23" s="76">
        <f ca="1" t="shared" si="19"/>
        <v>0</v>
      </c>
      <c r="AU23" s="76">
        <f ca="1" t="shared" si="19"/>
        <v>0</v>
      </c>
      <c r="AV23" s="76">
        <f ca="1" t="shared" si="19"/>
        <v>0</v>
      </c>
      <c r="AW23" s="76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6">
        <f ca="1" t="shared" si="19"/>
        <v>0</v>
      </c>
      <c r="E24" s="76">
        <f ca="1" t="shared" ref="E24:U24" si="24">ROUND(E9*E33/E41,3)</f>
        <v>0</v>
      </c>
      <c r="F24" s="76">
        <f ca="1" t="shared" si="24"/>
        <v>0</v>
      </c>
      <c r="G24" s="76">
        <f ca="1" t="shared" si="24"/>
        <v>0</v>
      </c>
      <c r="H24" s="76">
        <f ca="1" t="shared" si="24"/>
        <v>0</v>
      </c>
      <c r="I24" s="76">
        <f ca="1" t="shared" si="24"/>
        <v>0</v>
      </c>
      <c r="J24" s="76">
        <f ca="1" t="shared" si="24"/>
        <v>0</v>
      </c>
      <c r="K24" s="76">
        <f ca="1" t="shared" si="24"/>
        <v>0</v>
      </c>
      <c r="L24" s="76">
        <f ca="1" t="shared" si="24"/>
        <v>0</v>
      </c>
      <c r="M24" s="76">
        <f ca="1" t="shared" si="24"/>
        <v>0</v>
      </c>
      <c r="N24" s="76">
        <f ca="1" t="shared" si="24"/>
        <v>0</v>
      </c>
      <c r="O24" s="76">
        <f ca="1" t="shared" si="24"/>
        <v>0</v>
      </c>
      <c r="P24" s="76">
        <f ca="1" t="shared" si="24"/>
        <v>0</v>
      </c>
      <c r="Q24" s="76">
        <f ca="1" t="shared" si="24"/>
        <v>0</v>
      </c>
      <c r="R24" s="76">
        <f ca="1" t="shared" si="24"/>
        <v>0</v>
      </c>
      <c r="S24" s="76">
        <f ca="1" t="shared" si="24"/>
        <v>0</v>
      </c>
      <c r="T24" s="76">
        <f ca="1" t="shared" si="24"/>
        <v>0</v>
      </c>
      <c r="U24" s="76">
        <f ca="1" t="shared" si="24"/>
        <v>0</v>
      </c>
      <c r="V24" s="76">
        <f ca="1" t="shared" si="19"/>
        <v>0</v>
      </c>
      <c r="W24" s="76">
        <f ca="1" t="shared" si="19"/>
        <v>0</v>
      </c>
      <c r="X24" s="76">
        <f ca="1" t="shared" si="19"/>
        <v>0</v>
      </c>
      <c r="Y24" s="76">
        <f ca="1" t="shared" si="19"/>
        <v>0</v>
      </c>
      <c r="Z24" s="76">
        <f ca="1" t="shared" si="19"/>
        <v>0</v>
      </c>
      <c r="AA24" s="76">
        <f ca="1" t="shared" si="19"/>
        <v>0</v>
      </c>
      <c r="AB24" s="76">
        <f ca="1" t="shared" si="19"/>
        <v>0</v>
      </c>
      <c r="AC24" s="76">
        <f ca="1" t="shared" si="19"/>
        <v>0</v>
      </c>
      <c r="AD24" s="76">
        <f ca="1" t="shared" si="19"/>
        <v>0</v>
      </c>
      <c r="AE24" s="76">
        <f ca="1" t="shared" si="19"/>
        <v>0</v>
      </c>
      <c r="AF24" s="76">
        <f ca="1" t="shared" si="19"/>
        <v>0</v>
      </c>
      <c r="AG24" s="76">
        <f ca="1" t="shared" si="19"/>
        <v>0</v>
      </c>
      <c r="AH24" s="76">
        <f ca="1" t="shared" si="19"/>
        <v>0</v>
      </c>
      <c r="AI24" s="76">
        <f ca="1" t="shared" si="19"/>
        <v>0</v>
      </c>
      <c r="AJ24" s="76">
        <f ca="1" t="shared" si="19"/>
        <v>0</v>
      </c>
      <c r="AK24" s="76">
        <f ca="1" t="shared" si="19"/>
        <v>0</v>
      </c>
      <c r="AL24" s="76">
        <f ca="1" t="shared" si="19"/>
        <v>0</v>
      </c>
      <c r="AM24" s="76">
        <f ca="1" t="shared" si="19"/>
        <v>0</v>
      </c>
      <c r="AN24" s="76">
        <f ca="1" t="shared" si="19"/>
        <v>0</v>
      </c>
      <c r="AO24" s="76">
        <f ca="1" t="shared" si="19"/>
        <v>0</v>
      </c>
      <c r="AP24" s="76">
        <f ca="1" t="shared" si="19"/>
        <v>0</v>
      </c>
      <c r="AQ24" s="76">
        <f ca="1" t="shared" si="19"/>
        <v>0</v>
      </c>
      <c r="AR24" s="76">
        <f ca="1" t="shared" si="19"/>
        <v>0</v>
      </c>
      <c r="AS24" s="76">
        <f ca="1" t="shared" si="19"/>
        <v>0</v>
      </c>
      <c r="AT24" s="76">
        <f ca="1" t="shared" si="19"/>
        <v>0</v>
      </c>
      <c r="AU24" s="76">
        <f ca="1" t="shared" si="19"/>
        <v>0</v>
      </c>
      <c r="AV24" s="76">
        <f ca="1" t="shared" si="19"/>
        <v>0</v>
      </c>
      <c r="AW24" s="76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6">
        <f ca="1" t="shared" si="19"/>
        <v>0</v>
      </c>
      <c r="E25" s="76">
        <f ca="1" t="shared" ref="E25:U25" si="25">ROUND(E10*E34/E42,3)</f>
        <v>0</v>
      </c>
      <c r="F25" s="76">
        <f ca="1" t="shared" si="25"/>
        <v>0</v>
      </c>
      <c r="G25" s="76">
        <f ca="1" t="shared" si="25"/>
        <v>0</v>
      </c>
      <c r="H25" s="76">
        <f ca="1" t="shared" si="25"/>
        <v>0</v>
      </c>
      <c r="I25" s="76">
        <f ca="1" t="shared" si="25"/>
        <v>0</v>
      </c>
      <c r="J25" s="76">
        <f ca="1" t="shared" si="25"/>
        <v>0</v>
      </c>
      <c r="K25" s="76">
        <f ca="1" t="shared" si="25"/>
        <v>0</v>
      </c>
      <c r="L25" s="76">
        <f ca="1" t="shared" si="25"/>
        <v>0</v>
      </c>
      <c r="M25" s="76">
        <f ca="1" t="shared" si="25"/>
        <v>0</v>
      </c>
      <c r="N25" s="76">
        <f ca="1" t="shared" si="25"/>
        <v>0</v>
      </c>
      <c r="O25" s="76">
        <f ca="1" t="shared" si="25"/>
        <v>0</v>
      </c>
      <c r="P25" s="76">
        <f ca="1" t="shared" si="25"/>
        <v>0</v>
      </c>
      <c r="Q25" s="76">
        <f ca="1" t="shared" si="25"/>
        <v>0</v>
      </c>
      <c r="R25" s="76">
        <f ca="1" t="shared" si="25"/>
        <v>0</v>
      </c>
      <c r="S25" s="76">
        <f ca="1" t="shared" si="25"/>
        <v>0</v>
      </c>
      <c r="T25" s="76">
        <f ca="1" t="shared" si="25"/>
        <v>0</v>
      </c>
      <c r="U25" s="76">
        <f ca="1" t="shared" si="25"/>
        <v>0</v>
      </c>
      <c r="V25" s="76">
        <f ca="1" t="shared" si="19"/>
        <v>0</v>
      </c>
      <c r="W25" s="76">
        <f ca="1" t="shared" si="19"/>
        <v>0</v>
      </c>
      <c r="X25" s="76">
        <f ca="1" t="shared" si="19"/>
        <v>0</v>
      </c>
      <c r="Y25" s="76">
        <f ca="1" t="shared" si="19"/>
        <v>0</v>
      </c>
      <c r="Z25" s="76">
        <f ca="1" t="shared" si="19"/>
        <v>0</v>
      </c>
      <c r="AA25" s="76">
        <f ca="1" t="shared" si="19"/>
        <v>0</v>
      </c>
      <c r="AB25" s="76">
        <f ca="1" t="shared" si="19"/>
        <v>0</v>
      </c>
      <c r="AC25" s="76">
        <f ca="1" t="shared" si="19"/>
        <v>0</v>
      </c>
      <c r="AD25" s="76">
        <f ca="1" t="shared" si="19"/>
        <v>0</v>
      </c>
      <c r="AE25" s="76">
        <f ca="1" t="shared" si="19"/>
        <v>0</v>
      </c>
      <c r="AF25" s="76">
        <f ca="1" t="shared" si="19"/>
        <v>0</v>
      </c>
      <c r="AG25" s="76">
        <f ca="1" t="shared" si="19"/>
        <v>0</v>
      </c>
      <c r="AH25" s="76">
        <f ca="1" t="shared" si="19"/>
        <v>0</v>
      </c>
      <c r="AI25" s="76">
        <f ca="1" t="shared" si="19"/>
        <v>0</v>
      </c>
      <c r="AJ25" s="76">
        <f ca="1" t="shared" si="19"/>
        <v>0</v>
      </c>
      <c r="AK25" s="76">
        <f ca="1" t="shared" si="19"/>
        <v>0</v>
      </c>
      <c r="AL25" s="76">
        <f ca="1" t="shared" si="19"/>
        <v>0</v>
      </c>
      <c r="AM25" s="76">
        <f ca="1" t="shared" si="19"/>
        <v>0</v>
      </c>
      <c r="AN25" s="76">
        <f ca="1" t="shared" si="19"/>
        <v>0</v>
      </c>
      <c r="AO25" s="76">
        <f ca="1" t="shared" si="19"/>
        <v>0</v>
      </c>
      <c r="AP25" s="76">
        <f ca="1" t="shared" si="19"/>
        <v>0</v>
      </c>
      <c r="AQ25" s="76">
        <f ca="1" t="shared" si="19"/>
        <v>0</v>
      </c>
      <c r="AR25" s="76">
        <f ca="1" t="shared" si="19"/>
        <v>0</v>
      </c>
      <c r="AS25" s="76">
        <f ca="1" t="shared" si="19"/>
        <v>0</v>
      </c>
      <c r="AT25" s="76">
        <f ca="1" t="shared" si="19"/>
        <v>0</v>
      </c>
      <c r="AU25" s="76">
        <f ca="1" t="shared" si="19"/>
        <v>0</v>
      </c>
      <c r="AV25" s="76">
        <f ca="1" t="shared" si="19"/>
        <v>0</v>
      </c>
      <c r="AW25" s="76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4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4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4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4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4">
        <v>0.58697</v>
      </c>
      <c r="AY32" t="s">
        <v>153</v>
      </c>
      <c r="AZ32" s="105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4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4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15</v>
      </c>
      <c r="E36" s="76">
        <v>15</v>
      </c>
      <c r="F36" s="76">
        <v>15</v>
      </c>
      <c r="G36" s="76">
        <v>15</v>
      </c>
      <c r="H36" s="76">
        <v>15</v>
      </c>
      <c r="I36" s="76">
        <v>15</v>
      </c>
      <c r="J36" s="76">
        <v>15</v>
      </c>
      <c r="K36" s="76">
        <v>15</v>
      </c>
      <c r="L36" s="76">
        <v>15</v>
      </c>
      <c r="M36" s="76">
        <v>15</v>
      </c>
      <c r="N36" s="76">
        <v>15</v>
      </c>
      <c r="O36" s="76">
        <v>15</v>
      </c>
      <c r="P36" s="76">
        <v>15</v>
      </c>
      <c r="Q36" s="76">
        <v>15</v>
      </c>
      <c r="R36" s="76">
        <v>15</v>
      </c>
      <c r="S36" s="76">
        <v>15</v>
      </c>
      <c r="T36" s="76">
        <v>15</v>
      </c>
      <c r="U36" s="76">
        <v>15</v>
      </c>
      <c r="V36" s="76">
        <v>15</v>
      </c>
      <c r="W36" s="76">
        <v>15</v>
      </c>
      <c r="X36" s="76">
        <v>15</v>
      </c>
      <c r="Y36" s="76">
        <v>15</v>
      </c>
      <c r="Z36" s="76">
        <v>15</v>
      </c>
      <c r="AA36" s="76">
        <v>15</v>
      </c>
      <c r="AB36" s="76">
        <v>15</v>
      </c>
      <c r="AC36" s="76">
        <v>15</v>
      </c>
      <c r="AD36" s="76">
        <v>15</v>
      </c>
      <c r="AE36" s="76">
        <v>15</v>
      </c>
      <c r="AF36" s="76">
        <v>20</v>
      </c>
      <c r="AG36" s="76">
        <v>15</v>
      </c>
      <c r="AH36" s="76">
        <v>15</v>
      </c>
      <c r="AI36" s="76">
        <v>15</v>
      </c>
      <c r="AJ36" s="76">
        <v>15</v>
      </c>
      <c r="AK36" s="76">
        <v>15</v>
      </c>
      <c r="AL36" s="76">
        <v>15</v>
      </c>
      <c r="AM36" s="76">
        <v>15</v>
      </c>
      <c r="AN36" s="76">
        <v>15</v>
      </c>
      <c r="AO36" s="76">
        <v>15</v>
      </c>
      <c r="AP36" s="76">
        <v>15</v>
      </c>
      <c r="AQ36" s="76">
        <v>15</v>
      </c>
      <c r="AR36" s="76">
        <v>15</v>
      </c>
      <c r="AS36" s="76">
        <v>15</v>
      </c>
      <c r="AT36" s="76">
        <v>15</v>
      </c>
      <c r="AU36" s="76">
        <v>15</v>
      </c>
      <c r="AV36" s="76">
        <v>15</v>
      </c>
      <c r="AW36" s="76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6">
        <v>15</v>
      </c>
      <c r="E37" s="76">
        <v>15</v>
      </c>
      <c r="F37" s="76">
        <v>15</v>
      </c>
      <c r="G37" s="76">
        <v>15</v>
      </c>
      <c r="H37" s="76">
        <v>15</v>
      </c>
      <c r="I37" s="76">
        <v>15</v>
      </c>
      <c r="J37" s="76">
        <v>15</v>
      </c>
      <c r="K37" s="76">
        <v>15</v>
      </c>
      <c r="L37" s="76">
        <v>15</v>
      </c>
      <c r="M37" s="76">
        <v>15</v>
      </c>
      <c r="N37" s="76">
        <v>15</v>
      </c>
      <c r="O37" s="76">
        <v>15</v>
      </c>
      <c r="P37" s="76">
        <v>15</v>
      </c>
      <c r="Q37" s="76">
        <v>15</v>
      </c>
      <c r="R37" s="76">
        <v>15</v>
      </c>
      <c r="S37" s="76">
        <v>15</v>
      </c>
      <c r="T37" s="76">
        <v>15</v>
      </c>
      <c r="U37" s="76">
        <v>15</v>
      </c>
      <c r="V37" s="76">
        <v>15</v>
      </c>
      <c r="W37" s="76">
        <v>15</v>
      </c>
      <c r="X37" s="76">
        <v>15</v>
      </c>
      <c r="Y37" s="76">
        <v>15</v>
      </c>
      <c r="Z37" s="76">
        <v>15</v>
      </c>
      <c r="AA37" s="76">
        <v>15</v>
      </c>
      <c r="AB37" s="76">
        <v>15</v>
      </c>
      <c r="AC37" s="76">
        <v>15</v>
      </c>
      <c r="AD37" s="76">
        <v>15</v>
      </c>
      <c r="AE37" s="76">
        <v>15</v>
      </c>
      <c r="AF37" s="76">
        <v>20</v>
      </c>
      <c r="AG37" s="76">
        <v>15</v>
      </c>
      <c r="AH37" s="76">
        <v>15</v>
      </c>
      <c r="AI37" s="76">
        <v>15</v>
      </c>
      <c r="AJ37" s="76">
        <v>15</v>
      </c>
      <c r="AK37" s="76">
        <v>15</v>
      </c>
      <c r="AL37" s="76">
        <v>15</v>
      </c>
      <c r="AM37" s="76">
        <v>15</v>
      </c>
      <c r="AN37" s="76">
        <v>15</v>
      </c>
      <c r="AO37" s="76">
        <v>15</v>
      </c>
      <c r="AP37" s="76">
        <v>15</v>
      </c>
      <c r="AQ37" s="76">
        <v>15</v>
      </c>
      <c r="AR37" s="76">
        <v>15</v>
      </c>
      <c r="AS37" s="76">
        <v>15</v>
      </c>
      <c r="AT37" s="76">
        <v>15</v>
      </c>
      <c r="AU37" s="76">
        <v>15</v>
      </c>
      <c r="AV37" s="76">
        <v>15</v>
      </c>
      <c r="AW37" s="76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6">
        <v>15</v>
      </c>
      <c r="E38" s="76">
        <v>15</v>
      </c>
      <c r="F38" s="76">
        <v>15</v>
      </c>
      <c r="G38" s="76">
        <v>15</v>
      </c>
      <c r="H38" s="76">
        <v>15</v>
      </c>
      <c r="I38" s="76">
        <v>15</v>
      </c>
      <c r="J38" s="76">
        <v>15</v>
      </c>
      <c r="K38" s="76">
        <v>15</v>
      </c>
      <c r="L38" s="76">
        <v>15</v>
      </c>
      <c r="M38" s="76">
        <v>15</v>
      </c>
      <c r="N38" s="76">
        <v>15</v>
      </c>
      <c r="O38" s="76">
        <v>15</v>
      </c>
      <c r="P38" s="76">
        <v>15</v>
      </c>
      <c r="Q38" s="76">
        <v>15</v>
      </c>
      <c r="R38" s="76">
        <v>15</v>
      </c>
      <c r="S38" s="76">
        <v>15</v>
      </c>
      <c r="T38" s="76">
        <v>15</v>
      </c>
      <c r="U38" s="76">
        <v>15</v>
      </c>
      <c r="V38" s="76">
        <v>15</v>
      </c>
      <c r="W38" s="76">
        <v>15</v>
      </c>
      <c r="X38" s="76">
        <v>15</v>
      </c>
      <c r="Y38" s="76">
        <v>15</v>
      </c>
      <c r="Z38" s="76">
        <v>15</v>
      </c>
      <c r="AA38" s="76">
        <v>15</v>
      </c>
      <c r="AB38" s="76">
        <v>15</v>
      </c>
      <c r="AC38" s="76">
        <v>15</v>
      </c>
      <c r="AD38" s="76">
        <v>15</v>
      </c>
      <c r="AE38" s="76">
        <v>15</v>
      </c>
      <c r="AF38" s="76">
        <v>20</v>
      </c>
      <c r="AG38" s="76">
        <v>15</v>
      </c>
      <c r="AH38" s="76">
        <v>15</v>
      </c>
      <c r="AI38" s="76">
        <v>15</v>
      </c>
      <c r="AJ38" s="76">
        <v>15</v>
      </c>
      <c r="AK38" s="76">
        <v>15</v>
      </c>
      <c r="AL38" s="76">
        <v>15</v>
      </c>
      <c r="AM38" s="76">
        <v>15</v>
      </c>
      <c r="AN38" s="76">
        <v>15</v>
      </c>
      <c r="AO38" s="76">
        <v>15</v>
      </c>
      <c r="AP38" s="76">
        <v>15</v>
      </c>
      <c r="AQ38" s="76">
        <v>15</v>
      </c>
      <c r="AR38" s="76">
        <v>15</v>
      </c>
      <c r="AS38" s="76">
        <v>15</v>
      </c>
      <c r="AT38" s="76">
        <v>15</v>
      </c>
      <c r="AU38" s="76">
        <v>15</v>
      </c>
      <c r="AV38" s="76">
        <v>15</v>
      </c>
      <c r="AW38" s="76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6">
        <v>15</v>
      </c>
      <c r="E39" s="76">
        <v>15</v>
      </c>
      <c r="F39" s="76">
        <v>15</v>
      </c>
      <c r="G39" s="76">
        <v>15</v>
      </c>
      <c r="H39" s="76">
        <v>15</v>
      </c>
      <c r="I39" s="76">
        <v>15</v>
      </c>
      <c r="J39" s="76">
        <v>15</v>
      </c>
      <c r="K39" s="76">
        <v>15</v>
      </c>
      <c r="L39" s="76">
        <v>15</v>
      </c>
      <c r="M39" s="76">
        <v>15</v>
      </c>
      <c r="N39" s="76">
        <v>15</v>
      </c>
      <c r="O39" s="76">
        <v>15</v>
      </c>
      <c r="P39" s="76">
        <v>15</v>
      </c>
      <c r="Q39" s="76">
        <v>15</v>
      </c>
      <c r="R39" s="76">
        <v>15</v>
      </c>
      <c r="S39" s="76">
        <v>15</v>
      </c>
      <c r="T39" s="76">
        <v>15</v>
      </c>
      <c r="U39" s="76">
        <v>15</v>
      </c>
      <c r="V39" s="76">
        <v>15</v>
      </c>
      <c r="W39" s="76">
        <v>15</v>
      </c>
      <c r="X39" s="76">
        <v>15</v>
      </c>
      <c r="Y39" s="76">
        <v>15</v>
      </c>
      <c r="Z39" s="76">
        <v>15</v>
      </c>
      <c r="AA39" s="76">
        <v>15</v>
      </c>
      <c r="AB39" s="76">
        <v>15</v>
      </c>
      <c r="AC39" s="76">
        <v>15</v>
      </c>
      <c r="AD39" s="76">
        <v>15</v>
      </c>
      <c r="AE39" s="76">
        <v>15</v>
      </c>
      <c r="AF39" s="76">
        <v>20</v>
      </c>
      <c r="AG39" s="76">
        <v>15</v>
      </c>
      <c r="AH39" s="76">
        <v>15</v>
      </c>
      <c r="AI39" s="76">
        <v>15</v>
      </c>
      <c r="AJ39" s="76">
        <v>15</v>
      </c>
      <c r="AK39" s="76">
        <v>15</v>
      </c>
      <c r="AL39" s="76">
        <v>15</v>
      </c>
      <c r="AM39" s="76">
        <v>15</v>
      </c>
      <c r="AN39" s="76">
        <v>15</v>
      </c>
      <c r="AO39" s="76">
        <v>15</v>
      </c>
      <c r="AP39" s="76">
        <v>15</v>
      </c>
      <c r="AQ39" s="76">
        <v>15</v>
      </c>
      <c r="AR39" s="76">
        <v>15</v>
      </c>
      <c r="AS39" s="76">
        <v>15</v>
      </c>
      <c r="AT39" s="76">
        <v>15</v>
      </c>
      <c r="AU39" s="76">
        <v>15</v>
      </c>
      <c r="AV39" s="76">
        <v>15</v>
      </c>
      <c r="AW39" s="76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6">
        <v>15</v>
      </c>
      <c r="E40" s="76">
        <v>15</v>
      </c>
      <c r="F40" s="76">
        <v>15</v>
      </c>
      <c r="G40" s="76">
        <v>15</v>
      </c>
      <c r="H40" s="76">
        <v>15</v>
      </c>
      <c r="I40" s="76">
        <v>15</v>
      </c>
      <c r="J40" s="76">
        <v>15</v>
      </c>
      <c r="K40" s="76">
        <v>15</v>
      </c>
      <c r="L40" s="76">
        <v>15</v>
      </c>
      <c r="M40" s="76">
        <v>15</v>
      </c>
      <c r="N40" s="76">
        <v>15</v>
      </c>
      <c r="O40" s="76">
        <v>15</v>
      </c>
      <c r="P40" s="76">
        <v>15</v>
      </c>
      <c r="Q40" s="76">
        <v>15</v>
      </c>
      <c r="R40" s="76">
        <v>15</v>
      </c>
      <c r="S40" s="76">
        <v>15</v>
      </c>
      <c r="T40" s="76">
        <v>15</v>
      </c>
      <c r="U40" s="76">
        <v>15</v>
      </c>
      <c r="V40" s="76">
        <v>15</v>
      </c>
      <c r="W40" s="76">
        <v>15</v>
      </c>
      <c r="X40" s="76">
        <v>15</v>
      </c>
      <c r="Y40" s="76">
        <v>15</v>
      </c>
      <c r="Z40" s="76">
        <v>15</v>
      </c>
      <c r="AA40" s="76">
        <v>15</v>
      </c>
      <c r="AB40" s="76">
        <v>15</v>
      </c>
      <c r="AC40" s="76">
        <v>15</v>
      </c>
      <c r="AD40" s="76">
        <v>15</v>
      </c>
      <c r="AE40" s="76">
        <v>15</v>
      </c>
      <c r="AF40" s="76">
        <v>20</v>
      </c>
      <c r="AG40" s="76">
        <v>15</v>
      </c>
      <c r="AH40" s="76">
        <v>15</v>
      </c>
      <c r="AI40" s="76">
        <v>15</v>
      </c>
      <c r="AJ40" s="76">
        <v>15</v>
      </c>
      <c r="AK40" s="76">
        <v>15</v>
      </c>
      <c r="AL40" s="76">
        <v>15</v>
      </c>
      <c r="AM40" s="76">
        <v>15</v>
      </c>
      <c r="AN40" s="76">
        <v>15</v>
      </c>
      <c r="AO40" s="76">
        <v>15</v>
      </c>
      <c r="AP40" s="76">
        <v>15</v>
      </c>
      <c r="AQ40" s="76">
        <v>15</v>
      </c>
      <c r="AR40" s="76">
        <v>15</v>
      </c>
      <c r="AS40" s="76">
        <v>15</v>
      </c>
      <c r="AT40" s="76">
        <v>15</v>
      </c>
      <c r="AU40" s="76">
        <v>15</v>
      </c>
      <c r="AV40" s="76">
        <v>15</v>
      </c>
      <c r="AW40" s="76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6">
        <v>15</v>
      </c>
      <c r="E41" s="76">
        <v>15</v>
      </c>
      <c r="F41" s="76">
        <v>15</v>
      </c>
      <c r="G41" s="76">
        <v>15</v>
      </c>
      <c r="H41" s="76">
        <v>15</v>
      </c>
      <c r="I41" s="76">
        <v>15</v>
      </c>
      <c r="J41" s="76">
        <v>15</v>
      </c>
      <c r="K41" s="76">
        <v>15</v>
      </c>
      <c r="L41" s="76">
        <v>15</v>
      </c>
      <c r="M41" s="76">
        <v>15</v>
      </c>
      <c r="N41" s="76">
        <v>15</v>
      </c>
      <c r="O41" s="76">
        <v>15</v>
      </c>
      <c r="P41" s="76">
        <v>15</v>
      </c>
      <c r="Q41" s="76">
        <v>15</v>
      </c>
      <c r="R41" s="76">
        <v>15</v>
      </c>
      <c r="S41" s="76">
        <v>15</v>
      </c>
      <c r="T41" s="76">
        <v>15</v>
      </c>
      <c r="U41" s="76">
        <v>15</v>
      </c>
      <c r="V41" s="76">
        <v>15</v>
      </c>
      <c r="W41" s="76">
        <v>15</v>
      </c>
      <c r="X41" s="76">
        <v>15</v>
      </c>
      <c r="Y41" s="76">
        <v>15</v>
      </c>
      <c r="Z41" s="76">
        <v>15</v>
      </c>
      <c r="AA41" s="76">
        <v>15</v>
      </c>
      <c r="AB41" s="76">
        <v>15</v>
      </c>
      <c r="AC41" s="76">
        <v>15</v>
      </c>
      <c r="AD41" s="76">
        <v>15</v>
      </c>
      <c r="AE41" s="76">
        <v>15</v>
      </c>
      <c r="AF41" s="76">
        <v>20</v>
      </c>
      <c r="AG41" s="76">
        <v>15</v>
      </c>
      <c r="AH41" s="76">
        <v>15</v>
      </c>
      <c r="AI41" s="76">
        <v>15</v>
      </c>
      <c r="AJ41" s="76">
        <v>15</v>
      </c>
      <c r="AK41" s="76">
        <v>15</v>
      </c>
      <c r="AL41" s="76">
        <v>15</v>
      </c>
      <c r="AM41" s="76">
        <v>15</v>
      </c>
      <c r="AN41" s="76">
        <v>15</v>
      </c>
      <c r="AO41" s="76">
        <v>15</v>
      </c>
      <c r="AP41" s="76">
        <v>15</v>
      </c>
      <c r="AQ41" s="76">
        <v>15</v>
      </c>
      <c r="AR41" s="76">
        <v>15</v>
      </c>
      <c r="AS41" s="76">
        <v>15</v>
      </c>
      <c r="AT41" s="76">
        <v>15</v>
      </c>
      <c r="AU41" s="76">
        <v>15</v>
      </c>
      <c r="AV41" s="76">
        <v>15</v>
      </c>
      <c r="AW41" s="76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6">
        <v>15</v>
      </c>
      <c r="E42" s="76">
        <v>15</v>
      </c>
      <c r="F42" s="76">
        <v>15</v>
      </c>
      <c r="G42" s="76">
        <v>15</v>
      </c>
      <c r="H42" s="76">
        <v>15</v>
      </c>
      <c r="I42" s="76">
        <v>15</v>
      </c>
      <c r="J42" s="76">
        <v>15</v>
      </c>
      <c r="K42" s="76">
        <v>15</v>
      </c>
      <c r="L42" s="76">
        <v>15</v>
      </c>
      <c r="M42" s="76">
        <v>15</v>
      </c>
      <c r="N42" s="76">
        <v>15</v>
      </c>
      <c r="O42" s="76">
        <v>15</v>
      </c>
      <c r="P42" s="76">
        <v>15</v>
      </c>
      <c r="Q42" s="76">
        <v>15</v>
      </c>
      <c r="R42" s="76">
        <v>15</v>
      </c>
      <c r="S42" s="76">
        <v>15</v>
      </c>
      <c r="T42" s="76">
        <v>15</v>
      </c>
      <c r="U42" s="76">
        <v>15</v>
      </c>
      <c r="V42" s="76">
        <v>15</v>
      </c>
      <c r="W42" s="76">
        <v>15</v>
      </c>
      <c r="X42" s="76">
        <v>15</v>
      </c>
      <c r="Y42" s="76">
        <v>15</v>
      </c>
      <c r="Z42" s="76">
        <v>15</v>
      </c>
      <c r="AA42" s="76">
        <v>15</v>
      </c>
      <c r="AB42" s="76">
        <v>15</v>
      </c>
      <c r="AC42" s="76">
        <v>15</v>
      </c>
      <c r="AD42" s="76">
        <v>15</v>
      </c>
      <c r="AE42" s="76">
        <v>15</v>
      </c>
      <c r="AF42" s="76">
        <v>20</v>
      </c>
      <c r="AG42" s="76">
        <v>15</v>
      </c>
      <c r="AH42" s="76">
        <v>15</v>
      </c>
      <c r="AI42" s="76">
        <v>15</v>
      </c>
      <c r="AJ42" s="76">
        <v>15</v>
      </c>
      <c r="AK42" s="76">
        <v>15</v>
      </c>
      <c r="AL42" s="76">
        <v>15</v>
      </c>
      <c r="AM42" s="76">
        <v>15</v>
      </c>
      <c r="AN42" s="76">
        <v>15</v>
      </c>
      <c r="AO42" s="76">
        <v>15</v>
      </c>
      <c r="AP42" s="76">
        <v>15</v>
      </c>
      <c r="AQ42" s="76">
        <v>15</v>
      </c>
      <c r="AR42" s="76">
        <v>15</v>
      </c>
      <c r="AS42" s="76">
        <v>15</v>
      </c>
      <c r="AT42" s="76">
        <v>15</v>
      </c>
      <c r="AU42" s="76">
        <v>15</v>
      </c>
      <c r="AV42" s="76">
        <v>15</v>
      </c>
      <c r="AW42" s="76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0" zoomScaleNormal="50" topLeftCell="Z1" workbookViewId="0">
      <selection activeCell="AY2" sqref="AY2:AZ20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0.0215997012</v>
      </c>
      <c r="G7" s="1" cm="1">
        <f ca="1" t="array" ref="G7">SUM(SUMIFS(Assumptions!BG$3:BG$102,Assumptions!$B$3:$B$102,Cars!$C7,Assumptions!$G$3:$G$102,{"TRL","TRT"}))</f>
        <v>0.0128388222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0.579756663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49.07260273464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0.2947643271</v>
      </c>
      <c r="O7" s="1" cm="1">
        <f ca="1" t="array" ref="O7">SUM(SUMIFS(Assumptions!BO$3:BO$102,Assumptions!$B$3:$B$102,Cars!$C7,Assumptions!$G$3:$G$102,{"TRL","TRT"}))</f>
        <v>0.3024000036</v>
      </c>
      <c r="P7" s="1" cm="1">
        <f ca="1" t="array" ref="P7">SUM(SUMIFS(Assumptions!BP$3:BP$102,Assumptions!$B$3:$B$102,Cars!$C7,Assumptions!$G$3:$G$102,{"TRL","TRT"}))</f>
        <v>0.0184648347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0.0202996998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0.0243975303</v>
      </c>
      <c r="U7" s="1" cm="1">
        <f ca="1" t="array" ref="U7">SUM(SUMIFS(Assumptions!BU$3:BU$102,Assumptions!$B$3:$B$102,Cars!$C7,Assumptions!$G$3:$G$102,{"TRL","TRT"}))</f>
        <v>0.1243615671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0.3676387212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7.0111284039</v>
      </c>
      <c r="Z7" s="1" cm="1">
        <f ca="1" t="array" ref="Z7">SUM(SUMIFS(Assumptions!BZ$3:BZ$102,Assumptions!$B$3:$B$102,Cars!$C7,Assumptions!$G$3:$G$102,{"TRL","TRT"}))</f>
        <v>0.7730999469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0.4418162568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0.1501051536</v>
      </c>
      <c r="AG7" s="1" cm="1">
        <f ca="1" t="array" ref="AG7">SUM(SUMIFS(Assumptions!CG$3:CG$102,Assumptions!$B$3:$B$102,Cars!$C7,Assumptions!$G$3:$G$102,{"TRL","TRT"}))</f>
        <v>0.3396091419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0.3298413375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4861.53473723244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0.0132029747391462</v>
      </c>
      <c r="E11" s="100">
        <f ca="1" t="shared" ref="E11:AW11" si="4">SUM(E$4:E$10)/SUM($D$4:$AJ$10)</f>
        <v>0.0192834711490674</v>
      </c>
      <c r="F11" s="100">
        <f ca="1" t="shared" si="4"/>
        <v>0.0127651174062154</v>
      </c>
      <c r="G11" s="100">
        <f ca="1" t="shared" si="4"/>
        <v>0.00301937509417392</v>
      </c>
      <c r="H11" s="100">
        <f ca="1" t="shared" si="4"/>
        <v>0.000755085743719365</v>
      </c>
      <c r="I11" s="100">
        <f ca="1" t="shared" si="4"/>
        <v>0.00945593348443008</v>
      </c>
      <c r="J11" s="100">
        <f ca="1" t="shared" si="4"/>
        <v>0.0241277815313384</v>
      </c>
      <c r="K11" s="100">
        <f ca="1" t="shared" si="4"/>
        <v>0.135808657129017</v>
      </c>
      <c r="L11" s="100">
        <f ca="1" t="shared" si="4"/>
        <v>0.00149435653042797</v>
      </c>
      <c r="M11" s="100">
        <f ca="1" t="shared" si="4"/>
        <v>0.00334908535045536</v>
      </c>
      <c r="N11" s="100">
        <f ca="1" t="shared" si="4"/>
        <v>0.0148184417772797</v>
      </c>
      <c r="O11" s="100">
        <f ca="1" t="shared" si="4"/>
        <v>0.0247776683203457</v>
      </c>
      <c r="P11" s="100">
        <f ca="1" t="shared" si="4"/>
        <v>0.00346356891682243</v>
      </c>
      <c r="Q11" s="100">
        <f ca="1" t="shared" si="4"/>
        <v>0.00545998422747977</v>
      </c>
      <c r="R11" s="100">
        <f ca="1" t="shared" si="4"/>
        <v>0.000166594728685476</v>
      </c>
      <c r="S11" s="100">
        <f ca="1" t="shared" si="4"/>
        <v>0.0286141798088118</v>
      </c>
      <c r="T11" s="100">
        <f ca="1" t="shared" si="4"/>
        <v>0.00140620509498266</v>
      </c>
      <c r="U11" s="100">
        <f ca="1" t="shared" si="4"/>
        <v>0.0145084207589771</v>
      </c>
      <c r="V11" s="100">
        <f ca="1" t="shared" si="4"/>
        <v>0.0361891597986599</v>
      </c>
      <c r="W11" s="100">
        <f ca="1" t="shared" si="4"/>
        <v>0.0422014356344497</v>
      </c>
      <c r="X11" s="100">
        <f ca="1" t="shared" si="4"/>
        <v>0.0479203450819316</v>
      </c>
      <c r="Y11" s="100">
        <f ca="1" t="shared" si="4"/>
        <v>0.36775361230328</v>
      </c>
      <c r="Z11" s="100">
        <f ca="1" t="shared" si="4"/>
        <v>0.00124635827512636</v>
      </c>
      <c r="AA11" s="100">
        <f ca="1" t="shared" si="4"/>
        <v>0.00856989327126998</v>
      </c>
      <c r="AB11" s="100">
        <f ca="1" t="shared" si="4"/>
        <v>0.0819060953576855</v>
      </c>
      <c r="AC11" s="100">
        <f ca="1" t="shared" si="4"/>
        <v>0.0280107008668003</v>
      </c>
      <c r="AD11" s="100">
        <f ca="1" t="shared" si="4"/>
        <v>0.0191593130612685</v>
      </c>
      <c r="AE11" s="100">
        <f ca="1" t="shared" si="4"/>
        <v>0.00515682738283424</v>
      </c>
      <c r="AF11" s="100">
        <f ca="1" t="shared" si="4"/>
        <v>0.0123330099441749</v>
      </c>
      <c r="AG11" s="100">
        <f ca="1" t="shared" si="4"/>
        <v>0.00654088443107925</v>
      </c>
      <c r="AH11" s="100">
        <f ca="1" t="shared" si="4"/>
        <v>0.00296700425006194</v>
      </c>
      <c r="AI11" s="100">
        <f ca="1" t="shared" si="4"/>
        <v>0.00603848860327142</v>
      </c>
      <c r="AJ11" s="100">
        <f ca="1" t="shared" si="4"/>
        <v>0.0175299699467308</v>
      </c>
      <c r="AK11" s="100">
        <f ca="1" t="shared" si="4"/>
        <v>0.00272249933082367</v>
      </c>
      <c r="AL11" s="100">
        <f ca="1" t="shared" si="4"/>
        <v>0.00194786024748562</v>
      </c>
      <c r="AM11" s="100">
        <f ca="1" t="shared" si="4"/>
        <v>0</v>
      </c>
      <c r="AN11" s="100">
        <f ca="1" t="shared" si="4"/>
        <v>0</v>
      </c>
      <c r="AO11" s="100">
        <f ca="1" t="shared" si="4"/>
        <v>0</v>
      </c>
      <c r="AP11" s="100">
        <f ca="1" t="shared" si="4"/>
        <v>0</v>
      </c>
      <c r="AQ11" s="100">
        <f ca="1" t="shared" si="4"/>
        <v>0</v>
      </c>
      <c r="AR11" s="100">
        <f ca="1" t="shared" si="4"/>
        <v>0</v>
      </c>
      <c r="AS11" s="100">
        <f ca="1" t="shared" si="4"/>
        <v>0</v>
      </c>
      <c r="AT11" s="100">
        <f ca="1" t="shared" si="4"/>
        <v>0</v>
      </c>
      <c r="AU11" s="100">
        <f ca="1" t="shared" si="4"/>
        <v>0</v>
      </c>
      <c r="AV11" s="100">
        <f ca="1" t="shared" si="4"/>
        <v>0</v>
      </c>
      <c r="AW11" s="100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102">
        <f>SUM(D12:AW12)</f>
        <v>1082.923036215</v>
      </c>
      <c r="D12" s="107">
        <f>IFERROR('vehicle population data'!G45,"")</f>
        <v>16.4800992</v>
      </c>
      <c r="E12" s="107">
        <f>IFERROR('vehicle population data'!H45,"")</f>
        <v>12.6482135999998</v>
      </c>
      <c r="F12" s="107">
        <f>IFERROR('vehicle population data'!I45,"")</f>
        <v>14.6473468</v>
      </c>
      <c r="G12" s="107">
        <f>IFERROR('vehicle population data'!J45,"")</f>
        <v>4.98486559999999</v>
      </c>
      <c r="H12" s="107">
        <f>IFERROR('vehicle population data'!K45,"")</f>
        <v>2.1780474</v>
      </c>
      <c r="I12" s="107">
        <f>IFERROR('vehicle population data'!L45,"")</f>
        <v>15.0490338</v>
      </c>
      <c r="J12" s="107">
        <f>IFERROR('vehicle population data'!M45,"")</f>
        <v>42.6243614149998</v>
      </c>
      <c r="K12" s="107">
        <f>IFERROR('vehicle population data'!N45,"")</f>
        <v>194.584056600001</v>
      </c>
      <c r="L12" s="107">
        <f>IFERROR('vehicle population data'!O45,"")</f>
        <v>2.5679092</v>
      </c>
      <c r="M12" s="107">
        <f>IFERROR('vehicle population data'!P45,"")</f>
        <v>7.98474479999999</v>
      </c>
      <c r="N12" s="107">
        <f>IFERROR('vehicle population data'!Q45,"")</f>
        <v>32.38</v>
      </c>
      <c r="O12" s="107">
        <f>IFERROR('vehicle population data'!R45,"")</f>
        <v>47.0920378000002</v>
      </c>
      <c r="P12" s="107">
        <f>IFERROR('vehicle population data'!S45,"")</f>
        <v>5.483336</v>
      </c>
      <c r="Q12" s="107">
        <f>IFERROR('vehicle population data'!T45,"")</f>
        <v>12.9588342</v>
      </c>
      <c r="R12" s="107">
        <f>IFERROR('vehicle population data'!U45,"")</f>
        <v>0.243295199999999</v>
      </c>
      <c r="S12" s="107">
        <f>IFERROR('vehicle population data'!V45,"")</f>
        <v>29.8069999999998</v>
      </c>
      <c r="T12" s="107">
        <f>IFERROR('vehicle population data'!W45,"")</f>
        <v>2.0754794</v>
      </c>
      <c r="U12" s="107">
        <f>IFERROR('vehicle population data'!X45,"")</f>
        <v>37.7143818</v>
      </c>
      <c r="V12" s="107">
        <f>IFERROR('vehicle population data'!Y45,"")</f>
        <v>63.4862618</v>
      </c>
      <c r="W12" s="107">
        <f>IFERROR('vehicle population data'!Z45,"")</f>
        <v>36.8842047999997</v>
      </c>
      <c r="X12" s="107">
        <f>IFERROR('vehicle population data'!AA45,"")</f>
        <v>36.9907164000001</v>
      </c>
      <c r="Y12" s="107">
        <f>IFERROR('vehicle population data'!AB45,"")</f>
        <v>171.1145024</v>
      </c>
      <c r="Z12" s="107">
        <f>IFERROR('vehicle population data'!AC45,"")</f>
        <v>2.81525819999999</v>
      </c>
      <c r="AA12" s="107">
        <f>IFERROR('vehicle population data'!AD45,"")</f>
        <v>23.4451387999998</v>
      </c>
      <c r="AB12" s="107">
        <f>IFERROR('vehicle population data'!AE45,"")</f>
        <v>94.9020877999992</v>
      </c>
      <c r="AC12" s="107">
        <f>IFERROR('vehicle population data'!AF45,"")</f>
        <v>56.4102691999997</v>
      </c>
      <c r="AD12" s="107">
        <f>IFERROR('vehicle population data'!AG45,"")</f>
        <v>5.33590000000004</v>
      </c>
      <c r="AE12" s="107">
        <f>IFERROR('vehicle population data'!AH45,"")</f>
        <v>7.2811208</v>
      </c>
      <c r="AF12" s="107">
        <f>IFERROR('vehicle population data'!AI45,"")</f>
        <v>26.7525042</v>
      </c>
      <c r="AG12" s="107">
        <f>IFERROR('vehicle population data'!AJ45,"")</f>
        <v>10.1806072</v>
      </c>
      <c r="AH12" s="107">
        <f>IFERROR('vehicle population data'!AK45,"")</f>
        <v>4.79340359999998</v>
      </c>
      <c r="AI12" s="107">
        <f>IFERROR('vehicle population data'!AL45,"")</f>
        <v>12.9955884000001</v>
      </c>
      <c r="AJ12" s="107">
        <f>IFERROR('vehicle population data'!AM45,"")</f>
        <v>35.5147368</v>
      </c>
      <c r="AK12" s="107">
        <f>IFERROR('vehicle population data'!AN45,"")</f>
        <v>8.58574599999997</v>
      </c>
      <c r="AL12" s="107">
        <f>IFERROR('vehicle population data'!AO45,"")</f>
        <v>3.93194699999998</v>
      </c>
      <c r="AM12" s="107" t="str">
        <f>IFERROR('vehicle population data'!AP45,"")</f>
        <v/>
      </c>
      <c r="AN12" s="107" t="str">
        <f>IFERROR('vehicle population data'!AQ45,"")</f>
        <v/>
      </c>
      <c r="AO12" s="107" t="str">
        <f>IFERROR('vehicle population data'!AR45,"")</f>
        <v/>
      </c>
      <c r="AP12" s="107" t="str">
        <f>IFERROR('vehicle population data'!AS45,"")</f>
        <v/>
      </c>
      <c r="AQ12" s="107" t="str">
        <f>IFERROR('vehicle population data'!AT45,"")</f>
        <v/>
      </c>
      <c r="AR12" s="107" t="str">
        <f>IFERROR('vehicle population data'!AU45,"")</f>
        <v/>
      </c>
      <c r="AS12" s="107" t="str">
        <f>IFERROR('vehicle population data'!AV45,"")</f>
        <v/>
      </c>
      <c r="AT12" s="107" t="str">
        <f>IFERROR('vehicle population data'!AW45,"")</f>
        <v/>
      </c>
      <c r="AU12" s="107" t="str">
        <f>IFERROR('vehicle population data'!AX45,"")</f>
        <v/>
      </c>
      <c r="AV12" s="107">
        <f>IFERROR('vehicle population data'!AY45,"")</f>
        <v>0</v>
      </c>
      <c r="AW12" s="107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1360.5603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320.096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D13/SUM($D$13:$AW$13)</f>
        <v>0.0157141142513125</v>
      </c>
      <c r="E14" s="100">
        <f ca="1" t="shared" ref="E14:AW14" si="7">E13/SUM($D$13:$AW$13)</f>
        <v>0.0227068215940153</v>
      </c>
      <c r="F14" s="100">
        <f ca="1" t="shared" si="7"/>
        <v>0.0148380046073665</v>
      </c>
      <c r="G14" s="100">
        <f ca="1" t="shared" si="7"/>
        <v>0.00372714094333048</v>
      </c>
      <c r="H14" s="100">
        <f ca="1" t="shared" si="7"/>
        <v>0.000898894374619045</v>
      </c>
      <c r="I14" s="100">
        <f ca="1" t="shared" si="7"/>
        <v>0.0114923241549823</v>
      </c>
      <c r="J14" s="100">
        <f ca="1" t="shared" si="7"/>
        <v>0.028400799288352</v>
      </c>
      <c r="K14" s="100">
        <f ca="1" t="shared" si="7"/>
        <v>0.235267779017218</v>
      </c>
      <c r="L14" s="100">
        <f ca="1" t="shared" si="7"/>
        <v>0.0018271884017195</v>
      </c>
      <c r="M14" s="100">
        <f ca="1" t="shared" si="7"/>
        <v>0.00408728668622772</v>
      </c>
      <c r="N14" s="100">
        <f ca="1" t="shared" si="7"/>
        <v>0.0183056936175486</v>
      </c>
      <c r="O14" s="100">
        <f ca="1" t="shared" si="7"/>
        <v>0.0299369311305056</v>
      </c>
      <c r="P14" s="100">
        <f ca="1" t="shared" si="7"/>
        <v>0.00410639646034064</v>
      </c>
      <c r="Q14" s="100">
        <f ca="1" t="shared" si="7"/>
        <v>0.0066553463304787</v>
      </c>
      <c r="R14" s="100">
        <f ca="1" t="shared" si="7"/>
        <v>0.00020506257605782</v>
      </c>
      <c r="S14" s="100">
        <f ca="1" t="shared" si="7"/>
        <v>0.0348018386248665</v>
      </c>
      <c r="T14" s="100">
        <f ca="1" t="shared" si="7"/>
        <v>0.00172649459197068</v>
      </c>
      <c r="U14" s="100">
        <f ca="1" t="shared" si="7"/>
        <v>0.0175089630353024</v>
      </c>
      <c r="V14" s="100">
        <f ca="1" t="shared" si="7"/>
        <v>0.0421341119537296</v>
      </c>
      <c r="W14" s="100">
        <f ca="1" t="shared" si="7"/>
        <v>0.0490983751326567</v>
      </c>
      <c r="X14" s="100">
        <f ca="1" t="shared" si="7"/>
        <v>0.0556432522689365</v>
      </c>
      <c r="Y14" s="100">
        <f ca="1" t="shared" si="7"/>
        <v>0.171277597913154</v>
      </c>
      <c r="Z14" s="100">
        <f ca="1" t="shared" si="7"/>
        <v>0.00164417556502273</v>
      </c>
      <c r="AA14" s="100">
        <f ca="1" t="shared" si="7"/>
        <v>0.0104354066482757</v>
      </c>
      <c r="AB14" s="100">
        <f ca="1" t="shared" si="7"/>
        <v>0.0955451956080153</v>
      </c>
      <c r="AC14" s="100">
        <f ca="1" t="shared" si="7"/>
        <v>0.032577754914648</v>
      </c>
      <c r="AD14" s="100">
        <f ca="1" t="shared" si="7"/>
        <v>0.022511313905014</v>
      </c>
      <c r="AE14" s="100">
        <f ca="1" t="shared" si="7"/>
        <v>0.00610447034210832</v>
      </c>
      <c r="AF14" s="100">
        <f ca="1" t="shared" si="7"/>
        <v>0.015159930802038</v>
      </c>
      <c r="AG14" s="100">
        <f ca="1" t="shared" si="7"/>
        <v>0.00794084613522826</v>
      </c>
      <c r="AH14" s="100">
        <f ca="1" t="shared" si="7"/>
        <v>0.00355147801975407</v>
      </c>
      <c r="AI14" s="100">
        <f ca="1" t="shared" si="7"/>
        <v>0.00735652804216028</v>
      </c>
      <c r="AJ14" s="100">
        <f ca="1" t="shared" si="7"/>
        <v>0.0211949444651589</v>
      </c>
      <c r="AK14" s="100">
        <f ca="1" t="shared" si="7"/>
        <v>0.00321264702490584</v>
      </c>
      <c r="AL14" s="100">
        <f ca="1" t="shared" si="7"/>
        <v>0.00240489157297916</v>
      </c>
      <c r="AM14" s="100">
        <f ca="1" t="shared" si="7"/>
        <v>0</v>
      </c>
      <c r="AN14" s="100">
        <f ca="1" t="shared" si="7"/>
        <v>0</v>
      </c>
      <c r="AO14" s="100">
        <f ca="1" t="shared" si="7"/>
        <v>0</v>
      </c>
      <c r="AP14" s="100">
        <f ca="1" t="shared" si="7"/>
        <v>0</v>
      </c>
      <c r="AQ14" s="100">
        <f ca="1" t="shared" si="7"/>
        <v>0</v>
      </c>
      <c r="AR14" s="100">
        <f ca="1" t="shared" si="7"/>
        <v>0</v>
      </c>
      <c r="AS14" s="100">
        <f ca="1" t="shared" si="7"/>
        <v>0</v>
      </c>
      <c r="AT14" s="100">
        <f ca="1" t="shared" si="7"/>
        <v>0</v>
      </c>
      <c r="AU14" s="100">
        <f ca="1" t="shared" si="7"/>
        <v>0</v>
      </c>
      <c r="AV14" s="100">
        <f ca="1" t="shared" si="7"/>
        <v>0</v>
      </c>
      <c r="AW14" s="100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0.107770217564277</v>
      </c>
      <c r="E15" s="100">
        <f ca="1">E13/'non-road'!DC21</f>
        <v>0.0297298690344417</v>
      </c>
      <c r="F15" s="100">
        <f ca="1">F13/'non-road'!DD21</f>
        <v>0.795877898106498</v>
      </c>
      <c r="G15" s="100">
        <f ca="1">G13/'non-road'!DE21</f>
        <v>0.571063703276606</v>
      </c>
      <c r="H15" s="100">
        <f ca="1">H13/'non-road'!DF21</f>
        <v>0.202655902539578</v>
      </c>
      <c r="I15" s="100">
        <f ca="1">I13/'non-road'!DG21</f>
        <v>0.530863466947893</v>
      </c>
      <c r="J15" s="100">
        <f ca="1">J13/'non-road'!DH21</f>
        <v>0.183089315328121</v>
      </c>
      <c r="K15" s="100">
        <f ca="1">K13/'non-road'!DI21</f>
        <v>0.229012963969894</v>
      </c>
      <c r="L15" s="100">
        <f ca="1">L13/'non-road'!DJ21</f>
        <v>0.403988533615876</v>
      </c>
      <c r="M15" s="100">
        <f ca="1">M13/'non-road'!DK21</f>
        <v>0.34484576198139</v>
      </c>
      <c r="N15" s="100">
        <f ca="1">N13/'non-road'!DL21</f>
        <v>0.370355500238666</v>
      </c>
      <c r="O15" s="100">
        <f ca="1">O13/'non-road'!DM21</f>
        <v>0.490185695545955</v>
      </c>
      <c r="P15" s="100">
        <f ca="1">P13/'non-road'!DN21</f>
        <v>0.468701369191882</v>
      </c>
      <c r="Q15" s="100">
        <f ca="1">Q13/'non-road'!DO21</f>
        <v>0.250702548555449</v>
      </c>
      <c r="R15" s="100">
        <f ca="1">R13/'non-road'!DP21</f>
        <v>0.773789878606513</v>
      </c>
      <c r="S15" s="100">
        <f ca="1">S13/'non-road'!DQ21</f>
        <v>0.0346525958343701</v>
      </c>
      <c r="T15" s="100">
        <f ca="1">T13/'non-road'!DR21</f>
        <v>0.476051508408419</v>
      </c>
      <c r="U15" s="100">
        <f ca="1">U13/'non-road'!DS21</f>
        <v>0.395496421057888</v>
      </c>
      <c r="V15" s="100">
        <f ca="1">V13/'non-road'!DT21</f>
        <v>0.45401338454837</v>
      </c>
      <c r="W15" s="100">
        <f ca="1">W13/'non-road'!DU21</f>
        <v>0.216310398815571</v>
      </c>
      <c r="X15" s="100">
        <f ca="1">X13/'non-road'!DV21</f>
        <v>0.340132065913898</v>
      </c>
      <c r="Y15" s="100">
        <f ca="1">Y13/'non-road'!DW21</f>
        <v>0.472206247869805</v>
      </c>
      <c r="Z15" s="100">
        <f ca="1">Z13/'non-road'!DX21</f>
        <v>0.418295031694684</v>
      </c>
      <c r="AA15" s="100">
        <f ca="1">AA13/'non-road'!DY21</f>
        <v>0.373971105345643</v>
      </c>
      <c r="AB15" s="100">
        <f ca="1">AB13/'non-road'!DZ21</f>
        <v>0.0963309528981275</v>
      </c>
      <c r="AC15" s="100">
        <f ca="1">AC13/'non-road'!EA21</f>
        <v>0.288147774223568</v>
      </c>
      <c r="AD15" s="100">
        <f ca="1">AD13/'non-road'!EB21</f>
        <v>0.893765411383632</v>
      </c>
      <c r="AE15" s="100">
        <f ca="1">AE13/'non-road'!EC21</f>
        <v>0.141833010862679</v>
      </c>
      <c r="AF15" s="100">
        <f ca="1">AF13/'non-road'!ED21</f>
        <v>0.359214069014521</v>
      </c>
      <c r="AG15" s="100">
        <f ca="1">AG13/'non-road'!EE21</f>
        <v>0.499839694137339</v>
      </c>
      <c r="AH15" s="100">
        <f ca="1">AH13/'non-road'!EF21</f>
        <v>0.563480142922447</v>
      </c>
      <c r="AI15" s="100">
        <f ca="1">AI13/'non-road'!EG21</f>
        <v>0.119969411336025</v>
      </c>
      <c r="AJ15" s="100">
        <f ca="1">AJ13/'non-road'!EH21</f>
        <v>0.431457157263343</v>
      </c>
      <c r="AK15" s="100">
        <f ca="1">AK13/'non-road'!EI21</f>
        <v>0.0929022549679114</v>
      </c>
      <c r="AL15" s="100">
        <f ca="1">AL13/'non-road'!EJ21</f>
        <v>0.207011201128085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0.840198469222881</v>
      </c>
      <c r="E17" s="3">
        <f ca="1" t="shared" ref="E17:U17" si="8">E11/E14</f>
        <v>0.849236916282015</v>
      </c>
      <c r="F17" s="3">
        <f ca="1" t="shared" si="8"/>
        <v>0.860298789763014</v>
      </c>
      <c r="G17" s="3">
        <f ca="1" t="shared" si="8"/>
        <v>0.810104887387458</v>
      </c>
      <c r="H17" s="3">
        <f ca="1" t="shared" si="8"/>
        <v>0.840016096484499</v>
      </c>
      <c r="I17" s="3">
        <f ca="1" t="shared" si="8"/>
        <v>0.822804278482748</v>
      </c>
      <c r="J17" s="3">
        <f ca="1" t="shared" si="8"/>
        <v>0.849545862648799</v>
      </c>
      <c r="K17" s="3">
        <f ca="1" t="shared" si="8"/>
        <v>0.577251409845962</v>
      </c>
      <c r="L17" s="3">
        <f ca="1" t="shared" si="8"/>
        <v>0.817844798610633</v>
      </c>
      <c r="M17" s="3">
        <f ca="1" t="shared" si="8"/>
        <v>0.819390859403193</v>
      </c>
      <c r="N17" s="3">
        <f ca="1" t="shared" si="8"/>
        <v>0.809499060066978</v>
      </c>
      <c r="O17" s="3">
        <f ca="1" t="shared" si="8"/>
        <v>0.827662268130662</v>
      </c>
      <c r="P17" s="3">
        <f ca="1" t="shared" si="8"/>
        <v>0.843457018890747</v>
      </c>
      <c r="Q17" s="3">
        <f ca="1" t="shared" si="8"/>
        <v>0.820390698899519</v>
      </c>
      <c r="R17" s="3">
        <f ca="1" t="shared" si="8"/>
        <v>0.81240922594527</v>
      </c>
      <c r="S17" s="3">
        <f ca="1" t="shared" si="8"/>
        <v>0.822203105911952</v>
      </c>
      <c r="T17" s="3">
        <f ca="1" t="shared" si="8"/>
        <v>0.814485664491755</v>
      </c>
      <c r="U17" s="3">
        <f ca="1" t="shared" si="8"/>
        <v>0.828628213431284</v>
      </c>
      <c r="V17" s="3">
        <f ca="1" t="shared" ref="V17:AJ17" si="9">V11/V14</f>
        <v>0.858904059456662</v>
      </c>
      <c r="W17" s="3">
        <f ca="1" t="shared" si="9"/>
        <v>0.859528151805991</v>
      </c>
      <c r="X17" s="3">
        <f ca="1" t="shared" si="9"/>
        <v>0.861206761429429</v>
      </c>
      <c r="Y17" s="3">
        <f ca="1" t="shared" si="9"/>
        <v>2.14712032854261</v>
      </c>
      <c r="Z17" s="3">
        <f ca="1" t="shared" si="9"/>
        <v>0.758044518870542</v>
      </c>
      <c r="AA17" s="3">
        <f ca="1" t="shared" si="9"/>
        <v>0.821232325688623</v>
      </c>
      <c r="AB17" s="3">
        <f ca="1" t="shared" si="9"/>
        <v>0.85724975323421</v>
      </c>
      <c r="AC17" s="3">
        <f ca="1" t="shared" si="9"/>
        <v>0.859810657308548</v>
      </c>
      <c r="AD17" s="3">
        <f ca="1" t="shared" si="9"/>
        <v>0.851097059110402</v>
      </c>
      <c r="AE17" s="3">
        <f ca="1" t="shared" si="9"/>
        <v>0.844762459940662</v>
      </c>
      <c r="AF17" s="3">
        <f ca="1" t="shared" si="9"/>
        <v>0.813526796739535</v>
      </c>
      <c r="AG17" s="3">
        <f ca="1" t="shared" ref="AG17" si="10">AG11/AG14</f>
        <v>0.823701192504121</v>
      </c>
      <c r="AH17" s="3">
        <f ca="1" t="shared" si="9"/>
        <v>0.835428019984593</v>
      </c>
      <c r="AI17" s="3">
        <f ca="1" t="shared" si="9"/>
        <v>0.820834035929019</v>
      </c>
      <c r="AJ17" s="3">
        <f ca="1" t="shared" si="9"/>
        <v>0.827082608097758</v>
      </c>
      <c r="AK17" s="3">
        <f ca="1" t="shared" ref="AK17:AW17" si="11">AK11/AK14</f>
        <v>0.847431824821608</v>
      </c>
      <c r="AL17" s="3">
        <f ca="1" t="shared" si="11"/>
        <v>0.809957616955107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6">
        <f ca="1">ROUND(D4*D28/D36,3)</f>
        <v>0</v>
      </c>
      <c r="E19" s="76">
        <f ca="1" t="shared" ref="E19:U19" si="13">ROUND(E4*E28/E36,3)</f>
        <v>0</v>
      </c>
      <c r="F19" s="76">
        <f ca="1" t="shared" si="13"/>
        <v>0</v>
      </c>
      <c r="G19" s="76">
        <f ca="1" t="shared" si="13"/>
        <v>0.157</v>
      </c>
      <c r="H19" s="76">
        <f ca="1" t="shared" si="13"/>
        <v>0.01</v>
      </c>
      <c r="I19" s="76">
        <f ca="1" t="shared" si="13"/>
        <v>0.325</v>
      </c>
      <c r="J19" s="76">
        <f ca="1" t="shared" si="13"/>
        <v>1.984</v>
      </c>
      <c r="K19" s="76">
        <f ca="1" t="shared" si="13"/>
        <v>0.1</v>
      </c>
      <c r="L19" s="76">
        <f ca="1" t="shared" si="13"/>
        <v>0.056</v>
      </c>
      <c r="M19" s="76">
        <f ca="1" t="shared" si="13"/>
        <v>0.147</v>
      </c>
      <c r="N19" s="76">
        <f ca="1" t="shared" si="13"/>
        <v>0.93</v>
      </c>
      <c r="O19" s="76">
        <f ca="1" t="shared" si="13"/>
        <v>0.696</v>
      </c>
      <c r="P19" s="76">
        <f ca="1" t="shared" si="13"/>
        <v>0.063</v>
      </c>
      <c r="Q19" s="76">
        <f ca="1" t="shared" si="13"/>
        <v>0.228</v>
      </c>
      <c r="R19" s="76">
        <f ca="1" t="shared" si="13"/>
        <v>0.006</v>
      </c>
      <c r="S19" s="76">
        <f ca="1" t="shared" si="13"/>
        <v>0.013</v>
      </c>
      <c r="T19" s="76">
        <f ca="1" t="shared" si="13"/>
        <v>0.06</v>
      </c>
      <c r="U19" s="76">
        <f ca="1" t="shared" si="13"/>
        <v>0.463</v>
      </c>
      <c r="V19" s="76">
        <f ca="1" t="shared" ref="V19:AW19" si="14">ROUND(V4*V28/V36,3)</f>
        <v>0.001</v>
      </c>
      <c r="W19" s="76">
        <f ca="1" t="shared" si="14"/>
        <v>0.226</v>
      </c>
      <c r="X19" s="76">
        <f ca="1" t="shared" si="14"/>
        <v>0</v>
      </c>
      <c r="Y19" s="76">
        <f ca="1" t="shared" si="14"/>
        <v>0.088</v>
      </c>
      <c r="Z19" s="76">
        <f ca="1" t="shared" si="14"/>
        <v>0.154</v>
      </c>
      <c r="AA19" s="76">
        <f ca="1" t="shared" si="14"/>
        <v>0.309</v>
      </c>
      <c r="AB19" s="76">
        <f ca="1" t="shared" si="14"/>
        <v>1.003</v>
      </c>
      <c r="AC19" s="76">
        <f ca="1" t="shared" si="14"/>
        <v>0</v>
      </c>
      <c r="AD19" s="76">
        <f ca="1" t="shared" si="14"/>
        <v>0</v>
      </c>
      <c r="AE19" s="76">
        <f ca="1" t="shared" si="14"/>
        <v>0</v>
      </c>
      <c r="AF19" s="76">
        <f ca="1" t="shared" si="14"/>
        <v>0.647</v>
      </c>
      <c r="AG19" s="76">
        <f ca="1" t="shared" si="14"/>
        <v>0.63</v>
      </c>
      <c r="AH19" s="76">
        <f ca="1" t="shared" si="14"/>
        <v>0.055</v>
      </c>
      <c r="AI19" s="76">
        <f ca="1" t="shared" si="14"/>
        <v>0.021</v>
      </c>
      <c r="AJ19" s="76">
        <f ca="1" t="shared" si="14"/>
        <v>0.465</v>
      </c>
      <c r="AK19" s="76">
        <f ca="1" t="shared" si="14"/>
        <v>0</v>
      </c>
      <c r="AL19" s="76">
        <f ca="1" t="shared" si="14"/>
        <v>0.044</v>
      </c>
      <c r="AM19" s="76">
        <f ca="1" t="shared" si="14"/>
        <v>0</v>
      </c>
      <c r="AN19" s="76">
        <f ca="1" t="shared" si="14"/>
        <v>0</v>
      </c>
      <c r="AO19" s="76">
        <f ca="1" t="shared" si="14"/>
        <v>0</v>
      </c>
      <c r="AP19" s="76">
        <f ca="1" t="shared" si="14"/>
        <v>0</v>
      </c>
      <c r="AQ19" s="76">
        <f ca="1" t="shared" si="14"/>
        <v>0</v>
      </c>
      <c r="AR19" s="76">
        <f ca="1" t="shared" si="14"/>
        <v>0</v>
      </c>
      <c r="AS19" s="76">
        <f ca="1" t="shared" si="14"/>
        <v>0</v>
      </c>
      <c r="AT19" s="76">
        <f ca="1" t="shared" si="14"/>
        <v>0</v>
      </c>
      <c r="AU19" s="76">
        <f ca="1" t="shared" si="14"/>
        <v>0</v>
      </c>
      <c r="AV19" s="76">
        <f ca="1" t="shared" si="14"/>
        <v>0</v>
      </c>
      <c r="AW19" s="76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6">
        <f ca="1" t="shared" ref="D20:AW25" si="15">ROUND(D5*D29/D37,3)</f>
        <v>0</v>
      </c>
      <c r="E20" s="76">
        <f ca="1" t="shared" ref="E20:U20" si="16">ROUND(E5*E29/E37,3)</f>
        <v>0</v>
      </c>
      <c r="F20" s="76">
        <f ca="1" t="shared" si="16"/>
        <v>0</v>
      </c>
      <c r="G20" s="76">
        <f ca="1" t="shared" si="16"/>
        <v>0</v>
      </c>
      <c r="H20" s="76">
        <f ca="1" t="shared" si="16"/>
        <v>0</v>
      </c>
      <c r="I20" s="76">
        <f ca="1" t="shared" si="16"/>
        <v>0</v>
      </c>
      <c r="J20" s="76">
        <f ca="1" t="shared" si="16"/>
        <v>0</v>
      </c>
      <c r="K20" s="76">
        <f ca="1" t="shared" si="16"/>
        <v>0</v>
      </c>
      <c r="L20" s="76">
        <f ca="1" t="shared" si="16"/>
        <v>0</v>
      </c>
      <c r="M20" s="76">
        <f ca="1" t="shared" si="16"/>
        <v>0</v>
      </c>
      <c r="N20" s="76">
        <f ca="1" t="shared" si="16"/>
        <v>0</v>
      </c>
      <c r="O20" s="76">
        <f ca="1" t="shared" si="16"/>
        <v>0</v>
      </c>
      <c r="P20" s="76">
        <f ca="1" t="shared" si="16"/>
        <v>0</v>
      </c>
      <c r="Q20" s="76">
        <f ca="1" t="shared" si="16"/>
        <v>0</v>
      </c>
      <c r="R20" s="76">
        <f ca="1" t="shared" si="16"/>
        <v>0</v>
      </c>
      <c r="S20" s="76">
        <f ca="1" t="shared" si="16"/>
        <v>0</v>
      </c>
      <c r="T20" s="76">
        <f ca="1" t="shared" si="16"/>
        <v>0</v>
      </c>
      <c r="U20" s="76">
        <f ca="1" t="shared" si="16"/>
        <v>0</v>
      </c>
      <c r="V20" s="76">
        <f ca="1" t="shared" si="15"/>
        <v>0</v>
      </c>
      <c r="W20" s="76">
        <f ca="1" t="shared" si="15"/>
        <v>0</v>
      </c>
      <c r="X20" s="76">
        <f ca="1" t="shared" si="15"/>
        <v>0</v>
      </c>
      <c r="Y20" s="76">
        <f ca="1" t="shared" si="15"/>
        <v>0</v>
      </c>
      <c r="Z20" s="76">
        <f ca="1" t="shared" si="15"/>
        <v>0</v>
      </c>
      <c r="AA20" s="76">
        <f ca="1" t="shared" si="15"/>
        <v>0</v>
      </c>
      <c r="AB20" s="76">
        <f ca="1" t="shared" si="15"/>
        <v>0</v>
      </c>
      <c r="AC20" s="76">
        <f ca="1" t="shared" si="15"/>
        <v>0</v>
      </c>
      <c r="AD20" s="76">
        <f ca="1" t="shared" si="15"/>
        <v>0</v>
      </c>
      <c r="AE20" s="76">
        <f ca="1" t="shared" si="15"/>
        <v>0</v>
      </c>
      <c r="AF20" s="76">
        <f ca="1" t="shared" si="15"/>
        <v>0</v>
      </c>
      <c r="AG20" s="76">
        <f ca="1" t="shared" si="15"/>
        <v>0</v>
      </c>
      <c r="AH20" s="76">
        <f ca="1" t="shared" si="15"/>
        <v>0</v>
      </c>
      <c r="AI20" s="76">
        <f ca="1" t="shared" si="15"/>
        <v>0</v>
      </c>
      <c r="AJ20" s="76">
        <f ca="1" t="shared" si="15"/>
        <v>0</v>
      </c>
      <c r="AK20" s="76">
        <f ca="1" t="shared" si="15"/>
        <v>0</v>
      </c>
      <c r="AL20" s="76">
        <f ca="1" t="shared" si="15"/>
        <v>0</v>
      </c>
      <c r="AM20" s="76">
        <f ca="1" t="shared" si="15"/>
        <v>0</v>
      </c>
      <c r="AN20" s="76">
        <f ca="1" t="shared" si="15"/>
        <v>0</v>
      </c>
      <c r="AO20" s="76">
        <f ca="1" t="shared" si="15"/>
        <v>0</v>
      </c>
      <c r="AP20" s="76">
        <f ca="1" t="shared" si="15"/>
        <v>0</v>
      </c>
      <c r="AQ20" s="76">
        <f ca="1" t="shared" si="15"/>
        <v>0</v>
      </c>
      <c r="AR20" s="76">
        <f ca="1" t="shared" si="15"/>
        <v>0</v>
      </c>
      <c r="AS20" s="76">
        <f ca="1" t="shared" si="15"/>
        <v>0</v>
      </c>
      <c r="AT20" s="76">
        <f ca="1" t="shared" si="15"/>
        <v>0</v>
      </c>
      <c r="AU20" s="76">
        <f ca="1" t="shared" si="15"/>
        <v>0</v>
      </c>
      <c r="AV20" s="76">
        <f ca="1" t="shared" si="15"/>
        <v>0</v>
      </c>
      <c r="AW20" s="76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6">
        <f ca="1" t="shared" si="15"/>
        <v>4.89</v>
      </c>
      <c r="E21" s="76">
        <f ca="1" t="shared" ref="E21:U21" si="17">ROUND(E6*E30/E38,3)</f>
        <v>4.346</v>
      </c>
      <c r="F21" s="76">
        <f ca="1" t="shared" si="17"/>
        <v>0.506</v>
      </c>
      <c r="G21" s="76">
        <f ca="1" t="shared" si="17"/>
        <v>2.275</v>
      </c>
      <c r="H21" s="76">
        <f ca="1" t="shared" si="17"/>
        <v>0.267</v>
      </c>
      <c r="I21" s="76">
        <f ca="1" t="shared" si="17"/>
        <v>4.822</v>
      </c>
      <c r="J21" s="76">
        <f ca="1" t="shared" si="17"/>
        <v>4.376</v>
      </c>
      <c r="K21" s="76">
        <f ca="1" t="shared" si="17"/>
        <v>10.241</v>
      </c>
      <c r="L21" s="76">
        <f ca="1" t="shared" si="17"/>
        <v>1.06</v>
      </c>
      <c r="M21" s="76">
        <f ca="1" t="shared" si="17"/>
        <v>2.271</v>
      </c>
      <c r="N21" s="76">
        <f ca="1" t="shared" si="17"/>
        <v>11.314</v>
      </c>
      <c r="O21" s="76">
        <f ca="1" t="shared" si="17"/>
        <v>12.219</v>
      </c>
      <c r="P21" s="76">
        <f ca="1" t="shared" si="17"/>
        <v>0.988</v>
      </c>
      <c r="Q21" s="76">
        <f ca="1" t="shared" si="17"/>
        <v>3.543</v>
      </c>
      <c r="R21" s="76">
        <f ca="1" t="shared" si="17"/>
        <v>0.068</v>
      </c>
      <c r="S21" s="76">
        <f ca="1" t="shared" si="17"/>
        <v>20.067</v>
      </c>
      <c r="T21" s="76">
        <f ca="1" t="shared" si="17"/>
        <v>1.085</v>
      </c>
      <c r="U21" s="76">
        <f ca="1" t="shared" si="17"/>
        <v>7.916</v>
      </c>
      <c r="V21" s="76">
        <f ca="1" t="shared" si="15"/>
        <v>1.988</v>
      </c>
      <c r="W21" s="76">
        <f ca="1" t="shared" si="15"/>
        <v>4.493</v>
      </c>
      <c r="X21" s="76">
        <f ca="1" t="shared" si="15"/>
        <v>6.587</v>
      </c>
      <c r="Y21" s="76">
        <f ca="1" t="shared" si="15"/>
        <v>2.705</v>
      </c>
      <c r="Z21" s="76">
        <f ca="1" t="shared" si="15"/>
        <v>0.779</v>
      </c>
      <c r="AA21" s="76">
        <f ca="1" t="shared" si="15"/>
        <v>5.214</v>
      </c>
      <c r="AB21" s="76">
        <f ca="1" t="shared" si="15"/>
        <v>14.127</v>
      </c>
      <c r="AC21" s="76">
        <f ca="1" t="shared" si="15"/>
        <v>1.542</v>
      </c>
      <c r="AD21" s="76">
        <f ca="1" t="shared" si="15"/>
        <v>3.746</v>
      </c>
      <c r="AE21" s="76">
        <f ca="1" t="shared" si="15"/>
        <v>1.527</v>
      </c>
      <c r="AF21" s="76">
        <f ca="1" t="shared" si="15"/>
        <v>9.448</v>
      </c>
      <c r="AG21" s="76">
        <f ca="1" t="shared" si="15"/>
        <v>2.836</v>
      </c>
      <c r="AH21" s="76">
        <f ca="1" t="shared" si="15"/>
        <v>1.001</v>
      </c>
      <c r="AI21" s="76">
        <f ca="1" t="shared" si="15"/>
        <v>3.616</v>
      </c>
      <c r="AJ21" s="76">
        <f ca="1" t="shared" si="15"/>
        <v>8.92</v>
      </c>
      <c r="AK21" s="76">
        <f ca="1" t="shared" si="15"/>
        <v>0.4</v>
      </c>
      <c r="AL21" s="76">
        <f ca="1" t="shared" si="15"/>
        <v>1.651</v>
      </c>
      <c r="AM21" s="76">
        <f ca="1" t="shared" si="15"/>
        <v>0</v>
      </c>
      <c r="AN21" s="76">
        <f ca="1" t="shared" si="15"/>
        <v>0</v>
      </c>
      <c r="AO21" s="76">
        <f ca="1" t="shared" si="15"/>
        <v>0</v>
      </c>
      <c r="AP21" s="76">
        <f ca="1" t="shared" si="15"/>
        <v>0</v>
      </c>
      <c r="AQ21" s="76">
        <f ca="1" t="shared" si="15"/>
        <v>0</v>
      </c>
      <c r="AR21" s="76">
        <f ca="1" t="shared" si="15"/>
        <v>0</v>
      </c>
      <c r="AS21" s="76">
        <f ca="1" t="shared" si="15"/>
        <v>0</v>
      </c>
      <c r="AT21" s="76">
        <f ca="1" t="shared" si="15"/>
        <v>0</v>
      </c>
      <c r="AU21" s="76">
        <f ca="1" t="shared" si="15"/>
        <v>0</v>
      </c>
      <c r="AV21" s="76">
        <f ca="1" t="shared" si="15"/>
        <v>0</v>
      </c>
      <c r="AW21" s="76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9" t="s">
        <v>166</v>
      </c>
      <c r="C22" t="str">
        <f t="shared" si="12"/>
        <v>TRAELC</v>
      </c>
      <c r="D22" s="108">
        <f>SUMIFS('EV data'!$D$2:$D$145,'EV data'!$C$2:$C$145,2018,'EV data'!$B$2:$B$145,Cars!D$3)</f>
        <v>0</v>
      </c>
      <c r="E22" s="108">
        <f>SUMIFS('EV data'!$D$2:$D$145,'EV data'!$C$2:$C$145,2018,'EV data'!$B$2:$B$145,Cars!E$3)</f>
        <v>0</v>
      </c>
      <c r="F22" s="108">
        <f>SUMIFS('EV data'!$D$2:$D$145,'EV data'!$C$2:$C$145,2018,'EV data'!$B$2:$B$145,Cars!F$3)</f>
        <v>0.015</v>
      </c>
      <c r="G22" s="108">
        <f>SUMIFS('EV data'!$D$2:$D$145,'EV data'!$C$2:$C$145,2018,'EV data'!$B$2:$B$145,Cars!G$3)</f>
        <v>0.03</v>
      </c>
      <c r="H22" s="108">
        <f>SUMIFS('EV data'!$D$2:$D$145,'EV data'!$C$2:$C$145,2018,'EV data'!$B$2:$B$145,Cars!H$3)</f>
        <v>0</v>
      </c>
      <c r="I22" s="108">
        <f>SUMIFS('EV data'!$D$2:$D$145,'EV data'!$C$2:$C$145,2018,'EV data'!$B$2:$B$145,Cars!I$3)</f>
        <v>0.16</v>
      </c>
      <c r="J22" s="108">
        <f>SUMIFS('EV data'!$D$2:$D$145,'EV data'!$C$2:$C$145,2018,'EV data'!$B$2:$B$145,Cars!J$3)</f>
        <v>0.008</v>
      </c>
      <c r="K22" s="108">
        <f>SUMIFS('EV data'!$D$2:$D$145,'EV data'!$C$2:$C$145,2018,'EV data'!$B$2:$B$145,Cars!K$3)</f>
        <v>2.6</v>
      </c>
      <c r="L22" s="108">
        <f>SUMIFS('EV data'!$D$2:$D$145,'EV data'!$C$2:$C$145,2018,'EV data'!$B$2:$B$145,Cars!L$3)</f>
        <v>0</v>
      </c>
      <c r="M22" s="108">
        <f>SUMIFS('EV data'!$D$2:$D$145,'EV data'!$C$2:$C$145,2018,'EV data'!$B$2:$B$145,Cars!M$3)</f>
        <v>0</v>
      </c>
      <c r="N22" s="108">
        <f>SUMIFS('EV data'!$D$2:$D$145,'EV data'!$C$2:$C$145,2018,'EV data'!$B$2:$B$145,Cars!N$3)</f>
        <v>0.15</v>
      </c>
      <c r="O22" s="108">
        <f>SUMIFS('EV data'!$D$2:$D$145,'EV data'!$C$2:$C$145,2018,'EV data'!$B$2:$B$145,Cars!O$3)</f>
        <v>0.2</v>
      </c>
      <c r="P22" s="108">
        <f>SUMIFS('EV data'!$D$2:$D$145,'EV data'!$C$2:$C$145,2018,'EV data'!$B$2:$B$145,Cars!P$3)</f>
        <v>0.003</v>
      </c>
      <c r="Q22" s="108">
        <f>SUMIFS('EV data'!$D$2:$D$145,'EV data'!$C$2:$C$145,2018,'EV data'!$B$2:$B$145,Cars!Q$3)</f>
        <v>0</v>
      </c>
      <c r="R22" s="108">
        <f>SUMIFS('EV data'!$D$2:$D$145,'EV data'!$C$2:$C$145,2018,'EV data'!$B$2:$B$145,Cars!R$3)</f>
        <v>0.008</v>
      </c>
      <c r="S22" s="108">
        <f>SUMIFS('EV data'!$D$2:$D$145,'EV data'!$C$2:$C$145,2018,'EV data'!$B$2:$B$145,Cars!S$3)</f>
        <v>0.008</v>
      </c>
      <c r="T22" s="108">
        <f>SUMIFS('EV data'!$D$2:$D$145,'EV data'!$C$2:$C$145,2018,'EV data'!$B$2:$B$145,Cars!T$3)</f>
        <v>0</v>
      </c>
      <c r="U22" s="108">
        <f>SUMIFS('EV data'!$D$2:$D$145,'EV data'!$C$2:$C$145,2018,'EV data'!$B$2:$B$145,Cars!U$3)</f>
        <v>0.025</v>
      </c>
      <c r="V22" s="108">
        <f>SUMIFS('EV data'!$D$2:$D$145,'EV data'!$C$2:$C$145,2018,'EV data'!$B$2:$B$145,Cars!V$3)</f>
        <v>0.06</v>
      </c>
      <c r="W22" s="108">
        <f>SUMIFS('EV data'!$D$2:$D$145,'EV data'!$C$2:$C$145,2018,'EV data'!$B$2:$B$145,Cars!W$3)</f>
        <v>0.0003</v>
      </c>
      <c r="X22" s="108">
        <f>SUMIFS('EV data'!$D$2:$D$145,'EV data'!$C$2:$C$145,2018,'EV data'!$B$2:$B$145,Cars!X$3)</f>
        <v>0.008</v>
      </c>
      <c r="Y22" s="108">
        <f>SUMIFS('EV data'!$D$2:$D$145,'EV data'!$C$2:$C$145,2018,'EV data'!$B$2:$B$145,Cars!Y$3)</f>
        <v>1.0715</v>
      </c>
      <c r="Z22" s="108">
        <f>SUMIFS('EV data'!$D$2:$D$145,'EV data'!$C$2:$C$145,2018,'EV data'!$B$2:$B$145,Cars!Z$3)</f>
        <v>0.2</v>
      </c>
      <c r="AA22" s="108">
        <f>SUMIFS('EV data'!$D$2:$D$145,'EV data'!$C$2:$C$145,2018,'EV data'!$B$2:$B$145,Cars!AA$3)</f>
        <v>0.008</v>
      </c>
      <c r="AB22" s="108">
        <f>SUMIFS('EV data'!$D$2:$D$145,'EV data'!$C$2:$C$145,2018,'EV data'!$B$2:$B$145,Cars!AB$3)</f>
        <v>0.058</v>
      </c>
      <c r="AC22" s="108">
        <f>SUMIFS('EV data'!$D$2:$D$145,'EV data'!$C$2:$C$145,2018,'EV data'!$B$2:$B$145,Cars!AC$3)</f>
        <v>0</v>
      </c>
      <c r="AD22" s="108">
        <f>SUMIFS('EV data'!$D$2:$D$145,'EV data'!$C$2:$C$145,2018,'EV data'!$B$2:$B$145,Cars!AD$3)</f>
        <v>0</v>
      </c>
      <c r="AE22" s="108">
        <f>SUMIFS('EV data'!$D$2:$D$145,'EV data'!$C$2:$C$145,2018,'EV data'!$B$2:$B$145,Cars!AE$3)</f>
        <v>0.0005</v>
      </c>
      <c r="AF22" s="108">
        <f>SUMIFS('EV data'!$D$2:$D$145,'EV data'!$C$2:$C$145,2018,'EV data'!$B$2:$B$145,Cars!AF$3)</f>
        <v>0.035</v>
      </c>
      <c r="AG22" s="108">
        <f>SUMIFS('EV data'!$D$2:$D$145,'EV data'!$C$2:$C$145,2018,'EV data'!$B$2:$B$145,Cars!AG$3)</f>
        <v>0.117</v>
      </c>
      <c r="AH22" s="108">
        <f>SUMIFS('EV data'!$D$2:$D$145,'EV data'!$C$2:$C$145,2018,'EV data'!$B$2:$B$145,Cars!AH$3)</f>
        <v>0.035</v>
      </c>
      <c r="AI22" s="108">
        <f>SUMIFS('EV data'!$D$2:$D$145,'EV data'!$C$2:$C$145,2018,'EV data'!$B$2:$B$145,Cars!AI$3)</f>
        <v>0.003</v>
      </c>
      <c r="AJ22" s="108">
        <f>SUMIFS('EV data'!$D$2:$D$145,'EV data'!$C$2:$C$145,2018,'EV data'!$B$2:$B$145,Cars!AJ$3)</f>
        <v>0.13</v>
      </c>
      <c r="AK22" s="108">
        <f>SUMIFS('EV data'!$D$2:$D$145,'EV data'!$C$2:$C$145,2018,'EV data'!$B$2:$B$145,Cars!AK$3)</f>
        <v>0</v>
      </c>
      <c r="AL22" s="108">
        <f>SUMIFS('EV data'!$D$2:$D$145,'EV data'!$C$2:$C$145,2018,'EV data'!$B$2:$B$145,Cars!AL$3)</f>
        <v>0</v>
      </c>
      <c r="AM22" s="76">
        <f ca="1" t="shared" si="15"/>
        <v>0</v>
      </c>
      <c r="AN22" s="76">
        <f ca="1" t="shared" si="15"/>
        <v>0</v>
      </c>
      <c r="AO22" s="76">
        <f ca="1" t="shared" si="15"/>
        <v>0</v>
      </c>
      <c r="AP22" s="76">
        <f ca="1" t="shared" si="15"/>
        <v>0</v>
      </c>
      <c r="AQ22" s="76">
        <f ca="1" t="shared" si="15"/>
        <v>0</v>
      </c>
      <c r="AR22" s="76">
        <f ca="1" t="shared" si="15"/>
        <v>0</v>
      </c>
      <c r="AS22" s="76">
        <f ca="1" t="shared" si="15"/>
        <v>0</v>
      </c>
      <c r="AT22" s="76">
        <f ca="1" t="shared" si="15"/>
        <v>0</v>
      </c>
      <c r="AU22" s="76">
        <f ca="1" t="shared" si="15"/>
        <v>0</v>
      </c>
      <c r="AV22" s="76">
        <f ca="1" t="shared" si="15"/>
        <v>0</v>
      </c>
      <c r="AW22" s="76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6">
        <f ca="1" t="shared" si="15"/>
        <v>15.287</v>
      </c>
      <c r="E23" s="76">
        <f ca="1" t="shared" ref="E23:U23" si="18">ROUND(E8*E32/E40,3)</f>
        <v>26.546</v>
      </c>
      <c r="F23" s="76">
        <f ca="1" t="shared" si="18"/>
        <v>19.488</v>
      </c>
      <c r="G23" s="76">
        <f ca="1" t="shared" si="18"/>
        <v>2.583</v>
      </c>
      <c r="H23" s="76">
        <f ca="1" t="shared" si="18"/>
        <v>0.77</v>
      </c>
      <c r="I23" s="76">
        <f ca="1" t="shared" si="18"/>
        <v>9.992</v>
      </c>
      <c r="J23" s="76">
        <f ca="1" t="shared" si="18"/>
        <v>30.767</v>
      </c>
      <c r="K23" s="76">
        <f ca="1" t="shared" si="18"/>
        <v>283.217</v>
      </c>
      <c r="L23" s="76">
        <f ca="1" t="shared" si="18"/>
        <v>1.287</v>
      </c>
      <c r="M23" s="76">
        <f ca="1" t="shared" si="18"/>
        <v>3.052</v>
      </c>
      <c r="N23" s="76">
        <f ca="1" t="shared" si="18"/>
        <v>12.274</v>
      </c>
      <c r="O23" s="76">
        <f ca="1" t="shared" si="18"/>
        <v>26.95</v>
      </c>
      <c r="P23" s="76">
        <f ca="1" t="shared" si="18"/>
        <v>4.215</v>
      </c>
      <c r="Q23" s="76">
        <f ca="1" t="shared" si="18"/>
        <v>4.757</v>
      </c>
      <c r="R23" s="76">
        <f ca="1" t="shared" si="18"/>
        <v>0.195</v>
      </c>
      <c r="S23" s="76">
        <f ca="1" t="shared" si="18"/>
        <v>26.077</v>
      </c>
      <c r="T23" s="76">
        <f ca="1" t="shared" si="18"/>
        <v>1.202</v>
      </c>
      <c r="U23" s="76">
        <f ca="1" t="shared" si="18"/>
        <v>12.176</v>
      </c>
      <c r="V23" s="76">
        <f ca="1" t="shared" si="15"/>
        <v>54.555</v>
      </c>
      <c r="W23" s="76">
        <f ca="1" t="shared" si="15"/>
        <v>58.5</v>
      </c>
      <c r="X23" s="76">
        <f ca="1" t="shared" si="15"/>
        <v>62.225</v>
      </c>
      <c r="Y23" s="76">
        <f ca="1" t="shared" si="15"/>
        <v>227.565</v>
      </c>
      <c r="Z23" s="76">
        <f ca="1" t="shared" si="15"/>
        <v>1.04</v>
      </c>
      <c r="AA23" s="76">
        <f ca="1" t="shared" si="15"/>
        <v>6.656</v>
      </c>
      <c r="AB23" s="76">
        <f ca="1" t="shared" si="15"/>
        <v>96.615</v>
      </c>
      <c r="AC23" s="76">
        <f ca="1" t="shared" si="15"/>
        <v>41.215</v>
      </c>
      <c r="AD23" s="76">
        <f ca="1" t="shared" si="15"/>
        <v>26.882</v>
      </c>
      <c r="AE23" s="76">
        <f ca="1" t="shared" si="15"/>
        <v>6.762</v>
      </c>
      <c r="AF23" s="76">
        <f ca="1" t="shared" si="15"/>
        <v>10.112</v>
      </c>
      <c r="AG23" s="76">
        <f ca="1" t="shared" si="15"/>
        <v>7.092</v>
      </c>
      <c r="AH23" s="76">
        <f ca="1" t="shared" si="15"/>
        <v>3.725</v>
      </c>
      <c r="AI23" s="76">
        <f ca="1" t="shared" si="15"/>
        <v>2.619</v>
      </c>
      <c r="AJ23" s="76">
        <f ca="1" t="shared" si="15"/>
        <v>19.222</v>
      </c>
      <c r="AK23" s="76">
        <f ca="1" t="shared" si="15"/>
        <v>2.055</v>
      </c>
      <c r="AL23" s="76">
        <f ca="1" t="shared" si="15"/>
        <v>1.34</v>
      </c>
      <c r="AM23" s="76">
        <f ca="1" t="shared" si="15"/>
        <v>0</v>
      </c>
      <c r="AN23" s="76">
        <f ca="1" t="shared" si="15"/>
        <v>0</v>
      </c>
      <c r="AO23" s="76">
        <f ca="1" t="shared" si="15"/>
        <v>0</v>
      </c>
      <c r="AP23" s="76">
        <f ca="1" t="shared" si="15"/>
        <v>0</v>
      </c>
      <c r="AQ23" s="76">
        <f ca="1" t="shared" si="15"/>
        <v>0</v>
      </c>
      <c r="AR23" s="76">
        <f ca="1" t="shared" si="15"/>
        <v>0</v>
      </c>
      <c r="AS23" s="76">
        <f ca="1" t="shared" si="15"/>
        <v>0</v>
      </c>
      <c r="AT23" s="76">
        <f ca="1" t="shared" si="15"/>
        <v>0</v>
      </c>
      <c r="AU23" s="76">
        <f ca="1" t="shared" si="15"/>
        <v>0</v>
      </c>
      <c r="AV23" s="76">
        <f ca="1" t="shared" si="15"/>
        <v>0</v>
      </c>
      <c r="AW23" s="76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6">
        <f ca="1" t="shared" si="15"/>
        <v>1.021</v>
      </c>
      <c r="E24" s="76">
        <f ca="1" t="shared" ref="E24:U24" si="19">ROUND(E9*E33/E41,3)</f>
        <v>0.001</v>
      </c>
      <c r="F24" s="76">
        <f ca="1" t="shared" si="19"/>
        <v>0.151</v>
      </c>
      <c r="G24" s="76">
        <f ca="1" t="shared" si="19"/>
        <v>0.007</v>
      </c>
      <c r="H24" s="76">
        <f ca="1" t="shared" si="19"/>
        <v>0.156</v>
      </c>
      <c r="I24" s="76">
        <f ca="1" t="shared" si="19"/>
        <v>0.243</v>
      </c>
      <c r="J24" s="76">
        <f ca="1" t="shared" si="19"/>
        <v>0</v>
      </c>
      <c r="K24" s="76">
        <f ca="1" t="shared" si="19"/>
        <v>1.862</v>
      </c>
      <c r="L24" s="76">
        <f ca="1" t="shared" si="19"/>
        <v>0.083</v>
      </c>
      <c r="M24" s="76">
        <f ca="1" t="shared" si="19"/>
        <v>0.091</v>
      </c>
      <c r="N24" s="76">
        <f ca="1" t="shared" si="19"/>
        <v>0.072</v>
      </c>
      <c r="O24" s="76">
        <f ca="1" t="shared" si="19"/>
        <v>0.463</v>
      </c>
      <c r="P24" s="76">
        <f ca="1" t="shared" si="19"/>
        <v>0.3</v>
      </c>
      <c r="Q24" s="76">
        <f ca="1" t="shared" si="19"/>
        <v>0.527</v>
      </c>
      <c r="R24" s="76">
        <f ca="1" t="shared" si="19"/>
        <v>0</v>
      </c>
      <c r="S24" s="76">
        <f ca="1" t="shared" si="19"/>
        <v>0.081</v>
      </c>
      <c r="T24" s="76">
        <f ca="1" t="shared" si="19"/>
        <v>0.002</v>
      </c>
      <c r="U24" s="76">
        <f ca="1" t="shared" si="19"/>
        <v>2.261</v>
      </c>
      <c r="V24" s="76">
        <f ca="1" t="shared" si="15"/>
        <v>0.674</v>
      </c>
      <c r="W24" s="76">
        <f ca="1" t="shared" si="15"/>
        <v>0.686</v>
      </c>
      <c r="X24" s="76">
        <f ca="1" t="shared" si="15"/>
        <v>0.067</v>
      </c>
      <c r="Y24" s="76">
        <f ca="1" t="shared" si="15"/>
        <v>0.842</v>
      </c>
      <c r="Z24" s="76">
        <f ca="1" t="shared" si="15"/>
        <v>0.006</v>
      </c>
      <c r="AA24" s="76">
        <f ca="1" t="shared" si="15"/>
        <v>2.011</v>
      </c>
      <c r="AB24" s="76">
        <f ca="1" t="shared" si="15"/>
        <v>6.442</v>
      </c>
      <c r="AC24" s="76">
        <f ca="1" t="shared" si="15"/>
        <v>1.344</v>
      </c>
      <c r="AD24" s="76">
        <f ca="1" t="shared" si="15"/>
        <v>0</v>
      </c>
      <c r="AE24" s="76">
        <f ca="1" t="shared" si="15"/>
        <v>0.016</v>
      </c>
      <c r="AF24" s="76">
        <f ca="1" t="shared" si="15"/>
        <v>0.168</v>
      </c>
      <c r="AG24" s="76">
        <f ca="1" t="shared" si="15"/>
        <v>0</v>
      </c>
      <c r="AH24" s="76">
        <f ca="1" t="shared" si="15"/>
        <v>0.002</v>
      </c>
      <c r="AI24" s="76">
        <f ca="1" t="shared" si="15"/>
        <v>3.668</v>
      </c>
      <c r="AJ24" s="76">
        <f ca="1" t="shared" si="15"/>
        <v>0.086</v>
      </c>
      <c r="AK24" s="76">
        <f ca="1" t="shared" si="15"/>
        <v>1.882</v>
      </c>
      <c r="AL24" s="76">
        <f ca="1" t="shared" si="15"/>
        <v>0.237</v>
      </c>
      <c r="AM24" s="76">
        <f ca="1" t="shared" si="15"/>
        <v>0</v>
      </c>
      <c r="AN24" s="76">
        <f ca="1" t="shared" si="15"/>
        <v>0</v>
      </c>
      <c r="AO24" s="76">
        <f ca="1" t="shared" si="15"/>
        <v>0</v>
      </c>
      <c r="AP24" s="76">
        <f ca="1" t="shared" si="15"/>
        <v>0</v>
      </c>
      <c r="AQ24" s="76">
        <f ca="1" t="shared" si="15"/>
        <v>0</v>
      </c>
      <c r="AR24" s="76">
        <f ca="1" t="shared" si="15"/>
        <v>0</v>
      </c>
      <c r="AS24" s="76">
        <f ca="1" t="shared" si="15"/>
        <v>0</v>
      </c>
      <c r="AT24" s="76">
        <f ca="1" t="shared" si="15"/>
        <v>0</v>
      </c>
      <c r="AU24" s="76">
        <f ca="1" t="shared" si="15"/>
        <v>0</v>
      </c>
      <c r="AV24" s="76">
        <f ca="1" t="shared" si="15"/>
        <v>0</v>
      </c>
      <c r="AW24" s="76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6">
        <f ca="1" t="shared" si="15"/>
        <v>0.182</v>
      </c>
      <c r="E25" s="76">
        <f ca="1" t="shared" ref="E25:U25" si="20">ROUND(E10*E34/E42,3)</f>
        <v>0.001</v>
      </c>
      <c r="F25" s="76">
        <f ca="1" t="shared" si="20"/>
        <v>0.028</v>
      </c>
      <c r="G25" s="76">
        <f ca="1" t="shared" si="20"/>
        <v>0.019</v>
      </c>
      <c r="H25" s="76">
        <f ca="1" t="shared" si="20"/>
        <v>0.02</v>
      </c>
      <c r="I25" s="76">
        <f ca="1" t="shared" si="20"/>
        <v>0.094</v>
      </c>
      <c r="J25" s="76">
        <f ca="1" t="shared" si="20"/>
        <v>1.506</v>
      </c>
      <c r="K25" s="76">
        <f ca="1" t="shared" si="20"/>
        <v>22.076</v>
      </c>
      <c r="L25" s="76">
        <f ca="1" t="shared" si="20"/>
        <v>0</v>
      </c>
      <c r="M25" s="76">
        <f ca="1" t="shared" si="20"/>
        <v>0</v>
      </c>
      <c r="N25" s="76">
        <f ca="1" t="shared" si="20"/>
        <v>0.166</v>
      </c>
      <c r="O25" s="76">
        <f ca="1" t="shared" si="20"/>
        <v>0.203</v>
      </c>
      <c r="P25" s="76">
        <f ca="1" t="shared" si="20"/>
        <v>0.018</v>
      </c>
      <c r="Q25" s="76">
        <f ca="1" t="shared" si="20"/>
        <v>0</v>
      </c>
      <c r="R25" s="76">
        <f ca="1" t="shared" si="20"/>
        <v>0.002</v>
      </c>
      <c r="S25" s="76">
        <f ca="1" t="shared" si="20"/>
        <v>1.104</v>
      </c>
      <c r="T25" s="76">
        <f ca="1" t="shared" si="20"/>
        <v>0</v>
      </c>
      <c r="U25" s="76">
        <f ca="1" t="shared" si="20"/>
        <v>0.981</v>
      </c>
      <c r="V25" s="76">
        <f ca="1" t="shared" si="15"/>
        <v>0.048</v>
      </c>
      <c r="W25" s="76">
        <f ca="1" t="shared" si="15"/>
        <v>2.896</v>
      </c>
      <c r="X25" s="76">
        <f ca="1" t="shared" si="15"/>
        <v>6.819</v>
      </c>
      <c r="Y25" s="76">
        <f ca="1" t="shared" si="15"/>
        <v>0.762</v>
      </c>
      <c r="Z25" s="76">
        <f ca="1" t="shared" si="15"/>
        <v>0.058</v>
      </c>
      <c r="AA25" s="76">
        <f ca="1" t="shared" si="15"/>
        <v>0</v>
      </c>
      <c r="AB25" s="76">
        <f ca="1" t="shared" si="15"/>
        <v>11.75</v>
      </c>
      <c r="AC25" s="76">
        <f ca="1" t="shared" si="15"/>
        <v>0.223</v>
      </c>
      <c r="AD25" s="76">
        <f ca="1" t="shared" si="15"/>
        <v>0</v>
      </c>
      <c r="AE25" s="76">
        <f ca="1" t="shared" si="15"/>
        <v>0</v>
      </c>
      <c r="AF25" s="76">
        <f ca="1" t="shared" si="15"/>
        <v>0.216</v>
      </c>
      <c r="AG25" s="76">
        <f ca="1" t="shared" si="15"/>
        <v>0.129</v>
      </c>
      <c r="AH25" s="76">
        <f ca="1" t="shared" si="15"/>
        <v>0.014</v>
      </c>
      <c r="AI25" s="76">
        <f ca="1" t="shared" si="15"/>
        <v>0.082</v>
      </c>
      <c r="AJ25" s="76">
        <f ca="1" t="shared" si="15"/>
        <v>0.014</v>
      </c>
      <c r="AK25" s="76">
        <f ca="1" t="shared" si="15"/>
        <v>0.034</v>
      </c>
      <c r="AL25" s="76">
        <f ca="1" t="shared" si="15"/>
        <v>0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78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78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78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78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78">
        <v>0.466052868011556</v>
      </c>
      <c r="AY32" s="1" t="s">
        <v>153</v>
      </c>
      <c r="AZ32" s="105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78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8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12</v>
      </c>
      <c r="E36" s="76">
        <v>12</v>
      </c>
      <c r="F36" s="76">
        <v>12</v>
      </c>
      <c r="G36" s="76">
        <v>12</v>
      </c>
      <c r="H36" s="76">
        <v>12</v>
      </c>
      <c r="I36" s="76">
        <v>12</v>
      </c>
      <c r="J36" s="76">
        <v>12</v>
      </c>
      <c r="K36" s="76">
        <v>8</v>
      </c>
      <c r="L36" s="76">
        <v>12</v>
      </c>
      <c r="M36" s="76">
        <v>12</v>
      </c>
      <c r="N36" s="76">
        <v>12</v>
      </c>
      <c r="O36" s="76">
        <v>12</v>
      </c>
      <c r="P36" s="76">
        <v>12</v>
      </c>
      <c r="Q36" s="76">
        <v>12</v>
      </c>
      <c r="R36" s="76">
        <v>12</v>
      </c>
      <c r="S36" s="76">
        <v>12</v>
      </c>
      <c r="T36" s="76">
        <v>12</v>
      </c>
      <c r="U36" s="76">
        <v>12</v>
      </c>
      <c r="V36" s="76">
        <v>12</v>
      </c>
      <c r="W36" s="76">
        <v>12</v>
      </c>
      <c r="X36" s="76">
        <v>12</v>
      </c>
      <c r="Y36" s="76">
        <v>18</v>
      </c>
      <c r="Z36" s="76">
        <v>12</v>
      </c>
      <c r="AA36" s="76">
        <v>12</v>
      </c>
      <c r="AB36" s="76">
        <v>12</v>
      </c>
      <c r="AC36" s="76">
        <v>12</v>
      </c>
      <c r="AD36" s="76">
        <v>12</v>
      </c>
      <c r="AE36" s="76">
        <v>12</v>
      </c>
      <c r="AF36" s="76">
        <v>12</v>
      </c>
      <c r="AG36" s="76">
        <v>12</v>
      </c>
      <c r="AH36" s="76">
        <v>12</v>
      </c>
      <c r="AI36" s="76">
        <v>12</v>
      </c>
      <c r="AJ36" s="76">
        <v>12</v>
      </c>
      <c r="AK36" s="76">
        <v>12</v>
      </c>
      <c r="AL36" s="76">
        <v>12</v>
      </c>
      <c r="AM36" s="76">
        <v>12</v>
      </c>
      <c r="AN36" s="76">
        <v>12</v>
      </c>
      <c r="AO36" s="76">
        <v>12</v>
      </c>
      <c r="AP36" s="76">
        <v>12</v>
      </c>
      <c r="AQ36" s="76">
        <v>12</v>
      </c>
      <c r="AR36" s="76">
        <v>12</v>
      </c>
      <c r="AS36" s="76">
        <v>12</v>
      </c>
      <c r="AT36" s="76">
        <v>12</v>
      </c>
      <c r="AU36" s="76">
        <v>12</v>
      </c>
      <c r="AV36" s="76">
        <v>12</v>
      </c>
      <c r="AW36" s="76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6">
        <f>D$36</f>
        <v>12</v>
      </c>
      <c r="E37" s="76">
        <f t="shared" ref="E37:U42" si="27">E$36</f>
        <v>12</v>
      </c>
      <c r="F37" s="76">
        <f t="shared" si="27"/>
        <v>12</v>
      </c>
      <c r="G37" s="76">
        <f t="shared" si="27"/>
        <v>12</v>
      </c>
      <c r="H37" s="76">
        <f t="shared" si="27"/>
        <v>12</v>
      </c>
      <c r="I37" s="76">
        <f t="shared" si="27"/>
        <v>12</v>
      </c>
      <c r="J37" s="76">
        <f t="shared" si="27"/>
        <v>12</v>
      </c>
      <c r="K37" s="76">
        <f t="shared" si="27"/>
        <v>8</v>
      </c>
      <c r="L37" s="76">
        <f t="shared" si="27"/>
        <v>12</v>
      </c>
      <c r="M37" s="76">
        <f t="shared" si="27"/>
        <v>12</v>
      </c>
      <c r="N37" s="76">
        <f t="shared" si="27"/>
        <v>12</v>
      </c>
      <c r="O37" s="76">
        <f t="shared" si="27"/>
        <v>12</v>
      </c>
      <c r="P37" s="76">
        <f t="shared" si="27"/>
        <v>12</v>
      </c>
      <c r="Q37" s="76">
        <f t="shared" si="27"/>
        <v>12</v>
      </c>
      <c r="R37" s="76">
        <f t="shared" si="27"/>
        <v>12</v>
      </c>
      <c r="S37" s="76">
        <f t="shared" si="27"/>
        <v>12</v>
      </c>
      <c r="T37" s="76">
        <f t="shared" si="27"/>
        <v>12</v>
      </c>
      <c r="U37" s="76">
        <f t="shared" si="27"/>
        <v>12</v>
      </c>
      <c r="V37" s="76">
        <f t="shared" ref="V37:AJ42" si="28">V$36</f>
        <v>12</v>
      </c>
      <c r="W37" s="76">
        <f t="shared" si="28"/>
        <v>12</v>
      </c>
      <c r="X37" s="76">
        <f t="shared" si="28"/>
        <v>12</v>
      </c>
      <c r="Y37" s="76">
        <f t="shared" si="28"/>
        <v>18</v>
      </c>
      <c r="Z37" s="76">
        <f t="shared" si="28"/>
        <v>12</v>
      </c>
      <c r="AA37" s="76">
        <f t="shared" si="28"/>
        <v>12</v>
      </c>
      <c r="AB37" s="76">
        <f t="shared" si="28"/>
        <v>12</v>
      </c>
      <c r="AC37" s="76">
        <f t="shared" si="28"/>
        <v>12</v>
      </c>
      <c r="AD37" s="76">
        <f t="shared" si="28"/>
        <v>12</v>
      </c>
      <c r="AE37" s="76">
        <f t="shared" si="28"/>
        <v>12</v>
      </c>
      <c r="AF37" s="76">
        <f t="shared" si="28"/>
        <v>12</v>
      </c>
      <c r="AG37" s="76">
        <f t="shared" si="28"/>
        <v>12</v>
      </c>
      <c r="AH37" s="76">
        <f t="shared" si="28"/>
        <v>12</v>
      </c>
      <c r="AI37" s="76">
        <f t="shared" si="28"/>
        <v>12</v>
      </c>
      <c r="AJ37" s="76">
        <f t="shared" si="28"/>
        <v>12</v>
      </c>
      <c r="AK37" s="76">
        <f t="shared" ref="AK37:AW42" si="29">AK$36</f>
        <v>12</v>
      </c>
      <c r="AL37" s="76">
        <f t="shared" si="29"/>
        <v>12</v>
      </c>
      <c r="AM37" s="76">
        <f t="shared" si="29"/>
        <v>12</v>
      </c>
      <c r="AN37" s="76">
        <f t="shared" si="29"/>
        <v>12</v>
      </c>
      <c r="AO37" s="76">
        <f t="shared" si="29"/>
        <v>12</v>
      </c>
      <c r="AP37" s="76">
        <f t="shared" si="29"/>
        <v>12</v>
      </c>
      <c r="AQ37" s="76">
        <f t="shared" si="29"/>
        <v>12</v>
      </c>
      <c r="AR37" s="76">
        <f t="shared" si="29"/>
        <v>12</v>
      </c>
      <c r="AS37" s="76">
        <f t="shared" si="29"/>
        <v>12</v>
      </c>
      <c r="AT37" s="76">
        <f t="shared" si="29"/>
        <v>12</v>
      </c>
      <c r="AU37" s="76">
        <f t="shared" si="29"/>
        <v>12</v>
      </c>
      <c r="AV37" s="76">
        <f t="shared" si="29"/>
        <v>12</v>
      </c>
      <c r="AW37" s="76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6">
        <f t="shared" ref="D38:S42" si="31">D$36</f>
        <v>12</v>
      </c>
      <c r="E38" s="76">
        <f t="shared" si="31"/>
        <v>12</v>
      </c>
      <c r="F38" s="76">
        <f t="shared" si="31"/>
        <v>12</v>
      </c>
      <c r="G38" s="76">
        <f t="shared" si="31"/>
        <v>12</v>
      </c>
      <c r="H38" s="76">
        <f t="shared" si="31"/>
        <v>12</v>
      </c>
      <c r="I38" s="76">
        <f t="shared" si="31"/>
        <v>12</v>
      </c>
      <c r="J38" s="76">
        <f t="shared" si="31"/>
        <v>12</v>
      </c>
      <c r="K38" s="76">
        <f t="shared" si="31"/>
        <v>8</v>
      </c>
      <c r="L38" s="76">
        <f t="shared" si="31"/>
        <v>12</v>
      </c>
      <c r="M38" s="76">
        <f t="shared" si="31"/>
        <v>12</v>
      </c>
      <c r="N38" s="76">
        <f t="shared" si="31"/>
        <v>12</v>
      </c>
      <c r="O38" s="76">
        <f t="shared" si="31"/>
        <v>12</v>
      </c>
      <c r="P38" s="76">
        <f t="shared" si="31"/>
        <v>12</v>
      </c>
      <c r="Q38" s="76">
        <f t="shared" si="31"/>
        <v>12</v>
      </c>
      <c r="R38" s="76">
        <f t="shared" si="31"/>
        <v>12</v>
      </c>
      <c r="S38" s="76">
        <f t="shared" si="31"/>
        <v>12</v>
      </c>
      <c r="T38" s="76">
        <f t="shared" si="27"/>
        <v>12</v>
      </c>
      <c r="U38" s="76">
        <f t="shared" si="27"/>
        <v>12</v>
      </c>
      <c r="V38" s="76">
        <f t="shared" si="28"/>
        <v>12</v>
      </c>
      <c r="W38" s="76">
        <f t="shared" si="28"/>
        <v>12</v>
      </c>
      <c r="X38" s="76">
        <f t="shared" si="28"/>
        <v>12</v>
      </c>
      <c r="Y38" s="76">
        <f t="shared" si="28"/>
        <v>18</v>
      </c>
      <c r="Z38" s="76">
        <f t="shared" si="28"/>
        <v>12</v>
      </c>
      <c r="AA38" s="76">
        <f t="shared" si="28"/>
        <v>12</v>
      </c>
      <c r="AB38" s="76">
        <f t="shared" si="28"/>
        <v>12</v>
      </c>
      <c r="AC38" s="76">
        <f t="shared" si="28"/>
        <v>12</v>
      </c>
      <c r="AD38" s="76">
        <f t="shared" si="28"/>
        <v>12</v>
      </c>
      <c r="AE38" s="76">
        <f t="shared" si="28"/>
        <v>12</v>
      </c>
      <c r="AF38" s="76">
        <f t="shared" si="28"/>
        <v>12</v>
      </c>
      <c r="AG38" s="76">
        <f t="shared" si="28"/>
        <v>12</v>
      </c>
      <c r="AH38" s="76">
        <f t="shared" si="28"/>
        <v>12</v>
      </c>
      <c r="AI38" s="76">
        <f t="shared" si="28"/>
        <v>12</v>
      </c>
      <c r="AJ38" s="76">
        <f t="shared" si="28"/>
        <v>12</v>
      </c>
      <c r="AK38" s="76">
        <f t="shared" si="29"/>
        <v>12</v>
      </c>
      <c r="AL38" s="76">
        <f t="shared" si="29"/>
        <v>12</v>
      </c>
      <c r="AM38" s="76">
        <f t="shared" si="29"/>
        <v>12</v>
      </c>
      <c r="AN38" s="76">
        <f t="shared" si="29"/>
        <v>12</v>
      </c>
      <c r="AO38" s="76">
        <f t="shared" si="29"/>
        <v>12</v>
      </c>
      <c r="AP38" s="76">
        <f t="shared" si="29"/>
        <v>12</v>
      </c>
      <c r="AQ38" s="76">
        <f t="shared" si="29"/>
        <v>12</v>
      </c>
      <c r="AR38" s="76">
        <f t="shared" si="29"/>
        <v>12</v>
      </c>
      <c r="AS38" s="76">
        <f t="shared" si="29"/>
        <v>12</v>
      </c>
      <c r="AT38" s="76">
        <f t="shared" si="29"/>
        <v>12</v>
      </c>
      <c r="AU38" s="76">
        <f t="shared" si="29"/>
        <v>12</v>
      </c>
      <c r="AV38" s="76">
        <f t="shared" si="29"/>
        <v>12</v>
      </c>
      <c r="AW38" s="76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6">
        <f t="shared" si="31"/>
        <v>12</v>
      </c>
      <c r="E39" s="76">
        <f t="shared" si="27"/>
        <v>12</v>
      </c>
      <c r="F39" s="76">
        <f t="shared" si="27"/>
        <v>12</v>
      </c>
      <c r="G39" s="76">
        <f t="shared" si="27"/>
        <v>12</v>
      </c>
      <c r="H39" s="76">
        <f t="shared" si="27"/>
        <v>12</v>
      </c>
      <c r="I39" s="76">
        <f t="shared" si="27"/>
        <v>12</v>
      </c>
      <c r="J39" s="76">
        <f t="shared" si="27"/>
        <v>12</v>
      </c>
      <c r="K39" s="76">
        <f t="shared" si="27"/>
        <v>8</v>
      </c>
      <c r="L39" s="76">
        <f t="shared" si="27"/>
        <v>12</v>
      </c>
      <c r="M39" s="76">
        <f t="shared" si="27"/>
        <v>12</v>
      </c>
      <c r="N39" s="76">
        <f t="shared" si="27"/>
        <v>12</v>
      </c>
      <c r="O39" s="76">
        <f t="shared" si="27"/>
        <v>12</v>
      </c>
      <c r="P39" s="76">
        <f t="shared" si="27"/>
        <v>12</v>
      </c>
      <c r="Q39" s="76">
        <f t="shared" si="27"/>
        <v>12</v>
      </c>
      <c r="R39" s="76">
        <f t="shared" si="27"/>
        <v>12</v>
      </c>
      <c r="S39" s="76">
        <f t="shared" si="27"/>
        <v>12</v>
      </c>
      <c r="T39" s="76">
        <f t="shared" si="27"/>
        <v>12</v>
      </c>
      <c r="U39" s="76">
        <f t="shared" si="27"/>
        <v>12</v>
      </c>
      <c r="V39" s="76">
        <f t="shared" si="28"/>
        <v>12</v>
      </c>
      <c r="W39" s="76">
        <f t="shared" si="28"/>
        <v>12</v>
      </c>
      <c r="X39" s="76">
        <f t="shared" si="28"/>
        <v>12</v>
      </c>
      <c r="Y39" s="76">
        <f t="shared" si="28"/>
        <v>18</v>
      </c>
      <c r="Z39" s="76">
        <f t="shared" si="28"/>
        <v>12</v>
      </c>
      <c r="AA39" s="76">
        <f t="shared" si="28"/>
        <v>12</v>
      </c>
      <c r="AB39" s="76">
        <f t="shared" si="28"/>
        <v>12</v>
      </c>
      <c r="AC39" s="76">
        <f t="shared" si="28"/>
        <v>12</v>
      </c>
      <c r="AD39" s="76">
        <f t="shared" si="28"/>
        <v>12</v>
      </c>
      <c r="AE39" s="76">
        <f t="shared" si="28"/>
        <v>12</v>
      </c>
      <c r="AF39" s="76">
        <f t="shared" si="28"/>
        <v>12</v>
      </c>
      <c r="AG39" s="76">
        <f t="shared" si="28"/>
        <v>12</v>
      </c>
      <c r="AH39" s="76">
        <f t="shared" si="28"/>
        <v>12</v>
      </c>
      <c r="AI39" s="76">
        <f t="shared" si="28"/>
        <v>12</v>
      </c>
      <c r="AJ39" s="76">
        <f t="shared" si="28"/>
        <v>12</v>
      </c>
      <c r="AK39" s="76">
        <f t="shared" si="29"/>
        <v>12</v>
      </c>
      <c r="AL39" s="76">
        <f t="shared" si="29"/>
        <v>12</v>
      </c>
      <c r="AM39" s="76">
        <f t="shared" si="29"/>
        <v>12</v>
      </c>
      <c r="AN39" s="76">
        <f t="shared" si="29"/>
        <v>12</v>
      </c>
      <c r="AO39" s="76">
        <f t="shared" si="29"/>
        <v>12</v>
      </c>
      <c r="AP39" s="76">
        <f t="shared" si="29"/>
        <v>12</v>
      </c>
      <c r="AQ39" s="76">
        <f t="shared" si="29"/>
        <v>12</v>
      </c>
      <c r="AR39" s="76">
        <f t="shared" si="29"/>
        <v>12</v>
      </c>
      <c r="AS39" s="76">
        <f t="shared" si="29"/>
        <v>12</v>
      </c>
      <c r="AT39" s="76">
        <f t="shared" si="29"/>
        <v>12</v>
      </c>
      <c r="AU39" s="76">
        <f t="shared" si="29"/>
        <v>12</v>
      </c>
      <c r="AV39" s="76">
        <f t="shared" si="29"/>
        <v>12</v>
      </c>
      <c r="AW39" s="76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6">
        <f t="shared" si="31"/>
        <v>12</v>
      </c>
      <c r="E40" s="76">
        <f t="shared" si="27"/>
        <v>12</v>
      </c>
      <c r="F40" s="76">
        <f t="shared" si="27"/>
        <v>12</v>
      </c>
      <c r="G40" s="76">
        <f t="shared" si="27"/>
        <v>12</v>
      </c>
      <c r="H40" s="76">
        <f t="shared" si="27"/>
        <v>12</v>
      </c>
      <c r="I40" s="76">
        <f t="shared" si="27"/>
        <v>12</v>
      </c>
      <c r="J40" s="76">
        <f t="shared" si="27"/>
        <v>12</v>
      </c>
      <c r="K40" s="76">
        <f t="shared" si="27"/>
        <v>8</v>
      </c>
      <c r="L40" s="76">
        <f t="shared" si="27"/>
        <v>12</v>
      </c>
      <c r="M40" s="76">
        <f t="shared" si="27"/>
        <v>12</v>
      </c>
      <c r="N40" s="76">
        <f t="shared" si="27"/>
        <v>12</v>
      </c>
      <c r="O40" s="76">
        <f t="shared" si="27"/>
        <v>12</v>
      </c>
      <c r="P40" s="76">
        <f t="shared" si="27"/>
        <v>12</v>
      </c>
      <c r="Q40" s="76">
        <f t="shared" si="27"/>
        <v>12</v>
      </c>
      <c r="R40" s="76">
        <f t="shared" si="27"/>
        <v>12</v>
      </c>
      <c r="S40" s="76">
        <f t="shared" si="27"/>
        <v>12</v>
      </c>
      <c r="T40" s="76">
        <f t="shared" si="27"/>
        <v>12</v>
      </c>
      <c r="U40" s="76">
        <f t="shared" si="27"/>
        <v>12</v>
      </c>
      <c r="V40" s="76">
        <f t="shared" si="28"/>
        <v>12</v>
      </c>
      <c r="W40" s="76">
        <f t="shared" si="28"/>
        <v>12</v>
      </c>
      <c r="X40" s="76">
        <f t="shared" si="28"/>
        <v>12</v>
      </c>
      <c r="Y40" s="76">
        <f t="shared" si="28"/>
        <v>18</v>
      </c>
      <c r="Z40" s="76">
        <f t="shared" si="28"/>
        <v>12</v>
      </c>
      <c r="AA40" s="76">
        <f t="shared" si="28"/>
        <v>12</v>
      </c>
      <c r="AB40" s="76">
        <f t="shared" si="28"/>
        <v>12</v>
      </c>
      <c r="AC40" s="76">
        <f t="shared" si="28"/>
        <v>12</v>
      </c>
      <c r="AD40" s="76">
        <f t="shared" si="28"/>
        <v>12</v>
      </c>
      <c r="AE40" s="76">
        <f t="shared" si="28"/>
        <v>12</v>
      </c>
      <c r="AF40" s="76">
        <f t="shared" si="28"/>
        <v>12</v>
      </c>
      <c r="AG40" s="76">
        <f t="shared" si="28"/>
        <v>12</v>
      </c>
      <c r="AH40" s="76">
        <f t="shared" si="28"/>
        <v>12</v>
      </c>
      <c r="AI40" s="76">
        <f t="shared" si="28"/>
        <v>12</v>
      </c>
      <c r="AJ40" s="76">
        <f t="shared" si="28"/>
        <v>12</v>
      </c>
      <c r="AK40" s="76">
        <f t="shared" si="29"/>
        <v>12</v>
      </c>
      <c r="AL40" s="76">
        <f t="shared" si="29"/>
        <v>12</v>
      </c>
      <c r="AM40" s="76">
        <f t="shared" si="29"/>
        <v>12</v>
      </c>
      <c r="AN40" s="76">
        <f t="shared" si="29"/>
        <v>12</v>
      </c>
      <c r="AO40" s="76">
        <f t="shared" si="29"/>
        <v>12</v>
      </c>
      <c r="AP40" s="76">
        <f t="shared" si="29"/>
        <v>12</v>
      </c>
      <c r="AQ40" s="76">
        <f t="shared" si="29"/>
        <v>12</v>
      </c>
      <c r="AR40" s="76">
        <f t="shared" si="29"/>
        <v>12</v>
      </c>
      <c r="AS40" s="76">
        <f t="shared" si="29"/>
        <v>12</v>
      </c>
      <c r="AT40" s="76">
        <f t="shared" si="29"/>
        <v>12</v>
      </c>
      <c r="AU40" s="76">
        <f t="shared" si="29"/>
        <v>12</v>
      </c>
      <c r="AV40" s="76">
        <f t="shared" si="29"/>
        <v>12</v>
      </c>
      <c r="AW40" s="76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6">
        <f t="shared" si="31"/>
        <v>12</v>
      </c>
      <c r="E41" s="76">
        <f t="shared" si="27"/>
        <v>12</v>
      </c>
      <c r="F41" s="76">
        <f t="shared" si="27"/>
        <v>12</v>
      </c>
      <c r="G41" s="76">
        <f t="shared" si="27"/>
        <v>12</v>
      </c>
      <c r="H41" s="76">
        <f t="shared" si="27"/>
        <v>12</v>
      </c>
      <c r="I41" s="76">
        <f t="shared" si="27"/>
        <v>12</v>
      </c>
      <c r="J41" s="76">
        <f t="shared" si="27"/>
        <v>12</v>
      </c>
      <c r="K41" s="76">
        <f t="shared" si="27"/>
        <v>8</v>
      </c>
      <c r="L41" s="76">
        <f t="shared" si="27"/>
        <v>12</v>
      </c>
      <c r="M41" s="76">
        <f t="shared" si="27"/>
        <v>12</v>
      </c>
      <c r="N41" s="76">
        <f t="shared" si="27"/>
        <v>12</v>
      </c>
      <c r="O41" s="76">
        <f t="shared" si="27"/>
        <v>12</v>
      </c>
      <c r="P41" s="76">
        <f t="shared" si="27"/>
        <v>12</v>
      </c>
      <c r="Q41" s="76">
        <f t="shared" si="27"/>
        <v>12</v>
      </c>
      <c r="R41" s="76">
        <f t="shared" si="27"/>
        <v>12</v>
      </c>
      <c r="S41" s="76">
        <f t="shared" si="27"/>
        <v>12</v>
      </c>
      <c r="T41" s="76">
        <f t="shared" si="27"/>
        <v>12</v>
      </c>
      <c r="U41" s="76">
        <f t="shared" si="27"/>
        <v>12</v>
      </c>
      <c r="V41" s="76">
        <f t="shared" si="28"/>
        <v>12</v>
      </c>
      <c r="W41" s="76">
        <f t="shared" si="28"/>
        <v>12</v>
      </c>
      <c r="X41" s="76">
        <f t="shared" si="28"/>
        <v>12</v>
      </c>
      <c r="Y41" s="76">
        <f t="shared" si="28"/>
        <v>18</v>
      </c>
      <c r="Z41" s="76">
        <f t="shared" si="28"/>
        <v>12</v>
      </c>
      <c r="AA41" s="76">
        <f t="shared" si="28"/>
        <v>12</v>
      </c>
      <c r="AB41" s="76">
        <f t="shared" si="28"/>
        <v>12</v>
      </c>
      <c r="AC41" s="76">
        <f t="shared" si="28"/>
        <v>12</v>
      </c>
      <c r="AD41" s="76">
        <f t="shared" si="28"/>
        <v>12</v>
      </c>
      <c r="AE41" s="76">
        <f t="shared" si="28"/>
        <v>12</v>
      </c>
      <c r="AF41" s="76">
        <f t="shared" si="28"/>
        <v>12</v>
      </c>
      <c r="AG41" s="76">
        <f t="shared" si="28"/>
        <v>12</v>
      </c>
      <c r="AH41" s="76">
        <f t="shared" si="28"/>
        <v>12</v>
      </c>
      <c r="AI41" s="76">
        <f t="shared" si="28"/>
        <v>12</v>
      </c>
      <c r="AJ41" s="76">
        <f t="shared" si="28"/>
        <v>12</v>
      </c>
      <c r="AK41" s="76">
        <f t="shared" si="29"/>
        <v>12</v>
      </c>
      <c r="AL41" s="76">
        <f t="shared" si="29"/>
        <v>12</v>
      </c>
      <c r="AM41" s="76">
        <f t="shared" si="29"/>
        <v>12</v>
      </c>
      <c r="AN41" s="76">
        <f t="shared" si="29"/>
        <v>12</v>
      </c>
      <c r="AO41" s="76">
        <f t="shared" si="29"/>
        <v>12</v>
      </c>
      <c r="AP41" s="76">
        <f t="shared" si="29"/>
        <v>12</v>
      </c>
      <c r="AQ41" s="76">
        <f t="shared" si="29"/>
        <v>12</v>
      </c>
      <c r="AR41" s="76">
        <f t="shared" si="29"/>
        <v>12</v>
      </c>
      <c r="AS41" s="76">
        <f t="shared" si="29"/>
        <v>12</v>
      </c>
      <c r="AT41" s="76">
        <f t="shared" si="29"/>
        <v>12</v>
      </c>
      <c r="AU41" s="76">
        <f t="shared" si="29"/>
        <v>12</v>
      </c>
      <c r="AV41" s="76">
        <f t="shared" si="29"/>
        <v>12</v>
      </c>
      <c r="AW41" s="76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6">
        <f t="shared" si="31"/>
        <v>12</v>
      </c>
      <c r="E42" s="76">
        <f t="shared" si="27"/>
        <v>12</v>
      </c>
      <c r="F42" s="76">
        <f t="shared" si="27"/>
        <v>12</v>
      </c>
      <c r="G42" s="76">
        <f t="shared" si="27"/>
        <v>12</v>
      </c>
      <c r="H42" s="76">
        <f t="shared" si="27"/>
        <v>12</v>
      </c>
      <c r="I42" s="76">
        <f t="shared" si="27"/>
        <v>12</v>
      </c>
      <c r="J42" s="76">
        <f t="shared" si="27"/>
        <v>12</v>
      </c>
      <c r="K42" s="76">
        <f t="shared" si="27"/>
        <v>8</v>
      </c>
      <c r="L42" s="76">
        <f t="shared" si="27"/>
        <v>12</v>
      </c>
      <c r="M42" s="76">
        <f t="shared" si="27"/>
        <v>12</v>
      </c>
      <c r="N42" s="76">
        <f t="shared" si="27"/>
        <v>12</v>
      </c>
      <c r="O42" s="76">
        <f t="shared" si="27"/>
        <v>12</v>
      </c>
      <c r="P42" s="76">
        <f t="shared" si="27"/>
        <v>12</v>
      </c>
      <c r="Q42" s="76">
        <f t="shared" si="27"/>
        <v>12</v>
      </c>
      <c r="R42" s="76">
        <f t="shared" si="27"/>
        <v>12</v>
      </c>
      <c r="S42" s="76">
        <f t="shared" si="27"/>
        <v>12</v>
      </c>
      <c r="T42" s="76">
        <f t="shared" si="27"/>
        <v>12</v>
      </c>
      <c r="U42" s="76">
        <f t="shared" si="27"/>
        <v>12</v>
      </c>
      <c r="V42" s="76">
        <f t="shared" si="28"/>
        <v>12</v>
      </c>
      <c r="W42" s="76">
        <f t="shared" si="28"/>
        <v>12</v>
      </c>
      <c r="X42" s="76">
        <f t="shared" si="28"/>
        <v>12</v>
      </c>
      <c r="Y42" s="76">
        <f t="shared" si="28"/>
        <v>18</v>
      </c>
      <c r="Z42" s="76">
        <f t="shared" si="28"/>
        <v>12</v>
      </c>
      <c r="AA42" s="76">
        <f t="shared" si="28"/>
        <v>12</v>
      </c>
      <c r="AB42" s="76">
        <f t="shared" si="28"/>
        <v>12</v>
      </c>
      <c r="AC42" s="76">
        <f t="shared" si="28"/>
        <v>12</v>
      </c>
      <c r="AD42" s="76">
        <f t="shared" si="28"/>
        <v>12</v>
      </c>
      <c r="AE42" s="76">
        <f t="shared" si="28"/>
        <v>12</v>
      </c>
      <c r="AF42" s="76">
        <f t="shared" si="28"/>
        <v>12</v>
      </c>
      <c r="AG42" s="76">
        <f t="shared" si="28"/>
        <v>12</v>
      </c>
      <c r="AH42" s="76">
        <f t="shared" si="28"/>
        <v>12</v>
      </c>
      <c r="AI42" s="76">
        <f t="shared" si="28"/>
        <v>12</v>
      </c>
      <c r="AJ42" s="76">
        <f t="shared" si="28"/>
        <v>12</v>
      </c>
      <c r="AK42" s="76">
        <f t="shared" si="29"/>
        <v>12</v>
      </c>
      <c r="AL42" s="76">
        <f t="shared" si="29"/>
        <v>12</v>
      </c>
      <c r="AM42" s="76">
        <f t="shared" si="29"/>
        <v>12</v>
      </c>
      <c r="AN42" s="76">
        <f t="shared" si="29"/>
        <v>12</v>
      </c>
      <c r="AO42" s="76">
        <f t="shared" si="29"/>
        <v>12</v>
      </c>
      <c r="AP42" s="76">
        <f t="shared" si="29"/>
        <v>12</v>
      </c>
      <c r="AQ42" s="76">
        <f t="shared" si="29"/>
        <v>12</v>
      </c>
      <c r="AR42" s="76">
        <f t="shared" si="29"/>
        <v>12</v>
      </c>
      <c r="AS42" s="76">
        <f t="shared" si="29"/>
        <v>12</v>
      </c>
      <c r="AT42" s="76">
        <f t="shared" si="29"/>
        <v>12</v>
      </c>
      <c r="AU42" s="76">
        <f t="shared" si="29"/>
        <v>12</v>
      </c>
      <c r="AV42" s="76">
        <f t="shared" si="29"/>
        <v>12</v>
      </c>
      <c r="AW42" s="76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6" t="str">
        <f>D3</f>
        <v>Africa_North</v>
      </c>
      <c r="E44" s="76" t="str">
        <f t="shared" ref="E44:U44" si="32">E3</f>
        <v>Africa_Other</v>
      </c>
      <c r="F44" s="76" t="str">
        <f t="shared" si="32"/>
        <v>Australia</v>
      </c>
      <c r="G44" s="76" t="str">
        <f t="shared" si="32"/>
        <v>Austria</v>
      </c>
      <c r="H44" s="76" t="str">
        <f t="shared" si="32"/>
        <v>Baltics</v>
      </c>
      <c r="I44" s="76" t="str">
        <f t="shared" si="32"/>
        <v>BeNeLux</v>
      </c>
      <c r="J44" s="76" t="str">
        <f t="shared" si="32"/>
        <v>Brazil</v>
      </c>
      <c r="K44" s="76" t="str">
        <f t="shared" si="32"/>
        <v>China</v>
      </c>
      <c r="L44" s="76" t="str">
        <f t="shared" si="32"/>
        <v>CroSloven</v>
      </c>
      <c r="M44" s="76" t="str">
        <f t="shared" si="32"/>
        <v>CzechSlovak</v>
      </c>
      <c r="N44" s="76" t="str">
        <f t="shared" si="32"/>
        <v>France</v>
      </c>
      <c r="O44" s="76" t="str">
        <f t="shared" si="32"/>
        <v>Germany</v>
      </c>
      <c r="P44" s="76" t="str">
        <f t="shared" si="32"/>
        <v>GreeceCyp</v>
      </c>
      <c r="Q44" s="76" t="str">
        <f t="shared" si="32"/>
        <v>HunRomBul</v>
      </c>
      <c r="R44" s="76" t="str">
        <f t="shared" si="32"/>
        <v>Iceland</v>
      </c>
      <c r="S44" s="76" t="str">
        <f t="shared" si="32"/>
        <v>India</v>
      </c>
      <c r="T44" s="76" t="str">
        <f t="shared" si="32"/>
        <v>Ireland</v>
      </c>
      <c r="U44" s="76" t="str">
        <f t="shared" si="32"/>
        <v>ItalyMal</v>
      </c>
      <c r="V44" s="76" t="str">
        <f t="shared" ref="V44:AJ44" si="33">V3</f>
        <v>Japan</v>
      </c>
      <c r="W44" s="76" t="str">
        <f t="shared" si="33"/>
        <v>LatAm</v>
      </c>
      <c r="X44" s="76" t="str">
        <f t="shared" si="33"/>
        <v>MidEast</v>
      </c>
      <c r="Y44" s="76" t="str">
        <f t="shared" si="33"/>
        <v>NorthAm</v>
      </c>
      <c r="Z44" s="76" t="str">
        <f t="shared" si="33"/>
        <v>Norway</v>
      </c>
      <c r="AA44" s="76" t="str">
        <f t="shared" si="33"/>
        <v>Poland</v>
      </c>
      <c r="AB44" s="76" t="str">
        <f t="shared" si="33"/>
        <v>ROW</v>
      </c>
      <c r="AC44" s="76" t="str">
        <f t="shared" si="33"/>
        <v>Russia</v>
      </c>
      <c r="AD44" s="76" t="str">
        <f t="shared" si="33"/>
        <v>SaudiArabia</v>
      </c>
      <c r="AE44" s="76" t="str">
        <f t="shared" si="33"/>
        <v>SouthAfrica</v>
      </c>
      <c r="AF44" s="76" t="str">
        <f t="shared" si="33"/>
        <v>SpainPor</v>
      </c>
      <c r="AG44" s="76" t="str">
        <f t="shared" ref="AG44" si="34">AG3</f>
        <v>SweFinDen</v>
      </c>
      <c r="AH44" s="76" t="str">
        <f t="shared" si="33"/>
        <v>Switzerland</v>
      </c>
      <c r="AI44" s="76" t="str">
        <f t="shared" si="33"/>
        <v>Turkey</v>
      </c>
      <c r="AJ44" s="76" t="str">
        <f t="shared" si="33"/>
        <v>UK</v>
      </c>
      <c r="AK44" s="76" t="str">
        <f t="shared" ref="AK44:AW44" si="35">AK3</f>
        <v>Ukraine</v>
      </c>
      <c r="AL44" s="76" t="str">
        <f t="shared" si="35"/>
        <v>WestBalkans</v>
      </c>
      <c r="AM44" s="76" t="str">
        <f t="shared" si="35"/>
        <v>\I:</v>
      </c>
      <c r="AN44" s="76" t="str">
        <f t="shared" si="35"/>
        <v>\I:</v>
      </c>
      <c r="AO44" s="76" t="str">
        <f t="shared" si="35"/>
        <v>\I:</v>
      </c>
      <c r="AP44" s="76" t="str">
        <f t="shared" si="35"/>
        <v>\I:</v>
      </c>
      <c r="AQ44" s="76" t="str">
        <f t="shared" si="35"/>
        <v>\I:</v>
      </c>
      <c r="AR44" s="76" t="str">
        <f t="shared" si="35"/>
        <v>\I:</v>
      </c>
      <c r="AS44" s="76" t="str">
        <f t="shared" si="35"/>
        <v>\I:</v>
      </c>
      <c r="AT44" s="76" t="str">
        <f t="shared" si="35"/>
        <v>\I:</v>
      </c>
      <c r="AU44" s="76" t="str">
        <f t="shared" si="35"/>
        <v>\I:</v>
      </c>
      <c r="AV44" s="76" t="str">
        <f t="shared" si="35"/>
        <v>\I:</v>
      </c>
      <c r="AW44" s="76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44" zoomScaleNormal="44" topLeftCell="Q1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0.0634824852357978</v>
      </c>
      <c r="E11" s="100">
        <f ca="1" t="shared" ref="E11:U11" si="4">SUM(E$4:E$10)/SUM($D$4:$AJ$10)</f>
        <v>0.0537595682898777</v>
      </c>
      <c r="F11" s="100">
        <f ca="1" t="shared" si="4"/>
        <v>0.017002570681552</v>
      </c>
      <c r="G11" s="100">
        <f ca="1" t="shared" si="4"/>
        <v>0.00197056158332194</v>
      </c>
      <c r="H11" s="100">
        <f ca="1" t="shared" si="4"/>
        <v>0.00218976893260367</v>
      </c>
      <c r="I11" s="100">
        <f ca="1" t="shared" si="4"/>
        <v>0.00432171478234067</v>
      </c>
      <c r="J11" s="100">
        <f ca="1" t="shared" si="4"/>
        <v>0.039735786997404</v>
      </c>
      <c r="K11" s="100">
        <f ca="1" t="shared" si="4"/>
        <v>0.31949742891506</v>
      </c>
      <c r="L11" s="100">
        <f ca="1" t="shared" si="4"/>
        <v>0.00188042617584991</v>
      </c>
      <c r="M11" s="100">
        <f ca="1" t="shared" si="4"/>
        <v>0.00455449941152229</v>
      </c>
      <c r="N11" s="100">
        <f ca="1" t="shared" si="4"/>
        <v>0.0100743724241541</v>
      </c>
      <c r="O11" s="100">
        <f ca="1" t="shared" si="4"/>
        <v>0.0107867330484099</v>
      </c>
      <c r="P11" s="100">
        <f ca="1" t="shared" si="4"/>
        <v>0.000895867213438708</v>
      </c>
      <c r="Q11" s="100">
        <f ca="1" t="shared" si="4"/>
        <v>0.00693461950172354</v>
      </c>
      <c r="R11" s="100">
        <f ca="1" t="shared" si="4"/>
        <v>6.31375689723828e-5</v>
      </c>
      <c r="S11" s="100">
        <f ca="1" t="shared" si="4"/>
        <v>0.0924700924952197</v>
      </c>
      <c r="T11" s="100">
        <f ca="1" t="shared" si="4"/>
        <v>0.000907115649483619</v>
      </c>
      <c r="U11" s="100">
        <f ca="1" t="shared" si="4"/>
        <v>0.00887118198791756</v>
      </c>
      <c r="V11" s="100">
        <f ca="1" t="shared" ref="V11:AW11" si="5">SUM(V$4:V$10)/SUM($D$4:$AJ$10)</f>
        <v>0.00749482868578554</v>
      </c>
      <c r="W11" s="100">
        <f ca="1" t="shared" si="5"/>
        <v>0.0400339602182588</v>
      </c>
      <c r="X11" s="100">
        <f ca="1" t="shared" si="5"/>
        <v>0.0509015232127939</v>
      </c>
      <c r="Y11" s="100">
        <f ca="1" t="shared" si="5"/>
        <v>0.0470720695838059</v>
      </c>
      <c r="Z11" s="100">
        <f ca="1" t="shared" si="5"/>
        <v>0.000870465763734217</v>
      </c>
      <c r="AA11" s="100">
        <f ca="1" t="shared" si="5"/>
        <v>0.00915326861686093</v>
      </c>
      <c r="AB11" s="100">
        <f ca="1" t="shared" si="5"/>
        <v>0.115305350271355</v>
      </c>
      <c r="AC11" s="100">
        <f ca="1" t="shared" si="5"/>
        <v>0.0156075423093082</v>
      </c>
      <c r="AD11" s="100">
        <f ca="1" t="shared" si="5"/>
        <v>0.018517850256054</v>
      </c>
      <c r="AE11" s="100">
        <f ca="1" t="shared" si="5"/>
        <v>0.0189285698990867</v>
      </c>
      <c r="AF11" s="100">
        <f ca="1" t="shared" si="5"/>
        <v>0.00848465769791375</v>
      </c>
      <c r="AG11" s="100">
        <f ca="1" t="shared" si="5"/>
        <v>0.00306115300547653</v>
      </c>
      <c r="AH11" s="100">
        <f ca="1" t="shared" si="5"/>
        <v>0.00088737581544058</v>
      </c>
      <c r="AI11" s="100">
        <f ca="1" t="shared" si="5"/>
        <v>0.0167488730777124</v>
      </c>
      <c r="AJ11" s="100">
        <f ca="1" t="shared" si="5"/>
        <v>0.00753458069176408</v>
      </c>
      <c r="AK11" s="100">
        <f ca="1" t="shared" si="5"/>
        <v>0.00318194979370421</v>
      </c>
      <c r="AL11" s="100">
        <f ca="1" t="shared" si="5"/>
        <v>0.00282741853854587</v>
      </c>
      <c r="AM11" s="100">
        <f ca="1" t="shared" si="5"/>
        <v>0</v>
      </c>
      <c r="AN11" s="100">
        <f ca="1" t="shared" si="5"/>
        <v>0</v>
      </c>
      <c r="AO11" s="100">
        <f ca="1" t="shared" si="5"/>
        <v>0</v>
      </c>
      <c r="AP11" s="100">
        <f ca="1" t="shared" si="5"/>
        <v>0</v>
      </c>
      <c r="AQ11" s="100">
        <f ca="1" t="shared" si="5"/>
        <v>0</v>
      </c>
      <c r="AR11" s="100">
        <f ca="1" t="shared" si="5"/>
        <v>0</v>
      </c>
      <c r="AS11" s="100">
        <f ca="1" t="shared" si="5"/>
        <v>0</v>
      </c>
      <c r="AT11" s="100">
        <f ca="1" t="shared" si="5"/>
        <v>0</v>
      </c>
      <c r="AU11" s="100">
        <f ca="1" t="shared" si="5"/>
        <v>0</v>
      </c>
      <c r="AV11" s="100">
        <f ca="1" t="shared" si="5"/>
        <v>0</v>
      </c>
      <c r="AW11" s="100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D13/SUM($D$13:$AW$13)</f>
        <v>0.0625571155603556</v>
      </c>
      <c r="E14" s="100">
        <f ca="1" t="shared" ref="E14:AW14" si="9">E13/SUM($D$13:$AW$13)</f>
        <v>0.0532524715460663</v>
      </c>
      <c r="F14" s="100">
        <f ca="1" t="shared" si="9"/>
        <v>0.0169477444545983</v>
      </c>
      <c r="G14" s="100">
        <f ca="1" t="shared" si="9"/>
        <v>0.00182769793137825</v>
      </c>
      <c r="H14" s="100">
        <f ca="1" t="shared" si="9"/>
        <v>0.00240923818227133</v>
      </c>
      <c r="I14" s="100">
        <f ca="1" t="shared" si="9"/>
        <v>0.00423693611364958</v>
      </c>
      <c r="J14" s="100">
        <f ca="1" t="shared" si="9"/>
        <v>0.0389631968098363</v>
      </c>
      <c r="K14" s="100">
        <f ca="1" t="shared" si="9"/>
        <v>0.319348674919</v>
      </c>
      <c r="L14" s="100">
        <f ca="1" t="shared" si="9"/>
        <v>0.00191077511007726</v>
      </c>
      <c r="M14" s="100">
        <f ca="1" t="shared" si="9"/>
        <v>0.00473539918584365</v>
      </c>
      <c r="N14" s="100">
        <f ca="1" t="shared" si="9"/>
        <v>0.00996926144388137</v>
      </c>
      <c r="O14" s="100">
        <f ca="1" t="shared" si="9"/>
        <v>0.0106338788734735</v>
      </c>
      <c r="P14" s="100">
        <f ca="1" t="shared" si="9"/>
        <v>0.000830771786990114</v>
      </c>
      <c r="Q14" s="100">
        <f ca="1" t="shared" si="9"/>
        <v>0.00697848301071696</v>
      </c>
      <c r="R14" s="100">
        <f ca="1" t="shared" si="9"/>
        <v>8.30771786990114e-5</v>
      </c>
      <c r="S14" s="100">
        <f ca="1" t="shared" si="9"/>
        <v>0.0898064301736313</v>
      </c>
      <c r="T14" s="100">
        <f ca="1" t="shared" si="9"/>
        <v>0.000913848965689125</v>
      </c>
      <c r="U14" s="100">
        <f ca="1" t="shared" si="9"/>
        <v>0.00839079504860015</v>
      </c>
      <c r="V14" s="100">
        <f ca="1" t="shared" si="9"/>
        <v>0.00739386890421201</v>
      </c>
      <c r="W14" s="100">
        <f ca="1" t="shared" si="9"/>
        <v>0.0397939685968265</v>
      </c>
      <c r="X14" s="100">
        <f ca="1" t="shared" si="9"/>
        <v>0.0495139985046108</v>
      </c>
      <c r="Y14" s="100">
        <f ca="1" t="shared" si="9"/>
        <v>0.0469386059649414</v>
      </c>
      <c r="Z14" s="100">
        <f ca="1" t="shared" si="9"/>
        <v>0.000747694608291103</v>
      </c>
      <c r="AA14" s="100">
        <f ca="1" t="shared" si="9"/>
        <v>0.00913848965689125</v>
      </c>
      <c r="AB14" s="100">
        <f ca="1" t="shared" si="9"/>
        <v>0.114064966353743</v>
      </c>
      <c r="AC14" s="100">
        <f ca="1" t="shared" si="9"/>
        <v>0.0162000498463072</v>
      </c>
      <c r="AD14" s="100">
        <f ca="1" t="shared" si="9"/>
        <v>0.0189415967433746</v>
      </c>
      <c r="AE14" s="100">
        <f ca="1" t="shared" si="9"/>
        <v>0.0188585195646756</v>
      </c>
      <c r="AF14" s="100">
        <f ca="1" t="shared" si="9"/>
        <v>0.00830771786990114</v>
      </c>
      <c r="AG14" s="100">
        <f ca="1" t="shared" si="9"/>
        <v>0.00307385561186342</v>
      </c>
      <c r="AH14" s="100">
        <f ca="1" t="shared" si="9"/>
        <v>0.000830771786990114</v>
      </c>
      <c r="AI14" s="100">
        <f ca="1" t="shared" si="9"/>
        <v>0.0167815900972003</v>
      </c>
      <c r="AJ14" s="100">
        <f ca="1" t="shared" si="9"/>
        <v>0.00747694608291103</v>
      </c>
      <c r="AK14" s="100">
        <f ca="1" t="shared" si="9"/>
        <v>0.00324000996926144</v>
      </c>
      <c r="AL14" s="100">
        <f ca="1" t="shared" si="9"/>
        <v>0.00490155354324167</v>
      </c>
      <c r="AM14" s="100">
        <f ca="1" t="shared" si="9"/>
        <v>0</v>
      </c>
      <c r="AN14" s="100">
        <f ca="1" t="shared" si="9"/>
        <v>0</v>
      </c>
      <c r="AO14" s="100">
        <f ca="1" t="shared" si="9"/>
        <v>0</v>
      </c>
      <c r="AP14" s="100">
        <f ca="1" t="shared" si="9"/>
        <v>0</v>
      </c>
      <c r="AQ14" s="100">
        <f ca="1" t="shared" si="9"/>
        <v>0</v>
      </c>
      <c r="AR14" s="100">
        <f ca="1" t="shared" si="9"/>
        <v>0</v>
      </c>
      <c r="AS14" s="100">
        <f ca="1" t="shared" si="9"/>
        <v>0</v>
      </c>
      <c r="AT14" s="100">
        <f ca="1" t="shared" si="9"/>
        <v>0</v>
      </c>
      <c r="AU14" s="100">
        <f ca="1" t="shared" si="9"/>
        <v>0</v>
      </c>
      <c r="AV14" s="100">
        <f ca="1" t="shared" si="9"/>
        <v>0</v>
      </c>
      <c r="AW14" s="100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6">
        <f ca="1">ROUND(D4*D28/D36,3)</f>
        <v>0</v>
      </c>
      <c r="E19" s="76">
        <f ca="1" t="shared" ref="E19:U19" si="13">ROUND(E4*E28/E36,3)</f>
        <v>0</v>
      </c>
      <c r="F19" s="76">
        <f ca="1" t="shared" si="13"/>
        <v>0</v>
      </c>
      <c r="G19" s="76">
        <f ca="1" t="shared" si="13"/>
        <v>0.001</v>
      </c>
      <c r="H19" s="76">
        <f ca="1" t="shared" si="13"/>
        <v>0.001</v>
      </c>
      <c r="I19" s="76">
        <f ca="1" t="shared" si="13"/>
        <v>0.003</v>
      </c>
      <c r="J19" s="76">
        <f ca="1" t="shared" si="13"/>
        <v>0.125</v>
      </c>
      <c r="K19" s="76">
        <f ca="1" t="shared" si="13"/>
        <v>0.025</v>
      </c>
      <c r="L19" s="76">
        <f ca="1" t="shared" si="13"/>
        <v>0.001</v>
      </c>
      <c r="M19" s="76">
        <f ca="1" t="shared" si="13"/>
        <v>0.003</v>
      </c>
      <c r="N19" s="76">
        <f ca="1" t="shared" si="13"/>
        <v>0.009</v>
      </c>
      <c r="O19" s="76">
        <f ca="1" t="shared" si="13"/>
        <v>0.007</v>
      </c>
      <c r="P19" s="76">
        <f ca="1" t="shared" si="13"/>
        <v>0.001</v>
      </c>
      <c r="Q19" s="76">
        <f ca="1" t="shared" si="13"/>
        <v>0.004</v>
      </c>
      <c r="R19" s="76">
        <f ca="1" t="shared" si="13"/>
        <v>0</v>
      </c>
      <c r="S19" s="76">
        <f ca="1" t="shared" si="13"/>
        <v>0.001</v>
      </c>
      <c r="T19" s="76">
        <f ca="1" t="shared" si="13"/>
        <v>0.001</v>
      </c>
      <c r="U19" s="76">
        <f ca="1" t="shared" si="13"/>
        <v>0.004</v>
      </c>
      <c r="V19" s="76">
        <f ca="1" t="shared" ref="V19:AW19" si="14">ROUND(V4*V28/V36,3)</f>
        <v>0</v>
      </c>
      <c r="W19" s="76">
        <f ca="1" t="shared" si="14"/>
        <v>0.014</v>
      </c>
      <c r="X19" s="76">
        <f ca="1" t="shared" si="14"/>
        <v>0</v>
      </c>
      <c r="Y19" s="76">
        <f ca="1" t="shared" si="14"/>
        <v>0.016</v>
      </c>
      <c r="Z19" s="76">
        <f ca="1" t="shared" si="14"/>
        <v>0.001</v>
      </c>
      <c r="AA19" s="76">
        <f ca="1" t="shared" si="14"/>
        <v>0.006</v>
      </c>
      <c r="AB19" s="76">
        <f ca="1" t="shared" si="14"/>
        <v>0.081</v>
      </c>
      <c r="AC19" s="76">
        <f ca="1" t="shared" si="14"/>
        <v>0</v>
      </c>
      <c r="AD19" s="76">
        <f ca="1" t="shared" si="14"/>
        <v>0</v>
      </c>
      <c r="AE19" s="76">
        <f ca="1" t="shared" si="14"/>
        <v>0</v>
      </c>
      <c r="AF19" s="76">
        <f ca="1" t="shared" si="14"/>
        <v>0.006</v>
      </c>
      <c r="AG19" s="76">
        <f ca="1" t="shared" si="14"/>
        <v>0.006</v>
      </c>
      <c r="AH19" s="76">
        <f ca="1" t="shared" si="14"/>
        <v>0.001</v>
      </c>
      <c r="AI19" s="76">
        <f ca="1" t="shared" si="14"/>
        <v>0.001</v>
      </c>
      <c r="AJ19" s="76">
        <f ca="1" t="shared" si="14"/>
        <v>0.004</v>
      </c>
      <c r="AK19" s="76">
        <f ca="1" t="shared" si="14"/>
        <v>0</v>
      </c>
      <c r="AL19" s="76">
        <f ca="1" t="shared" si="14"/>
        <v>0.001</v>
      </c>
      <c r="AM19" s="76">
        <f ca="1" t="shared" si="14"/>
        <v>0</v>
      </c>
      <c r="AN19" s="76">
        <f ca="1" t="shared" si="14"/>
        <v>0</v>
      </c>
      <c r="AO19" s="76">
        <f ca="1" t="shared" si="14"/>
        <v>0</v>
      </c>
      <c r="AP19" s="76">
        <f ca="1" t="shared" si="14"/>
        <v>0</v>
      </c>
      <c r="AQ19" s="76">
        <f ca="1" t="shared" si="14"/>
        <v>0</v>
      </c>
      <c r="AR19" s="76">
        <f ca="1" t="shared" si="14"/>
        <v>0</v>
      </c>
      <c r="AS19" s="76">
        <f ca="1" t="shared" si="14"/>
        <v>0</v>
      </c>
      <c r="AT19" s="76">
        <f ca="1" t="shared" si="14"/>
        <v>0</v>
      </c>
      <c r="AU19" s="76">
        <f ca="1" t="shared" si="14"/>
        <v>0</v>
      </c>
      <c r="AV19" s="76">
        <f ca="1" t="shared" si="14"/>
        <v>0</v>
      </c>
      <c r="AW19" s="76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6">
        <f ca="1" t="shared" ref="D20:AW25" si="15">ROUND(D5*D29/D37,3)</f>
        <v>0</v>
      </c>
      <c r="E20" s="76">
        <f ca="1" t="shared" ref="E20:U20" si="16">ROUND(E5*E29/E37,3)</f>
        <v>0</v>
      </c>
      <c r="F20" s="76">
        <f ca="1" t="shared" si="16"/>
        <v>0</v>
      </c>
      <c r="G20" s="76">
        <f ca="1" t="shared" si="16"/>
        <v>0</v>
      </c>
      <c r="H20" s="76">
        <f ca="1" t="shared" si="16"/>
        <v>0</v>
      </c>
      <c r="I20" s="76">
        <f ca="1" t="shared" si="16"/>
        <v>0</v>
      </c>
      <c r="J20" s="76">
        <f ca="1" t="shared" si="16"/>
        <v>0</v>
      </c>
      <c r="K20" s="76">
        <f ca="1" t="shared" si="16"/>
        <v>0</v>
      </c>
      <c r="L20" s="76">
        <f ca="1" t="shared" si="16"/>
        <v>0</v>
      </c>
      <c r="M20" s="76">
        <f ca="1" t="shared" si="16"/>
        <v>0</v>
      </c>
      <c r="N20" s="76">
        <f ca="1" t="shared" si="16"/>
        <v>0</v>
      </c>
      <c r="O20" s="76">
        <f ca="1" t="shared" si="16"/>
        <v>0</v>
      </c>
      <c r="P20" s="76">
        <f ca="1" t="shared" si="16"/>
        <v>0</v>
      </c>
      <c r="Q20" s="76">
        <f ca="1" t="shared" si="16"/>
        <v>0</v>
      </c>
      <c r="R20" s="76">
        <f ca="1" t="shared" si="16"/>
        <v>0</v>
      </c>
      <c r="S20" s="76">
        <f ca="1" t="shared" si="16"/>
        <v>0</v>
      </c>
      <c r="T20" s="76">
        <f ca="1" t="shared" si="16"/>
        <v>0</v>
      </c>
      <c r="U20" s="76">
        <f ca="1" t="shared" si="16"/>
        <v>0</v>
      </c>
      <c r="V20" s="76">
        <f ca="1" t="shared" si="15"/>
        <v>0</v>
      </c>
      <c r="W20" s="76">
        <f ca="1" t="shared" si="15"/>
        <v>0</v>
      </c>
      <c r="X20" s="76">
        <f ca="1" t="shared" si="15"/>
        <v>0</v>
      </c>
      <c r="Y20" s="76">
        <f ca="1" t="shared" si="15"/>
        <v>0</v>
      </c>
      <c r="Z20" s="76">
        <f ca="1" t="shared" si="15"/>
        <v>0</v>
      </c>
      <c r="AA20" s="76">
        <f ca="1" t="shared" si="15"/>
        <v>0</v>
      </c>
      <c r="AB20" s="76">
        <f ca="1" t="shared" si="15"/>
        <v>0</v>
      </c>
      <c r="AC20" s="76">
        <f ca="1" t="shared" si="15"/>
        <v>0</v>
      </c>
      <c r="AD20" s="76">
        <f ca="1" t="shared" si="15"/>
        <v>0</v>
      </c>
      <c r="AE20" s="76">
        <f ca="1" t="shared" si="15"/>
        <v>0</v>
      </c>
      <c r="AF20" s="76">
        <f ca="1" t="shared" si="15"/>
        <v>0</v>
      </c>
      <c r="AG20" s="76">
        <f ca="1" t="shared" si="15"/>
        <v>0</v>
      </c>
      <c r="AH20" s="76">
        <f ca="1" t="shared" si="15"/>
        <v>0</v>
      </c>
      <c r="AI20" s="76">
        <f ca="1" t="shared" si="15"/>
        <v>0</v>
      </c>
      <c r="AJ20" s="76">
        <f ca="1" t="shared" si="15"/>
        <v>0</v>
      </c>
      <c r="AK20" s="76">
        <f ca="1" t="shared" si="15"/>
        <v>0</v>
      </c>
      <c r="AL20" s="76">
        <f ca="1" t="shared" si="15"/>
        <v>0</v>
      </c>
      <c r="AM20" s="76">
        <f ca="1" t="shared" si="15"/>
        <v>0</v>
      </c>
      <c r="AN20" s="76">
        <f ca="1" t="shared" si="15"/>
        <v>0</v>
      </c>
      <c r="AO20" s="76">
        <f ca="1" t="shared" si="15"/>
        <v>0</v>
      </c>
      <c r="AP20" s="76">
        <f ca="1" t="shared" si="15"/>
        <v>0</v>
      </c>
      <c r="AQ20" s="76">
        <f ca="1" t="shared" si="15"/>
        <v>0</v>
      </c>
      <c r="AR20" s="76">
        <f ca="1" t="shared" si="15"/>
        <v>0</v>
      </c>
      <c r="AS20" s="76">
        <f ca="1" t="shared" si="15"/>
        <v>0</v>
      </c>
      <c r="AT20" s="76">
        <f ca="1" t="shared" si="15"/>
        <v>0</v>
      </c>
      <c r="AU20" s="76">
        <f ca="1" t="shared" si="15"/>
        <v>0</v>
      </c>
      <c r="AV20" s="76">
        <f ca="1" t="shared" si="15"/>
        <v>0</v>
      </c>
      <c r="AW20" s="76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6">
        <f ca="1" t="shared" si="15"/>
        <v>0.721</v>
      </c>
      <c r="E21" s="76">
        <f ca="1" t="shared" ref="E21:U21" si="17">ROUND(E6*E30/E38,3)</f>
        <v>0.641</v>
      </c>
      <c r="F21" s="76">
        <f ca="1" t="shared" si="17"/>
        <v>0.174</v>
      </c>
      <c r="G21" s="76">
        <f ca="1" t="shared" si="17"/>
        <v>0.021</v>
      </c>
      <c r="H21" s="76">
        <f ca="1" t="shared" si="17"/>
        <v>0.024</v>
      </c>
      <c r="I21" s="76">
        <f ca="1" t="shared" si="17"/>
        <v>0.045</v>
      </c>
      <c r="J21" s="76">
        <f ca="1" t="shared" si="17"/>
        <v>0.275</v>
      </c>
      <c r="K21" s="76">
        <f ca="1" t="shared" si="17"/>
        <v>2.518</v>
      </c>
      <c r="L21" s="76">
        <f ca="1" t="shared" si="17"/>
        <v>0.02</v>
      </c>
      <c r="M21" s="76">
        <f ca="1" t="shared" si="17"/>
        <v>0.043</v>
      </c>
      <c r="N21" s="76">
        <f ca="1" t="shared" si="17"/>
        <v>0.106</v>
      </c>
      <c r="O21" s="76">
        <f ca="1" t="shared" si="17"/>
        <v>0.114</v>
      </c>
      <c r="P21" s="76">
        <f ca="1" t="shared" si="17"/>
        <v>0.009</v>
      </c>
      <c r="Q21" s="76">
        <f ca="1" t="shared" si="17"/>
        <v>0.066</v>
      </c>
      <c r="R21" s="76">
        <f ca="1" t="shared" si="17"/>
        <v>0.001</v>
      </c>
      <c r="S21" s="76">
        <f ca="1" t="shared" si="17"/>
        <v>0.94</v>
      </c>
      <c r="T21" s="76">
        <f ca="1" t="shared" si="17"/>
        <v>0.01</v>
      </c>
      <c r="U21" s="76">
        <f ca="1" t="shared" si="17"/>
        <v>0.074</v>
      </c>
      <c r="V21" s="76">
        <f ca="1" t="shared" si="15"/>
        <v>0.089</v>
      </c>
      <c r="W21" s="76">
        <f ca="1" t="shared" si="15"/>
        <v>0.282</v>
      </c>
      <c r="X21" s="76">
        <f ca="1" t="shared" si="15"/>
        <v>0.278</v>
      </c>
      <c r="Y21" s="76">
        <f ca="1" t="shared" si="15"/>
        <v>0.506</v>
      </c>
      <c r="Z21" s="76">
        <f ca="1" t="shared" si="15"/>
        <v>0.007</v>
      </c>
      <c r="AA21" s="76">
        <f ca="1" t="shared" si="15"/>
        <v>0.098</v>
      </c>
      <c r="AB21" s="76">
        <f ca="1" t="shared" si="15"/>
        <v>1.141</v>
      </c>
      <c r="AC21" s="76">
        <f ca="1" t="shared" si="15"/>
        <v>0.137</v>
      </c>
      <c r="AD21" s="76">
        <f ca="1" t="shared" si="15"/>
        <v>0.158</v>
      </c>
      <c r="AE21" s="76">
        <f ca="1" t="shared" si="15"/>
        <v>0.225</v>
      </c>
      <c r="AF21" s="76">
        <f ca="1" t="shared" si="15"/>
        <v>0.088</v>
      </c>
      <c r="AG21" s="76">
        <f ca="1" t="shared" si="15"/>
        <v>0.027</v>
      </c>
      <c r="AH21" s="76">
        <f ca="1" t="shared" si="15"/>
        <v>0.009</v>
      </c>
      <c r="AI21" s="76">
        <f ca="1" t="shared" si="15"/>
        <v>0.152</v>
      </c>
      <c r="AJ21" s="76">
        <f ca="1" t="shared" si="15"/>
        <v>0.084</v>
      </c>
      <c r="AK21" s="76">
        <f ca="1" t="shared" si="15"/>
        <v>0.036</v>
      </c>
      <c r="AL21" s="76">
        <f ca="1" t="shared" si="15"/>
        <v>0.054</v>
      </c>
      <c r="AM21" s="76">
        <f ca="1" t="shared" si="15"/>
        <v>0</v>
      </c>
      <c r="AN21" s="76">
        <f ca="1" t="shared" si="15"/>
        <v>0</v>
      </c>
      <c r="AO21" s="76">
        <f ca="1" t="shared" si="15"/>
        <v>0</v>
      </c>
      <c r="AP21" s="76">
        <f ca="1" t="shared" si="15"/>
        <v>0</v>
      </c>
      <c r="AQ21" s="76">
        <f ca="1" t="shared" si="15"/>
        <v>0</v>
      </c>
      <c r="AR21" s="76">
        <f ca="1" t="shared" si="15"/>
        <v>0</v>
      </c>
      <c r="AS21" s="76">
        <f ca="1" t="shared" si="15"/>
        <v>0</v>
      </c>
      <c r="AT21" s="76">
        <f ca="1" t="shared" si="15"/>
        <v>0</v>
      </c>
      <c r="AU21" s="76">
        <f ca="1" t="shared" si="15"/>
        <v>0</v>
      </c>
      <c r="AV21" s="76">
        <f ca="1" t="shared" si="15"/>
        <v>0</v>
      </c>
      <c r="AW21" s="76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6">
        <f ca="1" t="shared" si="15"/>
        <v>0</v>
      </c>
      <c r="E22" s="76">
        <f ca="1" t="shared" ref="E22:U22" si="18">ROUND(E7*E31/E39,3)</f>
        <v>0</v>
      </c>
      <c r="F22" s="76">
        <f ca="1" t="shared" si="18"/>
        <v>0</v>
      </c>
      <c r="G22" s="76">
        <f ca="1" t="shared" si="18"/>
        <v>0</v>
      </c>
      <c r="H22" s="76">
        <f ca="1" t="shared" si="18"/>
        <v>0.003</v>
      </c>
      <c r="I22" s="76">
        <f ca="1" t="shared" si="18"/>
        <v>0</v>
      </c>
      <c r="J22" s="76">
        <f ca="1" t="shared" si="18"/>
        <v>0</v>
      </c>
      <c r="K22" s="76">
        <f ca="1" t="shared" si="18"/>
        <v>0.219</v>
      </c>
      <c r="L22" s="76">
        <f ca="1" t="shared" si="18"/>
        <v>0</v>
      </c>
      <c r="M22" s="76">
        <f ca="1" t="shared" si="18"/>
        <v>0.003</v>
      </c>
      <c r="N22" s="76">
        <f ca="1" t="shared" si="18"/>
        <v>0</v>
      </c>
      <c r="O22" s="76">
        <f ca="1" t="shared" si="18"/>
        <v>0</v>
      </c>
      <c r="P22" s="76">
        <f ca="1" t="shared" si="18"/>
        <v>0</v>
      </c>
      <c r="Q22" s="76">
        <f ca="1" t="shared" si="18"/>
        <v>0.004</v>
      </c>
      <c r="R22" s="76">
        <f ca="1" t="shared" si="18"/>
        <v>0</v>
      </c>
      <c r="S22" s="76">
        <f ca="1" t="shared" si="18"/>
        <v>0</v>
      </c>
      <c r="T22" s="76">
        <f ca="1" t="shared" si="18"/>
        <v>0</v>
      </c>
      <c r="U22" s="76">
        <f ca="1" t="shared" si="18"/>
        <v>0</v>
      </c>
      <c r="V22" s="76">
        <f ca="1" t="shared" si="15"/>
        <v>0</v>
      </c>
      <c r="W22" s="76">
        <f ca="1" t="shared" si="15"/>
        <v>0.013</v>
      </c>
      <c r="X22" s="76">
        <f ca="1" t="shared" si="15"/>
        <v>0</v>
      </c>
      <c r="Y22" s="76">
        <f ca="1" t="shared" si="15"/>
        <v>0</v>
      </c>
      <c r="Z22" s="76">
        <f ca="1" t="shared" si="15"/>
        <v>0</v>
      </c>
      <c r="AA22" s="76">
        <f ca="1" t="shared" si="15"/>
        <v>0.001</v>
      </c>
      <c r="AB22" s="76">
        <f ca="1" t="shared" si="15"/>
        <v>0</v>
      </c>
      <c r="AC22" s="76">
        <f ca="1" t="shared" si="15"/>
        <v>0.005</v>
      </c>
      <c r="AD22" s="76">
        <f ca="1" t="shared" si="15"/>
        <v>0</v>
      </c>
      <c r="AE22" s="76">
        <f ca="1" t="shared" si="15"/>
        <v>0.002</v>
      </c>
      <c r="AF22" s="76">
        <f ca="1" t="shared" si="15"/>
        <v>0</v>
      </c>
      <c r="AG22" s="76">
        <f ca="1" t="shared" si="15"/>
        <v>0</v>
      </c>
      <c r="AH22" s="76">
        <f ca="1" t="shared" si="15"/>
        <v>0</v>
      </c>
      <c r="AI22" s="76">
        <f ca="1" t="shared" si="15"/>
        <v>0</v>
      </c>
      <c r="AJ22" s="76">
        <f ca="1" t="shared" si="15"/>
        <v>0</v>
      </c>
      <c r="AK22" s="76">
        <f ca="1" t="shared" si="15"/>
        <v>0</v>
      </c>
      <c r="AL22" s="76">
        <f ca="1" t="shared" si="15"/>
        <v>0</v>
      </c>
      <c r="AM22" s="76">
        <f ca="1" t="shared" si="15"/>
        <v>0</v>
      </c>
      <c r="AN22" s="76">
        <f ca="1" t="shared" si="15"/>
        <v>0</v>
      </c>
      <c r="AO22" s="76">
        <f ca="1" t="shared" si="15"/>
        <v>0</v>
      </c>
      <c r="AP22" s="76">
        <f ca="1" t="shared" si="15"/>
        <v>0</v>
      </c>
      <c r="AQ22" s="76">
        <f ca="1" t="shared" si="15"/>
        <v>0</v>
      </c>
      <c r="AR22" s="76">
        <f ca="1" t="shared" si="15"/>
        <v>0</v>
      </c>
      <c r="AS22" s="76">
        <f ca="1" t="shared" si="15"/>
        <v>0</v>
      </c>
      <c r="AT22" s="76">
        <f ca="1" t="shared" si="15"/>
        <v>0</v>
      </c>
      <c r="AU22" s="76">
        <f ca="1" t="shared" si="15"/>
        <v>0</v>
      </c>
      <c r="AV22" s="76">
        <f ca="1" t="shared" si="15"/>
        <v>0</v>
      </c>
      <c r="AW22" s="76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6">
        <f ca="1" t="shared" si="15"/>
        <v>0</v>
      </c>
      <c r="E23" s="76">
        <f ca="1" t="shared" ref="E23:U23" si="19">ROUND(E8*E32/E40,3)</f>
        <v>0</v>
      </c>
      <c r="F23" s="76">
        <f ca="1" t="shared" si="19"/>
        <v>0.007</v>
      </c>
      <c r="G23" s="76">
        <f ca="1" t="shared" si="19"/>
        <v>0</v>
      </c>
      <c r="H23" s="76">
        <f ca="1" t="shared" si="19"/>
        <v>0.001</v>
      </c>
      <c r="I23" s="76">
        <f ca="1" t="shared" si="19"/>
        <v>0.001</v>
      </c>
      <c r="J23" s="76">
        <f ca="1" t="shared" si="19"/>
        <v>0.025</v>
      </c>
      <c r="K23" s="76">
        <f ca="1" t="shared" si="19"/>
        <v>0.137</v>
      </c>
      <c r="L23" s="76">
        <f ca="1" t="shared" si="19"/>
        <v>0.001</v>
      </c>
      <c r="M23" s="76">
        <f ca="1" t="shared" si="19"/>
        <v>0.002</v>
      </c>
      <c r="N23" s="76">
        <f ca="1" t="shared" si="19"/>
        <v>0.001</v>
      </c>
      <c r="O23" s="76">
        <f ca="1" t="shared" si="19"/>
        <v>0.002</v>
      </c>
      <c r="P23" s="76">
        <f ca="1" t="shared" si="19"/>
        <v>0</v>
      </c>
      <c r="Q23" s="76">
        <f ca="1" t="shared" si="19"/>
        <v>0.003</v>
      </c>
      <c r="R23" s="76">
        <f ca="1" t="shared" si="19"/>
        <v>0</v>
      </c>
      <c r="S23" s="76">
        <f ca="1" t="shared" si="19"/>
        <v>0</v>
      </c>
      <c r="T23" s="76">
        <f ca="1" t="shared" si="19"/>
        <v>0</v>
      </c>
      <c r="U23" s="76">
        <f ca="1" t="shared" si="19"/>
        <v>0.001</v>
      </c>
      <c r="V23" s="76">
        <f ca="1" t="shared" si="15"/>
        <v>0</v>
      </c>
      <c r="W23" s="76">
        <f ca="1" t="shared" si="15"/>
        <v>0.047</v>
      </c>
      <c r="X23" s="76">
        <f ca="1" t="shared" si="15"/>
        <v>0.162</v>
      </c>
      <c r="Y23" s="76">
        <f ca="1" t="shared" si="15"/>
        <v>0.042</v>
      </c>
      <c r="Z23" s="76">
        <f ca="1" t="shared" si="15"/>
        <v>0</v>
      </c>
      <c r="AA23" s="76">
        <f ca="1" t="shared" si="15"/>
        <v>0.004</v>
      </c>
      <c r="AB23" s="76">
        <f ca="1" t="shared" si="15"/>
        <v>0</v>
      </c>
      <c r="AC23" s="76">
        <f ca="1" t="shared" si="15"/>
        <v>0.053</v>
      </c>
      <c r="AD23" s="76">
        <f ca="1" t="shared" si="15"/>
        <v>0.07</v>
      </c>
      <c r="AE23" s="76">
        <f ca="1" t="shared" si="15"/>
        <v>0</v>
      </c>
      <c r="AF23" s="76">
        <f ca="1" t="shared" si="15"/>
        <v>0.001</v>
      </c>
      <c r="AG23" s="76">
        <f ca="1" t="shared" si="15"/>
        <v>0.001</v>
      </c>
      <c r="AH23" s="76">
        <f ca="1" t="shared" si="15"/>
        <v>0</v>
      </c>
      <c r="AI23" s="76">
        <f ca="1" t="shared" si="15"/>
        <v>0.007</v>
      </c>
      <c r="AJ23" s="76">
        <f ca="1" t="shared" si="15"/>
        <v>0.002</v>
      </c>
      <c r="AK23" s="76">
        <f ca="1" t="shared" si="15"/>
        <v>0.003</v>
      </c>
      <c r="AL23" s="76">
        <f ca="1" t="shared" si="15"/>
        <v>0.002</v>
      </c>
      <c r="AM23" s="76">
        <f ca="1" t="shared" si="15"/>
        <v>0</v>
      </c>
      <c r="AN23" s="76">
        <f ca="1" t="shared" si="15"/>
        <v>0</v>
      </c>
      <c r="AO23" s="76">
        <f ca="1" t="shared" si="15"/>
        <v>0</v>
      </c>
      <c r="AP23" s="76">
        <f ca="1" t="shared" si="15"/>
        <v>0</v>
      </c>
      <c r="AQ23" s="76">
        <f ca="1" t="shared" si="15"/>
        <v>0</v>
      </c>
      <c r="AR23" s="76">
        <f ca="1" t="shared" si="15"/>
        <v>0</v>
      </c>
      <c r="AS23" s="76">
        <f ca="1" t="shared" si="15"/>
        <v>0</v>
      </c>
      <c r="AT23" s="76">
        <f ca="1" t="shared" si="15"/>
        <v>0</v>
      </c>
      <c r="AU23" s="76">
        <f ca="1" t="shared" si="15"/>
        <v>0</v>
      </c>
      <c r="AV23" s="76">
        <f ca="1" t="shared" si="15"/>
        <v>0</v>
      </c>
      <c r="AW23" s="76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6">
        <f ca="1" t="shared" si="15"/>
        <v>0.011</v>
      </c>
      <c r="E24" s="76">
        <f ca="1" t="shared" ref="E24:U24" si="20">ROUND(E9*E33/E41,3)</f>
        <v>0</v>
      </c>
      <c r="F24" s="76">
        <f ca="1" t="shared" si="20"/>
        <v>0.02</v>
      </c>
      <c r="G24" s="76">
        <f ca="1" t="shared" si="20"/>
        <v>0</v>
      </c>
      <c r="H24" s="76">
        <f ca="1" t="shared" si="20"/>
        <v>0</v>
      </c>
      <c r="I24" s="76">
        <f ca="1" t="shared" si="20"/>
        <v>0</v>
      </c>
      <c r="J24" s="76">
        <f ca="1" t="shared" si="20"/>
        <v>0</v>
      </c>
      <c r="K24" s="76">
        <f ca="1" t="shared" si="20"/>
        <v>0.082</v>
      </c>
      <c r="L24" s="76">
        <f ca="1" t="shared" si="20"/>
        <v>0</v>
      </c>
      <c r="M24" s="76">
        <f ca="1" t="shared" si="20"/>
        <v>0</v>
      </c>
      <c r="N24" s="76">
        <f ca="1" t="shared" si="20"/>
        <v>0</v>
      </c>
      <c r="O24" s="76">
        <f ca="1" t="shared" si="20"/>
        <v>0</v>
      </c>
      <c r="P24" s="76">
        <f ca="1" t="shared" si="20"/>
        <v>0</v>
      </c>
      <c r="Q24" s="76">
        <f ca="1" t="shared" si="20"/>
        <v>0</v>
      </c>
      <c r="R24" s="76">
        <f ca="1" t="shared" si="20"/>
        <v>0</v>
      </c>
      <c r="S24" s="76">
        <f ca="1" t="shared" si="20"/>
        <v>0.011</v>
      </c>
      <c r="T24" s="76">
        <f ca="1" t="shared" si="20"/>
        <v>0</v>
      </c>
      <c r="U24" s="76">
        <f ca="1" t="shared" si="20"/>
        <v>0</v>
      </c>
      <c r="V24" s="76">
        <f ca="1" t="shared" si="15"/>
        <v>0</v>
      </c>
      <c r="W24" s="76">
        <f ca="1" t="shared" si="15"/>
        <v>0.038</v>
      </c>
      <c r="X24" s="76">
        <f ca="1" t="shared" si="15"/>
        <v>0.001</v>
      </c>
      <c r="Y24" s="76">
        <f ca="1" t="shared" si="15"/>
        <v>0.001</v>
      </c>
      <c r="Z24" s="76">
        <f ca="1" t="shared" si="15"/>
        <v>0</v>
      </c>
      <c r="AA24" s="76">
        <f ca="1" t="shared" si="15"/>
        <v>0</v>
      </c>
      <c r="AB24" s="76">
        <f ca="1" t="shared" si="15"/>
        <v>0.106</v>
      </c>
      <c r="AC24" s="76">
        <f ca="1" t="shared" si="15"/>
        <v>0</v>
      </c>
      <c r="AD24" s="76">
        <f ca="1" t="shared" si="15"/>
        <v>0</v>
      </c>
      <c r="AE24" s="76">
        <f ca="1" t="shared" si="15"/>
        <v>0</v>
      </c>
      <c r="AF24" s="76">
        <f ca="1" t="shared" si="15"/>
        <v>0</v>
      </c>
      <c r="AG24" s="76">
        <f ca="1" t="shared" si="15"/>
        <v>0</v>
      </c>
      <c r="AH24" s="76">
        <f ca="1" t="shared" si="15"/>
        <v>0</v>
      </c>
      <c r="AI24" s="76">
        <f ca="1" t="shared" si="15"/>
        <v>0.04</v>
      </c>
      <c r="AJ24" s="76">
        <f ca="1" t="shared" si="15"/>
        <v>0</v>
      </c>
      <c r="AK24" s="76">
        <f ca="1" t="shared" si="15"/>
        <v>0</v>
      </c>
      <c r="AL24" s="76">
        <f ca="1" t="shared" si="15"/>
        <v>0</v>
      </c>
      <c r="AM24" s="76">
        <f ca="1" t="shared" si="15"/>
        <v>0</v>
      </c>
      <c r="AN24" s="76">
        <f ca="1" t="shared" si="15"/>
        <v>0</v>
      </c>
      <c r="AO24" s="76">
        <f ca="1" t="shared" si="15"/>
        <v>0</v>
      </c>
      <c r="AP24" s="76">
        <f ca="1" t="shared" si="15"/>
        <v>0</v>
      </c>
      <c r="AQ24" s="76">
        <f ca="1" t="shared" si="15"/>
        <v>0</v>
      </c>
      <c r="AR24" s="76">
        <f ca="1" t="shared" si="15"/>
        <v>0</v>
      </c>
      <c r="AS24" s="76">
        <f ca="1" t="shared" si="15"/>
        <v>0</v>
      </c>
      <c r="AT24" s="76">
        <f ca="1" t="shared" si="15"/>
        <v>0</v>
      </c>
      <c r="AU24" s="76">
        <f ca="1" t="shared" si="15"/>
        <v>0</v>
      </c>
      <c r="AV24" s="76">
        <f ca="1" t="shared" si="15"/>
        <v>0</v>
      </c>
      <c r="AW24" s="76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6">
        <f ca="1" t="shared" si="15"/>
        <v>0.021</v>
      </c>
      <c r="E25" s="76">
        <f ca="1" t="shared" ref="E25:U25" si="21">ROUND(E10*E34/E42,3)</f>
        <v>0</v>
      </c>
      <c r="F25" s="76">
        <f ca="1" t="shared" si="21"/>
        <v>0.003</v>
      </c>
      <c r="G25" s="76">
        <f ca="1" t="shared" si="21"/>
        <v>0</v>
      </c>
      <c r="H25" s="76">
        <f ca="1" t="shared" si="21"/>
        <v>0</v>
      </c>
      <c r="I25" s="76">
        <f ca="1" t="shared" si="21"/>
        <v>0.002</v>
      </c>
      <c r="J25" s="76">
        <f ca="1" t="shared" si="21"/>
        <v>0.044</v>
      </c>
      <c r="K25" s="76">
        <f ca="1" t="shared" si="21"/>
        <v>0.863</v>
      </c>
      <c r="L25" s="76">
        <f ca="1" t="shared" si="21"/>
        <v>0.001</v>
      </c>
      <c r="M25" s="76">
        <f ca="1" t="shared" si="21"/>
        <v>0.006</v>
      </c>
      <c r="N25" s="76">
        <f ca="1" t="shared" si="21"/>
        <v>0.004</v>
      </c>
      <c r="O25" s="76">
        <f ca="1" t="shared" si="21"/>
        <v>0.005</v>
      </c>
      <c r="P25" s="76">
        <f ca="1" t="shared" si="21"/>
        <v>0</v>
      </c>
      <c r="Q25" s="76">
        <f ca="1" t="shared" si="21"/>
        <v>0.007</v>
      </c>
      <c r="R25" s="76">
        <f ca="1" t="shared" si="21"/>
        <v>0</v>
      </c>
      <c r="S25" s="76">
        <f ca="1" t="shared" si="21"/>
        <v>0.129</v>
      </c>
      <c r="T25" s="76">
        <f ca="1" t="shared" si="21"/>
        <v>0</v>
      </c>
      <c r="U25" s="76">
        <f ca="1" t="shared" si="21"/>
        <v>0.022</v>
      </c>
      <c r="V25" s="76">
        <f ca="1" t="shared" si="15"/>
        <v>0</v>
      </c>
      <c r="W25" s="76">
        <f ca="1" t="shared" si="15"/>
        <v>0.085</v>
      </c>
      <c r="X25" s="76">
        <f ca="1" t="shared" si="15"/>
        <v>0.155</v>
      </c>
      <c r="Y25" s="76">
        <f ca="1" t="shared" si="15"/>
        <v>0</v>
      </c>
      <c r="Z25" s="76">
        <f ca="1" t="shared" si="15"/>
        <v>0.001</v>
      </c>
      <c r="AA25" s="76">
        <f ca="1" t="shared" si="15"/>
        <v>0.001</v>
      </c>
      <c r="AB25" s="76">
        <f ca="1" t="shared" si="15"/>
        <v>0.045</v>
      </c>
      <c r="AC25" s="76">
        <f ca="1" t="shared" si="15"/>
        <v>0</v>
      </c>
      <c r="AD25" s="76">
        <f ca="1" t="shared" si="15"/>
        <v>0</v>
      </c>
      <c r="AE25" s="76">
        <f ca="1" t="shared" si="15"/>
        <v>0</v>
      </c>
      <c r="AF25" s="76">
        <f ca="1" t="shared" si="15"/>
        <v>0.005</v>
      </c>
      <c r="AG25" s="76">
        <f ca="1" t="shared" si="15"/>
        <v>0.003</v>
      </c>
      <c r="AH25" s="76">
        <f ca="1" t="shared" si="15"/>
        <v>0</v>
      </c>
      <c r="AI25" s="76">
        <f ca="1" t="shared" si="15"/>
        <v>0.002</v>
      </c>
      <c r="AJ25" s="76">
        <f ca="1" t="shared" si="15"/>
        <v>0</v>
      </c>
      <c r="AK25" s="76">
        <f ca="1" t="shared" si="15"/>
        <v>0</v>
      </c>
      <c r="AL25" s="76">
        <f ca="1" t="shared" si="15"/>
        <v>0.002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4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4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4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4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4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4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4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35</v>
      </c>
      <c r="E36" s="76">
        <v>35</v>
      </c>
      <c r="F36" s="76">
        <v>35</v>
      </c>
      <c r="G36" s="76">
        <v>35</v>
      </c>
      <c r="H36" s="76">
        <v>35</v>
      </c>
      <c r="I36" s="76">
        <v>35</v>
      </c>
      <c r="J36" s="76">
        <v>35</v>
      </c>
      <c r="K36" s="76">
        <v>35</v>
      </c>
      <c r="L36" s="76">
        <v>35</v>
      </c>
      <c r="M36" s="76">
        <v>35</v>
      </c>
      <c r="N36" s="76">
        <v>35</v>
      </c>
      <c r="O36" s="76">
        <v>35</v>
      </c>
      <c r="P36" s="76">
        <v>35</v>
      </c>
      <c r="Q36" s="76">
        <v>35</v>
      </c>
      <c r="R36" s="76">
        <v>35</v>
      </c>
      <c r="S36" s="76">
        <v>35</v>
      </c>
      <c r="T36" s="76">
        <v>35</v>
      </c>
      <c r="U36" s="76">
        <v>35</v>
      </c>
      <c r="V36" s="76">
        <v>35</v>
      </c>
      <c r="W36" s="76">
        <v>35</v>
      </c>
      <c r="X36" s="76">
        <v>35</v>
      </c>
      <c r="Y36" s="76">
        <v>35</v>
      </c>
      <c r="Z36" s="76">
        <v>35</v>
      </c>
      <c r="AA36" s="76">
        <v>35</v>
      </c>
      <c r="AB36" s="76">
        <v>35</v>
      </c>
      <c r="AC36" s="76">
        <v>35</v>
      </c>
      <c r="AD36" s="76">
        <v>35</v>
      </c>
      <c r="AE36" s="76">
        <v>35</v>
      </c>
      <c r="AF36" s="76">
        <v>35</v>
      </c>
      <c r="AG36" s="76">
        <v>35</v>
      </c>
      <c r="AH36" s="76">
        <v>35</v>
      </c>
      <c r="AI36" s="76">
        <v>35</v>
      </c>
      <c r="AJ36" s="76">
        <v>35</v>
      </c>
      <c r="AK36" s="76">
        <v>35</v>
      </c>
      <c r="AL36" s="76">
        <v>20</v>
      </c>
      <c r="AM36" s="76">
        <v>35</v>
      </c>
      <c r="AN36" s="76">
        <v>35</v>
      </c>
      <c r="AO36" s="76">
        <v>35</v>
      </c>
      <c r="AP36" s="76">
        <v>35</v>
      </c>
      <c r="AQ36" s="76">
        <v>35</v>
      </c>
      <c r="AR36" s="76">
        <v>35</v>
      </c>
      <c r="AS36" s="76">
        <v>35</v>
      </c>
      <c r="AT36" s="76">
        <v>35</v>
      </c>
      <c r="AU36" s="76">
        <v>35</v>
      </c>
      <c r="AV36" s="76">
        <v>35</v>
      </c>
      <c r="AW36" s="76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6">
        <v>35</v>
      </c>
      <c r="E37" s="76">
        <v>35</v>
      </c>
      <c r="F37" s="76">
        <v>35</v>
      </c>
      <c r="G37" s="76">
        <v>35</v>
      </c>
      <c r="H37" s="76">
        <v>35</v>
      </c>
      <c r="I37" s="76">
        <v>35</v>
      </c>
      <c r="J37" s="76">
        <v>35</v>
      </c>
      <c r="K37" s="76">
        <v>35</v>
      </c>
      <c r="L37" s="76">
        <v>35</v>
      </c>
      <c r="M37" s="76">
        <v>35</v>
      </c>
      <c r="N37" s="76">
        <v>35</v>
      </c>
      <c r="O37" s="76">
        <v>35</v>
      </c>
      <c r="P37" s="76">
        <v>35</v>
      </c>
      <c r="Q37" s="76">
        <v>35</v>
      </c>
      <c r="R37" s="76">
        <v>35</v>
      </c>
      <c r="S37" s="76">
        <v>35</v>
      </c>
      <c r="T37" s="76">
        <v>35</v>
      </c>
      <c r="U37" s="76">
        <v>35</v>
      </c>
      <c r="V37" s="76">
        <v>35</v>
      </c>
      <c r="W37" s="76">
        <v>35</v>
      </c>
      <c r="X37" s="76">
        <v>35</v>
      </c>
      <c r="Y37" s="76">
        <v>35</v>
      </c>
      <c r="Z37" s="76">
        <v>35</v>
      </c>
      <c r="AA37" s="76">
        <v>35</v>
      </c>
      <c r="AB37" s="76">
        <v>35</v>
      </c>
      <c r="AC37" s="76">
        <v>35</v>
      </c>
      <c r="AD37" s="76">
        <v>35</v>
      </c>
      <c r="AE37" s="76">
        <v>35</v>
      </c>
      <c r="AF37" s="76">
        <v>35</v>
      </c>
      <c r="AG37" s="76">
        <v>35</v>
      </c>
      <c r="AH37" s="76">
        <v>35</v>
      </c>
      <c r="AI37" s="76">
        <v>35</v>
      </c>
      <c r="AJ37" s="76">
        <v>35</v>
      </c>
      <c r="AK37" s="76">
        <v>35</v>
      </c>
      <c r="AL37" s="76">
        <v>20</v>
      </c>
      <c r="AM37" s="76">
        <v>35</v>
      </c>
      <c r="AN37" s="76">
        <v>35</v>
      </c>
      <c r="AO37" s="76">
        <v>35</v>
      </c>
      <c r="AP37" s="76">
        <v>35</v>
      </c>
      <c r="AQ37" s="76">
        <v>35</v>
      </c>
      <c r="AR37" s="76">
        <v>35</v>
      </c>
      <c r="AS37" s="76">
        <v>35</v>
      </c>
      <c r="AT37" s="76">
        <v>35</v>
      </c>
      <c r="AU37" s="76">
        <v>35</v>
      </c>
      <c r="AV37" s="76">
        <v>35</v>
      </c>
      <c r="AW37" s="76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6">
        <v>35</v>
      </c>
      <c r="E38" s="76">
        <v>35</v>
      </c>
      <c r="F38" s="76">
        <v>35</v>
      </c>
      <c r="G38" s="76">
        <v>35</v>
      </c>
      <c r="H38" s="76">
        <v>35</v>
      </c>
      <c r="I38" s="76">
        <v>35</v>
      </c>
      <c r="J38" s="76">
        <v>35</v>
      </c>
      <c r="K38" s="76">
        <v>35</v>
      </c>
      <c r="L38" s="76">
        <v>35</v>
      </c>
      <c r="M38" s="76">
        <v>35</v>
      </c>
      <c r="N38" s="76">
        <v>35</v>
      </c>
      <c r="O38" s="76">
        <v>35</v>
      </c>
      <c r="P38" s="76">
        <v>35</v>
      </c>
      <c r="Q38" s="76">
        <v>35</v>
      </c>
      <c r="R38" s="76">
        <v>35</v>
      </c>
      <c r="S38" s="76">
        <v>35</v>
      </c>
      <c r="T38" s="76">
        <v>35</v>
      </c>
      <c r="U38" s="76">
        <v>35</v>
      </c>
      <c r="V38" s="76">
        <v>35</v>
      </c>
      <c r="W38" s="76">
        <v>35</v>
      </c>
      <c r="X38" s="76">
        <v>35</v>
      </c>
      <c r="Y38" s="76">
        <v>35</v>
      </c>
      <c r="Z38" s="76">
        <v>35</v>
      </c>
      <c r="AA38" s="76">
        <v>35</v>
      </c>
      <c r="AB38" s="76">
        <v>35</v>
      </c>
      <c r="AC38" s="76">
        <v>35</v>
      </c>
      <c r="AD38" s="76">
        <v>35</v>
      </c>
      <c r="AE38" s="76">
        <v>35</v>
      </c>
      <c r="AF38" s="76">
        <v>35</v>
      </c>
      <c r="AG38" s="76">
        <v>35</v>
      </c>
      <c r="AH38" s="76">
        <v>35</v>
      </c>
      <c r="AI38" s="76">
        <v>35</v>
      </c>
      <c r="AJ38" s="76">
        <v>35</v>
      </c>
      <c r="AK38" s="76">
        <v>35</v>
      </c>
      <c r="AL38" s="76">
        <v>20</v>
      </c>
      <c r="AM38" s="76">
        <v>35</v>
      </c>
      <c r="AN38" s="76">
        <v>35</v>
      </c>
      <c r="AO38" s="76">
        <v>35</v>
      </c>
      <c r="AP38" s="76">
        <v>35</v>
      </c>
      <c r="AQ38" s="76">
        <v>35</v>
      </c>
      <c r="AR38" s="76">
        <v>35</v>
      </c>
      <c r="AS38" s="76">
        <v>35</v>
      </c>
      <c r="AT38" s="76">
        <v>35</v>
      </c>
      <c r="AU38" s="76">
        <v>35</v>
      </c>
      <c r="AV38" s="76">
        <v>35</v>
      </c>
      <c r="AW38" s="76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6">
        <v>35</v>
      </c>
      <c r="E39" s="76">
        <v>35</v>
      </c>
      <c r="F39" s="76">
        <v>35</v>
      </c>
      <c r="G39" s="76">
        <v>35</v>
      </c>
      <c r="H39" s="76">
        <v>35</v>
      </c>
      <c r="I39" s="76">
        <v>35</v>
      </c>
      <c r="J39" s="76">
        <v>35</v>
      </c>
      <c r="K39" s="76">
        <v>35</v>
      </c>
      <c r="L39" s="76">
        <v>35</v>
      </c>
      <c r="M39" s="76">
        <v>35</v>
      </c>
      <c r="N39" s="76">
        <v>35</v>
      </c>
      <c r="O39" s="76">
        <v>35</v>
      </c>
      <c r="P39" s="76">
        <v>35</v>
      </c>
      <c r="Q39" s="76">
        <v>35</v>
      </c>
      <c r="R39" s="76">
        <v>35</v>
      </c>
      <c r="S39" s="76">
        <v>35</v>
      </c>
      <c r="T39" s="76">
        <v>35</v>
      </c>
      <c r="U39" s="76">
        <v>35</v>
      </c>
      <c r="V39" s="76">
        <v>35</v>
      </c>
      <c r="W39" s="76">
        <v>35</v>
      </c>
      <c r="X39" s="76">
        <v>35</v>
      </c>
      <c r="Y39" s="76">
        <v>35</v>
      </c>
      <c r="Z39" s="76">
        <v>35</v>
      </c>
      <c r="AA39" s="76">
        <v>35</v>
      </c>
      <c r="AB39" s="76">
        <v>35</v>
      </c>
      <c r="AC39" s="76">
        <v>35</v>
      </c>
      <c r="AD39" s="76">
        <v>35</v>
      </c>
      <c r="AE39" s="76">
        <v>35</v>
      </c>
      <c r="AF39" s="76">
        <v>35</v>
      </c>
      <c r="AG39" s="76">
        <v>35</v>
      </c>
      <c r="AH39" s="76">
        <v>35</v>
      </c>
      <c r="AI39" s="76">
        <v>35</v>
      </c>
      <c r="AJ39" s="76">
        <v>35</v>
      </c>
      <c r="AK39" s="76">
        <v>35</v>
      </c>
      <c r="AL39" s="76">
        <v>20</v>
      </c>
      <c r="AM39" s="76">
        <v>35</v>
      </c>
      <c r="AN39" s="76">
        <v>35</v>
      </c>
      <c r="AO39" s="76">
        <v>35</v>
      </c>
      <c r="AP39" s="76">
        <v>35</v>
      </c>
      <c r="AQ39" s="76">
        <v>35</v>
      </c>
      <c r="AR39" s="76">
        <v>35</v>
      </c>
      <c r="AS39" s="76">
        <v>35</v>
      </c>
      <c r="AT39" s="76">
        <v>35</v>
      </c>
      <c r="AU39" s="76">
        <v>35</v>
      </c>
      <c r="AV39" s="76">
        <v>35</v>
      </c>
      <c r="AW39" s="76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6">
        <v>35</v>
      </c>
      <c r="E40" s="76">
        <v>35</v>
      </c>
      <c r="F40" s="76">
        <v>35</v>
      </c>
      <c r="G40" s="76">
        <v>35</v>
      </c>
      <c r="H40" s="76">
        <v>35</v>
      </c>
      <c r="I40" s="76">
        <v>35</v>
      </c>
      <c r="J40" s="76">
        <v>35</v>
      </c>
      <c r="K40" s="76">
        <v>35</v>
      </c>
      <c r="L40" s="76">
        <v>35</v>
      </c>
      <c r="M40" s="76">
        <v>35</v>
      </c>
      <c r="N40" s="76">
        <v>35</v>
      </c>
      <c r="O40" s="76">
        <v>35</v>
      </c>
      <c r="P40" s="76">
        <v>35</v>
      </c>
      <c r="Q40" s="76">
        <v>35</v>
      </c>
      <c r="R40" s="76">
        <v>35</v>
      </c>
      <c r="S40" s="76">
        <v>35</v>
      </c>
      <c r="T40" s="76">
        <v>35</v>
      </c>
      <c r="U40" s="76">
        <v>35</v>
      </c>
      <c r="V40" s="76">
        <v>35</v>
      </c>
      <c r="W40" s="76">
        <v>35</v>
      </c>
      <c r="X40" s="76">
        <v>35</v>
      </c>
      <c r="Y40" s="76">
        <v>35</v>
      </c>
      <c r="Z40" s="76">
        <v>35</v>
      </c>
      <c r="AA40" s="76">
        <v>35</v>
      </c>
      <c r="AB40" s="76">
        <v>35</v>
      </c>
      <c r="AC40" s="76">
        <v>35</v>
      </c>
      <c r="AD40" s="76">
        <v>35</v>
      </c>
      <c r="AE40" s="76">
        <v>35</v>
      </c>
      <c r="AF40" s="76">
        <v>35</v>
      </c>
      <c r="AG40" s="76">
        <v>35</v>
      </c>
      <c r="AH40" s="76">
        <v>35</v>
      </c>
      <c r="AI40" s="76">
        <v>35</v>
      </c>
      <c r="AJ40" s="76">
        <v>35</v>
      </c>
      <c r="AK40" s="76">
        <v>35</v>
      </c>
      <c r="AL40" s="76">
        <v>20</v>
      </c>
      <c r="AM40" s="76">
        <v>35</v>
      </c>
      <c r="AN40" s="76">
        <v>35</v>
      </c>
      <c r="AO40" s="76">
        <v>35</v>
      </c>
      <c r="AP40" s="76">
        <v>35</v>
      </c>
      <c r="AQ40" s="76">
        <v>35</v>
      </c>
      <c r="AR40" s="76">
        <v>35</v>
      </c>
      <c r="AS40" s="76">
        <v>35</v>
      </c>
      <c r="AT40" s="76">
        <v>35</v>
      </c>
      <c r="AU40" s="76">
        <v>35</v>
      </c>
      <c r="AV40" s="76">
        <v>35</v>
      </c>
      <c r="AW40" s="76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6">
        <v>35</v>
      </c>
      <c r="E41" s="76">
        <v>35</v>
      </c>
      <c r="F41" s="76">
        <v>35</v>
      </c>
      <c r="G41" s="76">
        <v>35</v>
      </c>
      <c r="H41" s="76">
        <v>35</v>
      </c>
      <c r="I41" s="76">
        <v>35</v>
      </c>
      <c r="J41" s="76">
        <v>35</v>
      </c>
      <c r="K41" s="76">
        <v>35</v>
      </c>
      <c r="L41" s="76">
        <v>35</v>
      </c>
      <c r="M41" s="76">
        <v>35</v>
      </c>
      <c r="N41" s="76">
        <v>35</v>
      </c>
      <c r="O41" s="76">
        <v>35</v>
      </c>
      <c r="P41" s="76">
        <v>35</v>
      </c>
      <c r="Q41" s="76">
        <v>35</v>
      </c>
      <c r="R41" s="76">
        <v>35</v>
      </c>
      <c r="S41" s="76">
        <v>35</v>
      </c>
      <c r="T41" s="76">
        <v>35</v>
      </c>
      <c r="U41" s="76">
        <v>35</v>
      </c>
      <c r="V41" s="76">
        <v>35</v>
      </c>
      <c r="W41" s="76">
        <v>35</v>
      </c>
      <c r="X41" s="76">
        <v>35</v>
      </c>
      <c r="Y41" s="76">
        <v>35</v>
      </c>
      <c r="Z41" s="76">
        <v>35</v>
      </c>
      <c r="AA41" s="76">
        <v>35</v>
      </c>
      <c r="AB41" s="76">
        <v>35</v>
      </c>
      <c r="AC41" s="76">
        <v>35</v>
      </c>
      <c r="AD41" s="76">
        <v>35</v>
      </c>
      <c r="AE41" s="76">
        <v>35</v>
      </c>
      <c r="AF41" s="76">
        <v>35</v>
      </c>
      <c r="AG41" s="76">
        <v>35</v>
      </c>
      <c r="AH41" s="76">
        <v>35</v>
      </c>
      <c r="AI41" s="76">
        <v>35</v>
      </c>
      <c r="AJ41" s="76">
        <v>35</v>
      </c>
      <c r="AK41" s="76">
        <v>35</v>
      </c>
      <c r="AL41" s="76">
        <v>20</v>
      </c>
      <c r="AM41" s="76">
        <v>35</v>
      </c>
      <c r="AN41" s="76">
        <v>35</v>
      </c>
      <c r="AO41" s="76">
        <v>35</v>
      </c>
      <c r="AP41" s="76">
        <v>35</v>
      </c>
      <c r="AQ41" s="76">
        <v>35</v>
      </c>
      <c r="AR41" s="76">
        <v>35</v>
      </c>
      <c r="AS41" s="76">
        <v>35</v>
      </c>
      <c r="AT41" s="76">
        <v>35</v>
      </c>
      <c r="AU41" s="76">
        <v>35</v>
      </c>
      <c r="AV41" s="76">
        <v>35</v>
      </c>
      <c r="AW41" s="76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6">
        <v>35</v>
      </c>
      <c r="E42" s="76">
        <v>35</v>
      </c>
      <c r="F42" s="76">
        <v>35</v>
      </c>
      <c r="G42" s="76">
        <v>35</v>
      </c>
      <c r="H42" s="76">
        <v>35</v>
      </c>
      <c r="I42" s="76">
        <v>35</v>
      </c>
      <c r="J42" s="76">
        <v>35</v>
      </c>
      <c r="K42" s="76">
        <v>35</v>
      </c>
      <c r="L42" s="76">
        <v>35</v>
      </c>
      <c r="M42" s="76">
        <v>35</v>
      </c>
      <c r="N42" s="76">
        <v>35</v>
      </c>
      <c r="O42" s="76">
        <v>35</v>
      </c>
      <c r="P42" s="76">
        <v>35</v>
      </c>
      <c r="Q42" s="76">
        <v>35</v>
      </c>
      <c r="R42" s="76">
        <v>35</v>
      </c>
      <c r="S42" s="76">
        <v>35</v>
      </c>
      <c r="T42" s="76">
        <v>35</v>
      </c>
      <c r="U42" s="76">
        <v>35</v>
      </c>
      <c r="V42" s="76">
        <v>35</v>
      </c>
      <c r="W42" s="76">
        <v>35</v>
      </c>
      <c r="X42" s="76">
        <v>35</v>
      </c>
      <c r="Y42" s="76">
        <v>35</v>
      </c>
      <c r="Z42" s="76">
        <v>35</v>
      </c>
      <c r="AA42" s="76">
        <v>35</v>
      </c>
      <c r="AB42" s="76">
        <v>35</v>
      </c>
      <c r="AC42" s="76">
        <v>35</v>
      </c>
      <c r="AD42" s="76">
        <v>35</v>
      </c>
      <c r="AE42" s="76">
        <v>35</v>
      </c>
      <c r="AF42" s="76">
        <v>35</v>
      </c>
      <c r="AG42" s="76">
        <v>35</v>
      </c>
      <c r="AH42" s="76">
        <v>35</v>
      </c>
      <c r="AI42" s="76">
        <v>35</v>
      </c>
      <c r="AJ42" s="76">
        <v>35</v>
      </c>
      <c r="AK42" s="76">
        <v>35</v>
      </c>
      <c r="AL42" s="76">
        <v>20</v>
      </c>
      <c r="AM42" s="76">
        <v>35</v>
      </c>
      <c r="AN42" s="76">
        <v>35</v>
      </c>
      <c r="AO42" s="76">
        <v>35</v>
      </c>
      <c r="AP42" s="76">
        <v>35</v>
      </c>
      <c r="AQ42" s="76">
        <v>35</v>
      </c>
      <c r="AR42" s="76">
        <v>35</v>
      </c>
      <c r="AS42" s="76">
        <v>35</v>
      </c>
      <c r="AT42" s="76">
        <v>35</v>
      </c>
      <c r="AU42" s="76">
        <v>35</v>
      </c>
      <c r="AV42" s="76">
        <v>35</v>
      </c>
      <c r="AW42" s="76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topLeftCell="AB1" workbookViewId="0">
      <selection activeCell="D46" sqref="D4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6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103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103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103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103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0.0240164074054708</v>
      </c>
      <c r="E11" s="100">
        <f ca="1" t="shared" ref="E11:U11" si="5">SUM(E$4:E$10)/SUM($D$4:$AJ$10)</f>
        <v>0.0198500020302381</v>
      </c>
      <c r="F11" s="100">
        <f ca="1" t="shared" si="5"/>
        <v>0.018927281777979</v>
      </c>
      <c r="G11" s="100">
        <f ca="1" t="shared" si="5"/>
        <v>0.00392821260595926</v>
      </c>
      <c r="H11" s="100">
        <f ca="1" t="shared" si="5"/>
        <v>0.00222527897123044</v>
      </c>
      <c r="I11" s="100">
        <f ca="1" t="shared" si="5"/>
        <v>0.00891549628746752</v>
      </c>
      <c r="J11" s="100">
        <f ca="1" t="shared" si="5"/>
        <v>0.0293480475041086</v>
      </c>
      <c r="K11" s="100">
        <f ca="1" t="shared" si="5"/>
        <v>0.110488852830684</v>
      </c>
      <c r="L11" s="100">
        <f ca="1" t="shared" si="5"/>
        <v>0.00208556928748616</v>
      </c>
      <c r="M11" s="100">
        <f ca="1" t="shared" si="5"/>
        <v>0.00437249657150904</v>
      </c>
      <c r="N11" s="100">
        <f ca="1" t="shared" si="5"/>
        <v>0.0197538103562179</v>
      </c>
      <c r="O11" s="100">
        <f ca="1" t="shared" si="5"/>
        <v>0.0223937698726992</v>
      </c>
      <c r="P11" s="100">
        <f ca="1" t="shared" si="5"/>
        <v>0.00224094256452016</v>
      </c>
      <c r="Q11" s="100">
        <f ca="1" t="shared" si="5"/>
        <v>0.00763433541015999</v>
      </c>
      <c r="R11" s="100">
        <f ca="1" t="shared" si="5"/>
        <v>0.000128465375814876</v>
      </c>
      <c r="S11" s="100">
        <f ca="1" t="shared" si="5"/>
        <v>0.0531506055653644</v>
      </c>
      <c r="T11" s="100">
        <f ca="1" t="shared" si="5"/>
        <v>0.00184669970687389</v>
      </c>
      <c r="U11" s="100">
        <f ca="1" t="shared" si="5"/>
        <v>0.0159159154171128</v>
      </c>
      <c r="V11" s="100">
        <f ca="1" t="shared" ref="V11:AW11" si="6">SUM(V$4:V$10)/SUM($D$4:$AJ$10)</f>
        <v>0.033649626067056</v>
      </c>
      <c r="W11" s="100">
        <f ca="1" t="shared" si="6"/>
        <v>0.0307348556746464</v>
      </c>
      <c r="X11" s="100">
        <f ca="1" t="shared" si="6"/>
        <v>0.066091447884592</v>
      </c>
      <c r="Y11" s="100">
        <f ca="1" t="shared" si="6"/>
        <v>0.322352068209108</v>
      </c>
      <c r="Z11" s="100">
        <f ca="1" t="shared" si="6"/>
        <v>0.00151590943391866</v>
      </c>
      <c r="AA11" s="100">
        <f ca="1" t="shared" si="6"/>
        <v>0.0137617464199465</v>
      </c>
      <c r="AB11" s="100">
        <f ca="1" t="shared" si="6"/>
        <v>0.0476991465597181</v>
      </c>
      <c r="AC11" s="100">
        <f ca="1" t="shared" si="6"/>
        <v>0.0390697051129765</v>
      </c>
      <c r="AD11" s="100">
        <f ca="1" t="shared" si="6"/>
        <v>0.0315982646364482</v>
      </c>
      <c r="AE11" s="100">
        <f ca="1" t="shared" si="6"/>
        <v>0.00699242744027093</v>
      </c>
      <c r="AF11" s="100">
        <f ca="1" t="shared" si="6"/>
        <v>0.0163884382657049</v>
      </c>
      <c r="AG11" s="100">
        <f ca="1" t="shared" si="6"/>
        <v>0.00588194695632461</v>
      </c>
      <c r="AH11" s="100">
        <f ca="1" t="shared" si="6"/>
        <v>0.001927512031717</v>
      </c>
      <c r="AI11" s="100">
        <f ca="1" t="shared" si="6"/>
        <v>0.0191078603882048</v>
      </c>
      <c r="AJ11" s="100">
        <f ca="1" t="shared" si="6"/>
        <v>0.0160068553784711</v>
      </c>
      <c r="AK11" s="100">
        <f ca="1" t="shared" si="6"/>
        <v>0.00739081271614672</v>
      </c>
      <c r="AL11" s="100">
        <f ca="1" t="shared" si="6"/>
        <v>0.00330206218835798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X11" s="103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0.0240691769441389</v>
      </c>
      <c r="E14" s="100">
        <f ca="1" t="shared" ref="E14:U14" si="9">E13/SUM($D$13:$AJ$13)</f>
        <v>0.019751468488919</v>
      </c>
      <c r="F14" s="100">
        <f ca="1" t="shared" si="9"/>
        <v>0.018768575507243</v>
      </c>
      <c r="G14" s="100">
        <f ca="1" t="shared" si="9"/>
        <v>0.00390816971285484</v>
      </c>
      <c r="H14" s="100">
        <f ca="1" t="shared" si="9"/>
        <v>0.0022466125295453</v>
      </c>
      <c r="I14" s="100">
        <f ca="1" t="shared" si="9"/>
        <v>0.00889284126278346</v>
      </c>
      <c r="J14" s="100">
        <f ca="1" t="shared" si="9"/>
        <v>0.0288549296763474</v>
      </c>
      <c r="K14" s="100">
        <f ca="1" t="shared" si="9"/>
        <v>0.109967002878472</v>
      </c>
      <c r="L14" s="100">
        <f ca="1" t="shared" si="9"/>
        <v>0.002094498139524</v>
      </c>
      <c r="M14" s="100">
        <f ca="1" t="shared" si="9"/>
        <v>0.00437621398984344</v>
      </c>
      <c r="N14" s="100">
        <f ca="1" t="shared" si="9"/>
        <v>0.0196461585265966</v>
      </c>
      <c r="O14" s="100">
        <f ca="1" t="shared" si="9"/>
        <v>0.0223140109054317</v>
      </c>
      <c r="P14" s="100">
        <f ca="1" t="shared" si="9"/>
        <v>0.00227001474339473</v>
      </c>
      <c r="Q14" s="100">
        <f ca="1" t="shared" si="9"/>
        <v>0.00776953499801081</v>
      </c>
      <c r="R14" s="100">
        <f ca="1" t="shared" si="9"/>
        <v>0.000128712176171866</v>
      </c>
      <c r="S14" s="100">
        <f ca="1" t="shared" si="9"/>
        <v>0.0526432800542931</v>
      </c>
      <c r="T14" s="100">
        <f ca="1" t="shared" si="9"/>
        <v>0.00183707378718027</v>
      </c>
      <c r="U14" s="100">
        <f ca="1" t="shared" si="9"/>
        <v>0.0161709297699562</v>
      </c>
      <c r="V14" s="100">
        <f ca="1" t="shared" ref="V14:AJ14" si="10">V13/SUM($D$13:$AJ$13)</f>
        <v>0.0333949591631368</v>
      </c>
      <c r="W14" s="100">
        <f ca="1" t="shared" si="10"/>
        <v>0.0299197304064965</v>
      </c>
      <c r="X14" s="100">
        <f ca="1" t="shared" si="10"/>
        <v>0.065011350073717</v>
      </c>
      <c r="Y14" s="100">
        <f ca="1" t="shared" si="10"/>
        <v>0.316023495822705</v>
      </c>
      <c r="Z14" s="100">
        <f ca="1" t="shared" si="10"/>
        <v>0.00150944279328825</v>
      </c>
      <c r="AA14" s="100">
        <f ca="1" t="shared" si="10"/>
        <v>0.0143689593035501</v>
      </c>
      <c r="AB14" s="100">
        <f ca="1" t="shared" si="10"/>
        <v>0.0476820107182139</v>
      </c>
      <c r="AC14" s="100">
        <f ca="1" t="shared" si="10"/>
        <v>0.0387774683485058</v>
      </c>
      <c r="AD14" s="100">
        <f ca="1" t="shared" si="10"/>
        <v>0.0311015422058927</v>
      </c>
      <c r="AE14" s="100">
        <f ca="1" t="shared" si="10"/>
        <v>0.00696215862020547</v>
      </c>
      <c r="AF14" s="100">
        <f ca="1" t="shared" si="10"/>
        <v>0.0261051695490393</v>
      </c>
      <c r="AG14" s="100">
        <f ca="1" t="shared" ref="AG14" si="11">AG13/SUM($D$13:$AJ$13)</f>
        <v>0.00583885235543282</v>
      </c>
      <c r="AH14" s="100">
        <f ca="1" t="shared" si="10"/>
        <v>0.00191898153565327</v>
      </c>
      <c r="AI14" s="100">
        <f ca="1" t="shared" si="10"/>
        <v>0.0197631695958438</v>
      </c>
      <c r="AJ14" s="100">
        <f ca="1" t="shared" si="10"/>
        <v>0.0159135054176125</v>
      </c>
      <c r="AK14" s="100">
        <f ca="1" t="shared" ref="AK14:AW14" si="12">AK13/SUM($D$13:$AJ$13)</f>
        <v>0.00796845381573097</v>
      </c>
      <c r="AL14" s="100">
        <f ca="1" t="shared" ref="AL14" si="13">AL13/SUM($D$13:$AJ$13)</f>
        <v>0.00896304790433175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0.0103687248610719</v>
      </c>
      <c r="E15" s="100">
        <f ca="1">E13/'non-road'!DC21</f>
        <v>0.00162439369878091</v>
      </c>
      <c r="F15" s="100">
        <f ca="1">F13/'non-road'!DD21</f>
        <v>0.063234998442779</v>
      </c>
      <c r="G15" s="100">
        <f ca="1">G13/'non-road'!DE21</f>
        <v>0.0376129514680312</v>
      </c>
      <c r="H15" s="100">
        <f ca="1">H13/'non-road'!DF21</f>
        <v>0.0318151539555184</v>
      </c>
      <c r="I15" s="100">
        <f ca="1">I13/'non-road'!DG21</f>
        <v>0.0258030336966231</v>
      </c>
      <c r="J15" s="100">
        <f ca="1">J13/'non-road'!DH21</f>
        <v>0.0116844349680171</v>
      </c>
      <c r="K15" s="100">
        <f ca="1">K13/'non-road'!DI21</f>
        <v>0.0067238073433878</v>
      </c>
      <c r="L15" s="100">
        <f ca="1">L13/'non-road'!DJ21</f>
        <v>0.0290884744638945</v>
      </c>
      <c r="M15" s="100">
        <f ca="1">M13/'non-road'!DK21</f>
        <v>0.0231922882540982</v>
      </c>
      <c r="N15" s="100">
        <f ca="1">N13/'non-road'!DL21</f>
        <v>0.0249669511322862</v>
      </c>
      <c r="O15" s="100">
        <f ca="1">O13/'non-road'!DM21</f>
        <v>0.0229501883431817</v>
      </c>
      <c r="P15" s="100">
        <f ca="1">P13/'non-road'!DN21</f>
        <v>0.0162749356762529</v>
      </c>
      <c r="Q15" s="100">
        <f ca="1">Q13/'non-road'!DO21</f>
        <v>0.018383930672647</v>
      </c>
      <c r="R15" s="100">
        <f ca="1">R13/'non-road'!DP21</f>
        <v>0.0305078446762424</v>
      </c>
      <c r="S15" s="100">
        <f ca="1">S13/'non-road'!DQ21</f>
        <v>0.00329254548381903</v>
      </c>
      <c r="T15" s="100">
        <f ca="1">T13/'non-road'!DR21</f>
        <v>0.0318178317667611</v>
      </c>
      <c r="U15" s="100">
        <f ca="1">U13/'non-road'!DS21</f>
        <v>0.0229441715180086</v>
      </c>
      <c r="V15" s="100">
        <f ca="1">V13/'non-road'!DT21</f>
        <v>0.0226032550588049</v>
      </c>
      <c r="W15" s="100">
        <f ca="1">W13/'non-road'!DU21</f>
        <v>0.00827986416089829</v>
      </c>
      <c r="X15" s="100">
        <f ca="1">X13/'non-road'!DV21</f>
        <v>0.0249620077433442</v>
      </c>
      <c r="Y15" s="100">
        <f ca="1">Y13/'non-road'!DW21</f>
        <v>0.0547275234782454</v>
      </c>
      <c r="Z15" s="100">
        <f ca="1">Z13/'non-road'!DX21</f>
        <v>0.0241216178312983</v>
      </c>
      <c r="AA15" s="100">
        <f ca="1">AA13/'non-road'!DY21</f>
        <v>0.0323451554700978</v>
      </c>
      <c r="AB15" s="100">
        <f ca="1">AB13/'non-road'!DZ21</f>
        <v>0.00301972101280718</v>
      </c>
      <c r="AC15" s="100">
        <f ca="1">AC13/'non-road'!EA21</f>
        <v>0.021544123359284</v>
      </c>
      <c r="AD15" s="100">
        <f ca="1">AD13/'non-road'!EB21</f>
        <v>0.0775639435633307</v>
      </c>
      <c r="AE15" s="100">
        <f ca="1">AE13/'non-road'!EC21</f>
        <v>0.0101608140946715</v>
      </c>
      <c r="AF15" s="100">
        <f ca="1">AF13/'non-road'!ED21</f>
        <v>0.0388541931528845</v>
      </c>
      <c r="AG15" s="100">
        <f ca="1">AG13/'non-road'!EE21</f>
        <v>0.0230858947958656</v>
      </c>
      <c r="AH15" s="100">
        <f ca="1">AH13/'non-road'!EF21</f>
        <v>0.0191247399501824</v>
      </c>
      <c r="AI15" s="100">
        <f ca="1">AI13/'non-road'!EG21</f>
        <v>0.0202446134225742</v>
      </c>
      <c r="AJ15" s="100">
        <f ca="1">AJ13/'non-road'!EH21</f>
        <v>0.0203482239441741</v>
      </c>
      <c r="AK15" s="100">
        <f ca="1">AK13/'non-road'!EI21</f>
        <v>0.0144741330663802</v>
      </c>
      <c r="AL15" s="100">
        <f ca="1">AL13/'non-road'!EJ21</f>
        <v>0.0484628912176384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6">
        <f ca="1">ROUND(D4*D28/D36,3)</f>
        <v>0</v>
      </c>
      <c r="E19" s="76">
        <f ca="1" t="shared" ref="E19:U19" si="19">ROUND(E4*E28/E36,3)</f>
        <v>0</v>
      </c>
      <c r="F19" s="76">
        <f ca="1" t="shared" si="19"/>
        <v>0</v>
      </c>
      <c r="G19" s="76">
        <f ca="1" t="shared" si="19"/>
        <v>0.02</v>
      </c>
      <c r="H19" s="76">
        <f ca="1" t="shared" si="19"/>
        <v>0.004</v>
      </c>
      <c r="I19" s="76">
        <f ca="1" t="shared" si="19"/>
        <v>0.042</v>
      </c>
      <c r="J19" s="76">
        <f ca="1" t="shared" si="19"/>
        <v>0.575</v>
      </c>
      <c r="K19" s="76">
        <f ca="1" t="shared" si="19"/>
        <v>0.032</v>
      </c>
      <c r="L19" s="76">
        <f ca="1" t="shared" si="19"/>
        <v>0.007</v>
      </c>
      <c r="M19" s="76">
        <f ca="1" t="shared" si="19"/>
        <v>0.019</v>
      </c>
      <c r="N19" s="76">
        <f ca="1" t="shared" si="19"/>
        <v>0.12</v>
      </c>
      <c r="O19" s="76">
        <f ca="1" t="shared" si="19"/>
        <v>0.09</v>
      </c>
      <c r="P19" s="76">
        <f ca="1" t="shared" si="19"/>
        <v>0.008</v>
      </c>
      <c r="Q19" s="76">
        <f ca="1" t="shared" si="19"/>
        <v>0.03</v>
      </c>
      <c r="R19" s="76">
        <f ca="1" t="shared" si="19"/>
        <v>0.001</v>
      </c>
      <c r="S19" s="76">
        <f ca="1" t="shared" si="19"/>
        <v>0.003</v>
      </c>
      <c r="T19" s="76">
        <f ca="1" t="shared" si="19"/>
        <v>0.008</v>
      </c>
      <c r="U19" s="76">
        <f ca="1" t="shared" si="19"/>
        <v>0.06</v>
      </c>
      <c r="V19" s="76">
        <f ca="1" t="shared" ref="V19:AW19" si="20">ROUND(V4*V28/V36,3)</f>
        <v>0.001</v>
      </c>
      <c r="W19" s="76">
        <f ca="1" t="shared" si="20"/>
        <v>0.066</v>
      </c>
      <c r="X19" s="76">
        <f ca="1" t="shared" si="20"/>
        <v>0</v>
      </c>
      <c r="Y19" s="76">
        <f ca="1" t="shared" si="20"/>
        <v>0.095</v>
      </c>
      <c r="Z19" s="76">
        <f ca="1" t="shared" si="20"/>
        <v>0.02</v>
      </c>
      <c r="AA19" s="76">
        <f ca="1" t="shared" si="20"/>
        <v>0.04</v>
      </c>
      <c r="AB19" s="76">
        <f ca="1" t="shared" si="20"/>
        <v>0.249</v>
      </c>
      <c r="AC19" s="76">
        <f ca="1" t="shared" si="20"/>
        <v>0</v>
      </c>
      <c r="AD19" s="76">
        <f ca="1" t="shared" si="20"/>
        <v>0</v>
      </c>
      <c r="AE19" s="76">
        <f ca="1" t="shared" si="20"/>
        <v>0</v>
      </c>
      <c r="AF19" s="76">
        <f ca="1" t="shared" si="20"/>
        <v>0.134</v>
      </c>
      <c r="AG19" s="76">
        <f ca="1" t="shared" si="20"/>
        <v>0.082</v>
      </c>
      <c r="AH19" s="76">
        <f ca="1" t="shared" si="20"/>
        <v>0.007</v>
      </c>
      <c r="AI19" s="76">
        <f ca="1" t="shared" si="20"/>
        <v>0.006</v>
      </c>
      <c r="AJ19" s="76">
        <f ca="1" t="shared" si="20"/>
        <v>0.06</v>
      </c>
      <c r="AK19" s="76">
        <f ca="1" t="shared" si="20"/>
        <v>0</v>
      </c>
      <c r="AL19" s="76">
        <f ca="1" t="shared" si="20"/>
        <v>0.015</v>
      </c>
      <c r="AM19" s="76">
        <f ca="1" t="shared" si="20"/>
        <v>0</v>
      </c>
      <c r="AN19" s="76">
        <f ca="1" t="shared" si="20"/>
        <v>0</v>
      </c>
      <c r="AO19" s="76">
        <f ca="1" t="shared" si="20"/>
        <v>0</v>
      </c>
      <c r="AP19" s="76">
        <f ca="1" t="shared" si="20"/>
        <v>0</v>
      </c>
      <c r="AQ19" s="76">
        <f ca="1" t="shared" si="20"/>
        <v>0</v>
      </c>
      <c r="AR19" s="76">
        <f ca="1" t="shared" si="20"/>
        <v>0</v>
      </c>
      <c r="AS19" s="76">
        <f ca="1" t="shared" si="20"/>
        <v>0</v>
      </c>
      <c r="AT19" s="76">
        <f ca="1" t="shared" si="20"/>
        <v>0</v>
      </c>
      <c r="AU19" s="76">
        <f ca="1" t="shared" si="20"/>
        <v>0</v>
      </c>
      <c r="AV19" s="76">
        <f ca="1" t="shared" si="20"/>
        <v>0</v>
      </c>
      <c r="AW19" s="76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6">
        <f ca="1" t="shared" ref="D20:AW25" si="21">ROUND(D5*D29/D37,3)</f>
        <v>0</v>
      </c>
      <c r="E20" s="76">
        <f ca="1" t="shared" ref="E20:U20" si="22">ROUND(E5*E29/E37,3)</f>
        <v>0</v>
      </c>
      <c r="F20" s="76">
        <f ca="1" t="shared" si="22"/>
        <v>0</v>
      </c>
      <c r="G20" s="76">
        <f ca="1" t="shared" si="22"/>
        <v>0</v>
      </c>
      <c r="H20" s="76">
        <f ca="1" t="shared" si="22"/>
        <v>0</v>
      </c>
      <c r="I20" s="76">
        <f ca="1" t="shared" si="22"/>
        <v>0</v>
      </c>
      <c r="J20" s="76">
        <f ca="1" t="shared" si="22"/>
        <v>0</v>
      </c>
      <c r="K20" s="76">
        <f ca="1" t="shared" si="22"/>
        <v>0</v>
      </c>
      <c r="L20" s="76">
        <f ca="1" t="shared" si="22"/>
        <v>0</v>
      </c>
      <c r="M20" s="76">
        <f ca="1" t="shared" si="22"/>
        <v>0</v>
      </c>
      <c r="N20" s="76">
        <f ca="1" t="shared" si="22"/>
        <v>0</v>
      </c>
      <c r="O20" s="76">
        <f ca="1" t="shared" si="22"/>
        <v>0</v>
      </c>
      <c r="P20" s="76">
        <f ca="1" t="shared" si="22"/>
        <v>0</v>
      </c>
      <c r="Q20" s="76">
        <f ca="1" t="shared" si="22"/>
        <v>0</v>
      </c>
      <c r="R20" s="76">
        <f ca="1" t="shared" si="22"/>
        <v>0</v>
      </c>
      <c r="S20" s="76">
        <f ca="1" t="shared" si="22"/>
        <v>0</v>
      </c>
      <c r="T20" s="76">
        <f ca="1" t="shared" si="22"/>
        <v>0</v>
      </c>
      <c r="U20" s="76">
        <f ca="1" t="shared" si="22"/>
        <v>0</v>
      </c>
      <c r="V20" s="76">
        <f ca="1" t="shared" si="21"/>
        <v>0</v>
      </c>
      <c r="W20" s="76">
        <f ca="1" t="shared" si="21"/>
        <v>0</v>
      </c>
      <c r="X20" s="76">
        <f ca="1" t="shared" si="21"/>
        <v>0</v>
      </c>
      <c r="Y20" s="76">
        <f ca="1" t="shared" si="21"/>
        <v>0</v>
      </c>
      <c r="Z20" s="76">
        <f ca="1" t="shared" si="21"/>
        <v>0</v>
      </c>
      <c r="AA20" s="76">
        <f ca="1" t="shared" si="21"/>
        <v>0</v>
      </c>
      <c r="AB20" s="76">
        <f ca="1" t="shared" si="21"/>
        <v>0</v>
      </c>
      <c r="AC20" s="76">
        <f ca="1" t="shared" si="21"/>
        <v>0</v>
      </c>
      <c r="AD20" s="76">
        <f ca="1" t="shared" si="21"/>
        <v>0</v>
      </c>
      <c r="AE20" s="76">
        <f ca="1" t="shared" si="21"/>
        <v>0</v>
      </c>
      <c r="AF20" s="76">
        <f ca="1" t="shared" si="21"/>
        <v>0</v>
      </c>
      <c r="AG20" s="76">
        <f ca="1" t="shared" si="21"/>
        <v>0</v>
      </c>
      <c r="AH20" s="76">
        <f ca="1" t="shared" si="21"/>
        <v>0</v>
      </c>
      <c r="AI20" s="76">
        <f ca="1" t="shared" si="21"/>
        <v>0</v>
      </c>
      <c r="AJ20" s="76">
        <f ca="1" t="shared" si="21"/>
        <v>0</v>
      </c>
      <c r="AK20" s="76">
        <f ca="1" t="shared" si="21"/>
        <v>0</v>
      </c>
      <c r="AL20" s="76">
        <f ca="1" t="shared" si="21"/>
        <v>0</v>
      </c>
      <c r="AM20" s="76">
        <f ca="1" t="shared" si="21"/>
        <v>0</v>
      </c>
      <c r="AN20" s="76">
        <f ca="1" t="shared" si="21"/>
        <v>0</v>
      </c>
      <c r="AO20" s="76">
        <f ca="1" t="shared" si="21"/>
        <v>0</v>
      </c>
      <c r="AP20" s="76">
        <f ca="1" t="shared" si="21"/>
        <v>0</v>
      </c>
      <c r="AQ20" s="76">
        <f ca="1" t="shared" si="21"/>
        <v>0</v>
      </c>
      <c r="AR20" s="76">
        <f ca="1" t="shared" si="21"/>
        <v>0</v>
      </c>
      <c r="AS20" s="76">
        <f ca="1" t="shared" si="21"/>
        <v>0</v>
      </c>
      <c r="AT20" s="76">
        <f ca="1" t="shared" si="21"/>
        <v>0</v>
      </c>
      <c r="AU20" s="76">
        <f ca="1" t="shared" si="21"/>
        <v>0</v>
      </c>
      <c r="AV20" s="76">
        <f ca="1" t="shared" si="21"/>
        <v>0</v>
      </c>
      <c r="AW20" s="76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6">
        <f ca="1" t="shared" si="21"/>
        <v>1.9</v>
      </c>
      <c r="E21" s="76">
        <f ca="1" t="shared" ref="E21:U21" si="23">ROUND(E6*E30/E38,3)</f>
        <v>1.688</v>
      </c>
      <c r="F21" s="76">
        <f ca="1" t="shared" si="23"/>
        <v>1.071</v>
      </c>
      <c r="G21" s="76">
        <f ca="1" t="shared" si="23"/>
        <v>0.295</v>
      </c>
      <c r="H21" s="76">
        <f ca="1" t="shared" si="23"/>
        <v>0.109</v>
      </c>
      <c r="I21" s="76">
        <f ca="1" t="shared" si="23"/>
        <v>0.624</v>
      </c>
      <c r="J21" s="76">
        <f ca="1" t="shared" si="23"/>
        <v>1.267</v>
      </c>
      <c r="K21" s="76">
        <f ca="1" t="shared" si="23"/>
        <v>3.315</v>
      </c>
      <c r="L21" s="76">
        <f ca="1" t="shared" si="23"/>
        <v>0.137</v>
      </c>
      <c r="M21" s="76">
        <f ca="1" t="shared" si="23"/>
        <v>0.294</v>
      </c>
      <c r="N21" s="76">
        <f ca="1" t="shared" si="23"/>
        <v>1.465</v>
      </c>
      <c r="O21" s="76">
        <f ca="1" t="shared" si="23"/>
        <v>1.582</v>
      </c>
      <c r="P21" s="76">
        <f ca="1" t="shared" si="23"/>
        <v>0.128</v>
      </c>
      <c r="Q21" s="76">
        <f ca="1" t="shared" si="23"/>
        <v>0.459</v>
      </c>
      <c r="R21" s="76">
        <f ca="1" t="shared" si="23"/>
        <v>0.009</v>
      </c>
      <c r="S21" s="76">
        <f ca="1" t="shared" si="23"/>
        <v>4.331</v>
      </c>
      <c r="T21" s="76">
        <f ca="1" t="shared" si="23"/>
        <v>0.14</v>
      </c>
      <c r="U21" s="76">
        <f ca="1" t="shared" si="23"/>
        <v>1.025</v>
      </c>
      <c r="V21" s="76">
        <f ca="1" t="shared" si="21"/>
        <v>1.235</v>
      </c>
      <c r="W21" s="76">
        <f ca="1" t="shared" si="21"/>
        <v>1.301</v>
      </c>
      <c r="X21" s="76">
        <f ca="1" t="shared" si="21"/>
        <v>1.919</v>
      </c>
      <c r="Y21" s="76">
        <f ca="1" t="shared" si="21"/>
        <v>2.917</v>
      </c>
      <c r="Z21" s="76">
        <f ca="1" t="shared" si="21"/>
        <v>0.101</v>
      </c>
      <c r="AA21" s="76">
        <f ca="1" t="shared" si="21"/>
        <v>0.675</v>
      </c>
      <c r="AB21" s="76">
        <f ca="1" t="shared" si="21"/>
        <v>3.506</v>
      </c>
      <c r="AC21" s="76">
        <f ca="1" t="shared" si="21"/>
        <v>0.632</v>
      </c>
      <c r="AD21" s="76">
        <f ca="1" t="shared" si="21"/>
        <v>1.091</v>
      </c>
      <c r="AE21" s="76">
        <f ca="1" t="shared" si="21"/>
        <v>0.593</v>
      </c>
      <c r="AF21" s="76">
        <f ca="1" t="shared" si="21"/>
        <v>1.957</v>
      </c>
      <c r="AG21" s="76">
        <f ca="1" t="shared" si="21"/>
        <v>0.367</v>
      </c>
      <c r="AH21" s="76">
        <f ca="1" t="shared" si="21"/>
        <v>0.13</v>
      </c>
      <c r="AI21" s="76">
        <f ca="1" t="shared" si="21"/>
        <v>1.054</v>
      </c>
      <c r="AJ21" s="76">
        <f ca="1" t="shared" si="21"/>
        <v>1.155</v>
      </c>
      <c r="AK21" s="76">
        <f ca="1" t="shared" si="21"/>
        <v>0.164</v>
      </c>
      <c r="AL21" s="76">
        <f ca="1" t="shared" si="21"/>
        <v>0.57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6">
        <f ca="1" t="shared" si="21"/>
        <v>0</v>
      </c>
      <c r="E22" s="76">
        <f ca="1" t="shared" ref="E22:U22" si="24">ROUND(E7*E31/E39,3)</f>
        <v>0</v>
      </c>
      <c r="F22" s="76">
        <f ca="1" t="shared" si="24"/>
        <v>0</v>
      </c>
      <c r="G22" s="76">
        <f ca="1" t="shared" si="24"/>
        <v>0</v>
      </c>
      <c r="H22" s="76">
        <f ca="1" t="shared" si="24"/>
        <v>0</v>
      </c>
      <c r="I22" s="76">
        <f ca="1" t="shared" si="24"/>
        <v>0</v>
      </c>
      <c r="J22" s="76">
        <f ca="1" t="shared" si="24"/>
        <v>0</v>
      </c>
      <c r="K22" s="76">
        <f ca="1" t="shared" si="24"/>
        <v>0.457</v>
      </c>
      <c r="L22" s="76">
        <f ca="1" t="shared" si="24"/>
        <v>0</v>
      </c>
      <c r="M22" s="76">
        <f ca="1" t="shared" si="24"/>
        <v>0</v>
      </c>
      <c r="N22" s="76">
        <f ca="1" t="shared" si="24"/>
        <v>0</v>
      </c>
      <c r="O22" s="76">
        <f ca="1" t="shared" si="24"/>
        <v>0</v>
      </c>
      <c r="P22" s="76">
        <f ca="1" t="shared" si="24"/>
        <v>0</v>
      </c>
      <c r="Q22" s="76">
        <f ca="1" t="shared" si="24"/>
        <v>0</v>
      </c>
      <c r="R22" s="76">
        <f ca="1" t="shared" si="24"/>
        <v>0</v>
      </c>
      <c r="S22" s="76">
        <f ca="1" t="shared" si="24"/>
        <v>0</v>
      </c>
      <c r="T22" s="76">
        <f ca="1" t="shared" si="24"/>
        <v>0</v>
      </c>
      <c r="U22" s="76">
        <f ca="1" t="shared" si="24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6">
        <f ca="1" t="shared" si="21"/>
        <v>0</v>
      </c>
      <c r="E23" s="76">
        <f ca="1" t="shared" ref="E23:U23" si="25">ROUND(E8*E32/E40,3)</f>
        <v>0</v>
      </c>
      <c r="F23" s="76">
        <f ca="1" t="shared" si="25"/>
        <v>0.504</v>
      </c>
      <c r="G23" s="76">
        <f ca="1" t="shared" si="25"/>
        <v>0.018</v>
      </c>
      <c r="H23" s="76">
        <f ca="1" t="shared" si="25"/>
        <v>0.044</v>
      </c>
      <c r="I23" s="76">
        <f ca="1" t="shared" si="25"/>
        <v>0.071</v>
      </c>
      <c r="J23" s="76">
        <f ca="1" t="shared" si="25"/>
        <v>0.485</v>
      </c>
      <c r="K23" s="76">
        <f ca="1" t="shared" si="25"/>
        <v>4.474</v>
      </c>
      <c r="L23" s="76">
        <f ca="1" t="shared" si="25"/>
        <v>0.018</v>
      </c>
      <c r="M23" s="76">
        <f ca="1" t="shared" si="25"/>
        <v>0.042</v>
      </c>
      <c r="N23" s="76">
        <f ca="1" t="shared" si="25"/>
        <v>0.087</v>
      </c>
      <c r="O23" s="76">
        <f ca="1" t="shared" si="25"/>
        <v>0.192</v>
      </c>
      <c r="P23" s="76">
        <f ca="1" t="shared" si="25"/>
        <v>0.03</v>
      </c>
      <c r="Q23" s="76">
        <f ca="1" t="shared" si="25"/>
        <v>0.065</v>
      </c>
      <c r="R23" s="76">
        <f ca="1" t="shared" si="25"/>
        <v>0.001</v>
      </c>
      <c r="S23" s="76">
        <f ca="1" t="shared" si="25"/>
        <v>0</v>
      </c>
      <c r="T23" s="76">
        <f ca="1" t="shared" si="25"/>
        <v>0.009</v>
      </c>
      <c r="U23" s="76">
        <f ca="1" t="shared" si="25"/>
        <v>0.087</v>
      </c>
      <c r="V23" s="76">
        <f ca="1" t="shared" si="21"/>
        <v>1.476</v>
      </c>
      <c r="W23" s="76">
        <f ca="1" t="shared" si="21"/>
        <v>0.923</v>
      </c>
      <c r="X23" s="76">
        <f ca="1" t="shared" si="21"/>
        <v>3.628</v>
      </c>
      <c r="Y23" s="76">
        <f ca="1" t="shared" si="21"/>
        <v>23.763</v>
      </c>
      <c r="Z23" s="76">
        <f ca="1" t="shared" si="21"/>
        <v>0.007</v>
      </c>
      <c r="AA23" s="76">
        <f ca="1" t="shared" si="21"/>
        <v>0.091</v>
      </c>
      <c r="AB23" s="76">
        <f ca="1" t="shared" si="21"/>
        <v>0</v>
      </c>
      <c r="AC23" s="76">
        <f ca="1" t="shared" si="21"/>
        <v>2.378</v>
      </c>
      <c r="AD23" s="76">
        <f ca="1" t="shared" si="21"/>
        <v>1.567</v>
      </c>
      <c r="AE23" s="76">
        <f ca="1" t="shared" si="21"/>
        <v>0</v>
      </c>
      <c r="AF23" s="76">
        <f ca="1" t="shared" si="21"/>
        <v>0.115</v>
      </c>
      <c r="AG23" s="76">
        <f ca="1" t="shared" si="21"/>
        <v>0.05</v>
      </c>
      <c r="AH23" s="76">
        <f ca="1" t="shared" si="21"/>
        <v>0.027</v>
      </c>
      <c r="AI23" s="76">
        <f ca="1" t="shared" si="21"/>
        <v>0.153</v>
      </c>
      <c r="AJ23" s="76">
        <f ca="1" t="shared" si="21"/>
        <v>0.137</v>
      </c>
      <c r="AK23" s="76">
        <f ca="1" t="shared" si="21"/>
        <v>0.119</v>
      </c>
      <c r="AL23" s="76">
        <f ca="1" t="shared" si="21"/>
        <v>0.049</v>
      </c>
      <c r="AM23" s="76">
        <f ca="1" t="shared" si="21"/>
        <v>0</v>
      </c>
      <c r="AN23" s="76">
        <f ca="1" t="shared" si="21"/>
        <v>0</v>
      </c>
      <c r="AO23" s="76">
        <f ca="1" t="shared" si="21"/>
        <v>0</v>
      </c>
      <c r="AP23" s="76">
        <f ca="1" t="shared" si="21"/>
        <v>0</v>
      </c>
      <c r="AQ23" s="76">
        <f ca="1" t="shared" si="21"/>
        <v>0</v>
      </c>
      <c r="AR23" s="76">
        <f ca="1" t="shared" si="21"/>
        <v>0</v>
      </c>
      <c r="AS23" s="76">
        <f ca="1" t="shared" si="21"/>
        <v>0</v>
      </c>
      <c r="AT23" s="76">
        <f ca="1" t="shared" si="21"/>
        <v>0</v>
      </c>
      <c r="AU23" s="76">
        <f ca="1" t="shared" si="21"/>
        <v>0</v>
      </c>
      <c r="AV23" s="76">
        <f ca="1" t="shared" si="21"/>
        <v>0</v>
      </c>
      <c r="AW23" s="76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6">
        <f ca="1" t="shared" si="21"/>
        <v>0.132</v>
      </c>
      <c r="E24" s="76">
        <f ca="1" t="shared" ref="E24:U24" si="26">ROUND(E9*E33/E41,3)</f>
        <v>0</v>
      </c>
      <c r="F24" s="76">
        <f ca="1" t="shared" si="26"/>
        <v>0.025</v>
      </c>
      <c r="G24" s="76">
        <f ca="1" t="shared" si="26"/>
        <v>0.001</v>
      </c>
      <c r="H24" s="76">
        <f ca="1" t="shared" si="26"/>
        <v>0.033</v>
      </c>
      <c r="I24" s="76">
        <f ca="1" t="shared" si="26"/>
        <v>0.023</v>
      </c>
      <c r="J24" s="76">
        <f ca="1" t="shared" si="26"/>
        <v>0</v>
      </c>
      <c r="K24" s="76">
        <f ca="1" t="shared" si="26"/>
        <v>0.104</v>
      </c>
      <c r="L24" s="76">
        <f ca="1" t="shared" si="26"/>
        <v>0.017</v>
      </c>
      <c r="M24" s="76">
        <f ca="1" t="shared" si="26"/>
        <v>0.019</v>
      </c>
      <c r="N24" s="76">
        <f ca="1" t="shared" si="26"/>
        <v>0.007</v>
      </c>
      <c r="O24" s="76">
        <f ca="1" t="shared" si="26"/>
        <v>0.043</v>
      </c>
      <c r="P24" s="76">
        <f ca="1" t="shared" si="26"/>
        <v>0.028</v>
      </c>
      <c r="Q24" s="76">
        <f ca="1" t="shared" si="26"/>
        <v>0.11</v>
      </c>
      <c r="R24" s="76">
        <f ca="1" t="shared" si="26"/>
        <v>0</v>
      </c>
      <c r="S24" s="76">
        <f ca="1" t="shared" si="26"/>
        <v>0.013</v>
      </c>
      <c r="T24" s="76">
        <f ca="1" t="shared" si="26"/>
        <v>0</v>
      </c>
      <c r="U24" s="76">
        <f ca="1" t="shared" si="26"/>
        <v>0.21</v>
      </c>
      <c r="V24" s="76">
        <f ca="1" t="shared" si="21"/>
        <v>0.141</v>
      </c>
      <c r="W24" s="76">
        <f ca="1" t="shared" si="21"/>
        <v>0</v>
      </c>
      <c r="X24" s="76">
        <f ca="1" t="shared" si="21"/>
        <v>0.009</v>
      </c>
      <c r="Y24" s="76">
        <f ca="1" t="shared" si="21"/>
        <v>0.224</v>
      </c>
      <c r="Z24" s="76">
        <f ca="1" t="shared" si="21"/>
        <v>0.001</v>
      </c>
      <c r="AA24" s="76">
        <f ca="1" t="shared" si="21"/>
        <v>0.422</v>
      </c>
      <c r="AB24" s="76">
        <f ca="1" t="shared" si="21"/>
        <v>0.23</v>
      </c>
      <c r="AC24" s="76">
        <f ca="1" t="shared" si="21"/>
        <v>0.282</v>
      </c>
      <c r="AD24" s="76">
        <f ca="1" t="shared" si="21"/>
        <v>0</v>
      </c>
      <c r="AE24" s="76">
        <f ca="1" t="shared" si="21"/>
        <v>0.002</v>
      </c>
      <c r="AF24" s="76">
        <f ca="1" t="shared" si="21"/>
        <v>0.025</v>
      </c>
      <c r="AG24" s="76">
        <f ca="1" t="shared" si="21"/>
        <v>0</v>
      </c>
      <c r="AH24" s="76">
        <f ca="1" t="shared" si="21"/>
        <v>0</v>
      </c>
      <c r="AI24" s="76">
        <f ca="1" t="shared" si="21"/>
        <v>0.476</v>
      </c>
      <c r="AJ24" s="76">
        <f ca="1" t="shared" si="21"/>
        <v>0.008</v>
      </c>
      <c r="AK24" s="76">
        <f ca="1" t="shared" si="21"/>
        <v>0.395</v>
      </c>
      <c r="AL24" s="76">
        <f ca="1" t="shared" si="21"/>
        <v>0.132</v>
      </c>
      <c r="AM24" s="76">
        <f ca="1" t="shared" si="21"/>
        <v>0</v>
      </c>
      <c r="AN24" s="76">
        <f ca="1" t="shared" si="21"/>
        <v>0</v>
      </c>
      <c r="AO24" s="76">
        <f ca="1" t="shared" si="21"/>
        <v>0</v>
      </c>
      <c r="AP24" s="76">
        <f ca="1" t="shared" si="21"/>
        <v>0</v>
      </c>
      <c r="AQ24" s="76">
        <f ca="1" t="shared" si="21"/>
        <v>0</v>
      </c>
      <c r="AR24" s="76">
        <f ca="1" t="shared" si="21"/>
        <v>0</v>
      </c>
      <c r="AS24" s="76">
        <f ca="1" t="shared" si="21"/>
        <v>0</v>
      </c>
      <c r="AT24" s="76">
        <f ca="1" t="shared" si="21"/>
        <v>0</v>
      </c>
      <c r="AU24" s="76">
        <f ca="1" t="shared" si="21"/>
        <v>0</v>
      </c>
      <c r="AV24" s="76">
        <f ca="1" t="shared" si="21"/>
        <v>0</v>
      </c>
      <c r="AW24" s="76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6">
        <f ca="1" t="shared" si="21"/>
        <v>0.025</v>
      </c>
      <c r="E25" s="76">
        <f ca="1" t="shared" ref="E25:U25" si="27">ROUND(E10*E34/E42,3)</f>
        <v>0</v>
      </c>
      <c r="F25" s="76">
        <f ca="1" t="shared" si="27"/>
        <v>0.004</v>
      </c>
      <c r="G25" s="76">
        <f ca="1" t="shared" si="27"/>
        <v>0</v>
      </c>
      <c r="H25" s="76">
        <f ca="1" t="shared" si="27"/>
        <v>0.002</v>
      </c>
      <c r="I25" s="76">
        <f ca="1" t="shared" si="27"/>
        <v>0</v>
      </c>
      <c r="J25" s="76">
        <f ca="1" t="shared" si="27"/>
        <v>0.139</v>
      </c>
      <c r="K25" s="76">
        <f ca="1" t="shared" si="27"/>
        <v>1.016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0.152</v>
      </c>
      <c r="T25" s="76">
        <f ca="1" t="shared" si="27"/>
        <v>0</v>
      </c>
      <c r="U25" s="76">
        <f ca="1" t="shared" si="27"/>
        <v>0</v>
      </c>
      <c r="V25" s="76">
        <f ca="1" t="shared" si="21"/>
        <v>0.001</v>
      </c>
      <c r="W25" s="76">
        <f ca="1" t="shared" si="21"/>
        <v>0.267</v>
      </c>
      <c r="X25" s="76">
        <f ca="1" t="shared" si="21"/>
        <v>0</v>
      </c>
      <c r="Y25" s="76">
        <f ca="1" t="shared" si="21"/>
        <v>0.009</v>
      </c>
      <c r="Z25" s="76">
        <f ca="1" t="shared" si="21"/>
        <v>0</v>
      </c>
      <c r="AA25" s="76">
        <f ca="1" t="shared" si="21"/>
        <v>0</v>
      </c>
      <c r="AB25" s="76">
        <f ca="1" t="shared" si="21"/>
        <v>0.09</v>
      </c>
      <c r="AC25" s="76">
        <f ca="1" t="shared" si="21"/>
        <v>0.022</v>
      </c>
      <c r="AD25" s="76">
        <f ca="1" t="shared" si="21"/>
        <v>0</v>
      </c>
      <c r="AE25" s="76">
        <f ca="1" t="shared" si="21"/>
        <v>0</v>
      </c>
      <c r="AF25" s="76">
        <f ca="1" t="shared" si="21"/>
        <v>0</v>
      </c>
      <c r="AG25" s="76">
        <f ca="1" t="shared" si="21"/>
        <v>0</v>
      </c>
      <c r="AH25" s="76">
        <f ca="1" t="shared" si="21"/>
        <v>0</v>
      </c>
      <c r="AI25" s="76">
        <f ca="1" t="shared" si="21"/>
        <v>0</v>
      </c>
      <c r="AJ25" s="76">
        <f ca="1" t="shared" si="21"/>
        <v>0</v>
      </c>
      <c r="AK25" s="76">
        <f ca="1" t="shared" si="21"/>
        <v>0.003</v>
      </c>
      <c r="AL25" s="76">
        <f ca="1" t="shared" si="21"/>
        <v>0</v>
      </c>
      <c r="AM25" s="76">
        <f ca="1" t="shared" si="21"/>
        <v>0</v>
      </c>
      <c r="AN25" s="76">
        <f ca="1" t="shared" si="21"/>
        <v>0</v>
      </c>
      <c r="AO25" s="76">
        <f ca="1" t="shared" si="21"/>
        <v>0</v>
      </c>
      <c r="AP25" s="76">
        <f ca="1" t="shared" si="21"/>
        <v>0</v>
      </c>
      <c r="AQ25" s="76">
        <f ca="1" t="shared" si="21"/>
        <v>0</v>
      </c>
      <c r="AR25" s="76">
        <f ca="1" t="shared" si="21"/>
        <v>0</v>
      </c>
      <c r="AS25" s="76">
        <f ca="1" t="shared" si="21"/>
        <v>0</v>
      </c>
      <c r="AT25" s="76">
        <f ca="1" t="shared" si="21"/>
        <v>0</v>
      </c>
      <c r="AU25" s="76">
        <f ca="1" t="shared" si="21"/>
        <v>0</v>
      </c>
      <c r="AV25" s="76">
        <f ca="1" t="shared" si="21"/>
        <v>0</v>
      </c>
      <c r="AW25" s="76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4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4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4">
        <v>0.379626024625345</v>
      </c>
      <c r="AY30" t="s">
        <v>153</v>
      </c>
      <c r="AZ30" s="105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4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4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4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4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40</v>
      </c>
      <c r="E36" s="76">
        <v>40</v>
      </c>
      <c r="F36" s="76">
        <v>40</v>
      </c>
      <c r="G36" s="76">
        <v>40</v>
      </c>
      <c r="H36" s="76">
        <v>40</v>
      </c>
      <c r="I36" s="76">
        <v>40</v>
      </c>
      <c r="J36" s="76">
        <v>40</v>
      </c>
      <c r="K36" s="76">
        <v>40</v>
      </c>
      <c r="L36" s="76">
        <v>40</v>
      </c>
      <c r="M36" s="76">
        <v>40</v>
      </c>
      <c r="N36" s="76">
        <v>40</v>
      </c>
      <c r="O36" s="76">
        <v>40</v>
      </c>
      <c r="P36" s="76">
        <v>40</v>
      </c>
      <c r="Q36" s="76">
        <v>40</v>
      </c>
      <c r="R36" s="76">
        <v>40</v>
      </c>
      <c r="S36" s="76">
        <v>40</v>
      </c>
      <c r="T36" s="76">
        <v>40</v>
      </c>
      <c r="U36" s="76">
        <v>40</v>
      </c>
      <c r="V36" s="76">
        <v>40</v>
      </c>
      <c r="W36" s="76">
        <v>40</v>
      </c>
      <c r="X36" s="76">
        <v>40</v>
      </c>
      <c r="Y36" s="76">
        <v>40</v>
      </c>
      <c r="Z36" s="76">
        <v>40</v>
      </c>
      <c r="AA36" s="76">
        <v>40</v>
      </c>
      <c r="AB36" s="76">
        <v>40</v>
      </c>
      <c r="AC36" s="76">
        <v>40</v>
      </c>
      <c r="AD36" s="76">
        <v>40</v>
      </c>
      <c r="AE36" s="76">
        <v>40</v>
      </c>
      <c r="AF36" s="76">
        <v>25</v>
      </c>
      <c r="AG36" s="76">
        <v>40</v>
      </c>
      <c r="AH36" s="76">
        <v>40</v>
      </c>
      <c r="AI36" s="76">
        <v>40</v>
      </c>
      <c r="AJ36" s="76">
        <v>40</v>
      </c>
      <c r="AK36" s="76">
        <v>40</v>
      </c>
      <c r="AL36" s="76">
        <v>15</v>
      </c>
      <c r="AM36" s="76">
        <v>40</v>
      </c>
      <c r="AN36" s="76">
        <v>40</v>
      </c>
      <c r="AO36" s="76">
        <v>40</v>
      </c>
      <c r="AP36" s="76">
        <v>40</v>
      </c>
      <c r="AQ36" s="76">
        <v>40</v>
      </c>
      <c r="AR36" s="76">
        <v>40</v>
      </c>
      <c r="AS36" s="76">
        <v>40</v>
      </c>
      <c r="AT36" s="76">
        <v>40</v>
      </c>
      <c r="AU36" s="76">
        <v>40</v>
      </c>
      <c r="AV36" s="76">
        <v>40</v>
      </c>
      <c r="AW36" s="76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6">
        <v>40</v>
      </c>
      <c r="E37" s="76">
        <v>40</v>
      </c>
      <c r="F37" s="76">
        <v>40</v>
      </c>
      <c r="G37" s="76">
        <v>40</v>
      </c>
      <c r="H37" s="76">
        <v>40</v>
      </c>
      <c r="I37" s="76">
        <v>40</v>
      </c>
      <c r="J37" s="76">
        <v>40</v>
      </c>
      <c r="K37" s="76">
        <v>40</v>
      </c>
      <c r="L37" s="76">
        <v>40</v>
      </c>
      <c r="M37" s="76">
        <v>40</v>
      </c>
      <c r="N37" s="76">
        <v>40</v>
      </c>
      <c r="O37" s="76">
        <v>40</v>
      </c>
      <c r="P37" s="76">
        <v>40</v>
      </c>
      <c r="Q37" s="76">
        <v>40</v>
      </c>
      <c r="R37" s="76">
        <v>40</v>
      </c>
      <c r="S37" s="76">
        <v>40</v>
      </c>
      <c r="T37" s="76">
        <v>40</v>
      </c>
      <c r="U37" s="76">
        <v>40</v>
      </c>
      <c r="V37" s="76">
        <v>40</v>
      </c>
      <c r="W37" s="76">
        <v>40</v>
      </c>
      <c r="X37" s="76">
        <v>40</v>
      </c>
      <c r="Y37" s="76">
        <v>40</v>
      </c>
      <c r="Z37" s="76">
        <v>40</v>
      </c>
      <c r="AA37" s="76">
        <v>40</v>
      </c>
      <c r="AB37" s="76">
        <v>40</v>
      </c>
      <c r="AC37" s="76">
        <v>40</v>
      </c>
      <c r="AD37" s="76">
        <v>40</v>
      </c>
      <c r="AE37" s="76">
        <v>40</v>
      </c>
      <c r="AF37" s="76">
        <v>25</v>
      </c>
      <c r="AG37" s="76">
        <v>40</v>
      </c>
      <c r="AH37" s="76">
        <v>40</v>
      </c>
      <c r="AI37" s="76">
        <v>40</v>
      </c>
      <c r="AJ37" s="76">
        <v>40</v>
      </c>
      <c r="AK37" s="76">
        <v>40</v>
      </c>
      <c r="AL37" s="76">
        <v>15</v>
      </c>
      <c r="AM37" s="76">
        <v>40</v>
      </c>
      <c r="AN37" s="76">
        <v>40</v>
      </c>
      <c r="AO37" s="76">
        <v>40</v>
      </c>
      <c r="AP37" s="76">
        <v>40</v>
      </c>
      <c r="AQ37" s="76">
        <v>40</v>
      </c>
      <c r="AR37" s="76">
        <v>40</v>
      </c>
      <c r="AS37" s="76">
        <v>40</v>
      </c>
      <c r="AT37" s="76">
        <v>40</v>
      </c>
      <c r="AU37" s="76">
        <v>40</v>
      </c>
      <c r="AV37" s="76">
        <v>40</v>
      </c>
      <c r="AW37" s="76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6">
        <v>40</v>
      </c>
      <c r="E38" s="76">
        <v>40</v>
      </c>
      <c r="F38" s="76">
        <v>40</v>
      </c>
      <c r="G38" s="76">
        <v>40</v>
      </c>
      <c r="H38" s="76">
        <v>40</v>
      </c>
      <c r="I38" s="76">
        <v>40</v>
      </c>
      <c r="J38" s="76">
        <v>40</v>
      </c>
      <c r="K38" s="76">
        <v>40</v>
      </c>
      <c r="L38" s="76">
        <v>40</v>
      </c>
      <c r="M38" s="76">
        <v>40</v>
      </c>
      <c r="N38" s="76">
        <v>40</v>
      </c>
      <c r="O38" s="76">
        <v>40</v>
      </c>
      <c r="P38" s="76">
        <v>40</v>
      </c>
      <c r="Q38" s="76">
        <v>40</v>
      </c>
      <c r="R38" s="76">
        <v>40</v>
      </c>
      <c r="S38" s="76">
        <v>40</v>
      </c>
      <c r="T38" s="76">
        <v>40</v>
      </c>
      <c r="U38" s="76">
        <v>40</v>
      </c>
      <c r="V38" s="76">
        <v>40</v>
      </c>
      <c r="W38" s="76">
        <v>40</v>
      </c>
      <c r="X38" s="76">
        <v>40</v>
      </c>
      <c r="Y38" s="76">
        <v>40</v>
      </c>
      <c r="Z38" s="76">
        <v>40</v>
      </c>
      <c r="AA38" s="76">
        <v>40</v>
      </c>
      <c r="AB38" s="76">
        <v>40</v>
      </c>
      <c r="AC38" s="76">
        <v>40</v>
      </c>
      <c r="AD38" s="76">
        <v>40</v>
      </c>
      <c r="AE38" s="76">
        <v>40</v>
      </c>
      <c r="AF38" s="76">
        <v>25</v>
      </c>
      <c r="AG38" s="76">
        <v>40</v>
      </c>
      <c r="AH38" s="76">
        <v>40</v>
      </c>
      <c r="AI38" s="76">
        <v>40</v>
      </c>
      <c r="AJ38" s="76">
        <v>40</v>
      </c>
      <c r="AK38" s="76">
        <v>40</v>
      </c>
      <c r="AL38" s="76">
        <v>15</v>
      </c>
      <c r="AM38" s="76">
        <v>40</v>
      </c>
      <c r="AN38" s="76">
        <v>40</v>
      </c>
      <c r="AO38" s="76">
        <v>40</v>
      </c>
      <c r="AP38" s="76">
        <v>40</v>
      </c>
      <c r="AQ38" s="76">
        <v>40</v>
      </c>
      <c r="AR38" s="76">
        <v>40</v>
      </c>
      <c r="AS38" s="76">
        <v>40</v>
      </c>
      <c r="AT38" s="76">
        <v>40</v>
      </c>
      <c r="AU38" s="76">
        <v>40</v>
      </c>
      <c r="AV38" s="76">
        <v>40</v>
      </c>
      <c r="AW38" s="76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6">
        <v>40</v>
      </c>
      <c r="E39" s="76">
        <v>40</v>
      </c>
      <c r="F39" s="76">
        <v>40</v>
      </c>
      <c r="G39" s="76">
        <v>40</v>
      </c>
      <c r="H39" s="76">
        <v>40</v>
      </c>
      <c r="I39" s="76">
        <v>40</v>
      </c>
      <c r="J39" s="76">
        <v>40</v>
      </c>
      <c r="K39" s="76">
        <v>40</v>
      </c>
      <c r="L39" s="76">
        <v>40</v>
      </c>
      <c r="M39" s="76">
        <v>40</v>
      </c>
      <c r="N39" s="76">
        <v>40</v>
      </c>
      <c r="O39" s="76">
        <v>40</v>
      </c>
      <c r="P39" s="76">
        <v>40</v>
      </c>
      <c r="Q39" s="76">
        <v>40</v>
      </c>
      <c r="R39" s="76">
        <v>40</v>
      </c>
      <c r="S39" s="76">
        <v>40</v>
      </c>
      <c r="T39" s="76">
        <v>40</v>
      </c>
      <c r="U39" s="76">
        <v>40</v>
      </c>
      <c r="V39" s="76">
        <v>40</v>
      </c>
      <c r="W39" s="76">
        <v>40</v>
      </c>
      <c r="X39" s="76">
        <v>40</v>
      </c>
      <c r="Y39" s="76">
        <v>40</v>
      </c>
      <c r="Z39" s="76">
        <v>40</v>
      </c>
      <c r="AA39" s="76">
        <v>40</v>
      </c>
      <c r="AB39" s="76">
        <v>40</v>
      </c>
      <c r="AC39" s="76">
        <v>40</v>
      </c>
      <c r="AD39" s="76">
        <v>40</v>
      </c>
      <c r="AE39" s="76">
        <v>40</v>
      </c>
      <c r="AF39" s="76">
        <v>25</v>
      </c>
      <c r="AG39" s="76">
        <v>40</v>
      </c>
      <c r="AH39" s="76">
        <v>40</v>
      </c>
      <c r="AI39" s="76">
        <v>40</v>
      </c>
      <c r="AJ39" s="76">
        <v>40</v>
      </c>
      <c r="AK39" s="76">
        <v>40</v>
      </c>
      <c r="AL39" s="76">
        <v>15</v>
      </c>
      <c r="AM39" s="76">
        <v>40</v>
      </c>
      <c r="AN39" s="76">
        <v>40</v>
      </c>
      <c r="AO39" s="76">
        <v>40</v>
      </c>
      <c r="AP39" s="76">
        <v>40</v>
      </c>
      <c r="AQ39" s="76">
        <v>40</v>
      </c>
      <c r="AR39" s="76">
        <v>40</v>
      </c>
      <c r="AS39" s="76">
        <v>40</v>
      </c>
      <c r="AT39" s="76">
        <v>40</v>
      </c>
      <c r="AU39" s="76">
        <v>40</v>
      </c>
      <c r="AV39" s="76">
        <v>40</v>
      </c>
      <c r="AW39" s="76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6">
        <v>40</v>
      </c>
      <c r="E40" s="76">
        <v>40</v>
      </c>
      <c r="F40" s="76">
        <v>40</v>
      </c>
      <c r="G40" s="76">
        <v>40</v>
      </c>
      <c r="H40" s="76">
        <v>40</v>
      </c>
      <c r="I40" s="76">
        <v>40</v>
      </c>
      <c r="J40" s="76">
        <v>40</v>
      </c>
      <c r="K40" s="76">
        <v>40</v>
      </c>
      <c r="L40" s="76">
        <v>40</v>
      </c>
      <c r="M40" s="76">
        <v>40</v>
      </c>
      <c r="N40" s="76">
        <v>40</v>
      </c>
      <c r="O40" s="76">
        <v>40</v>
      </c>
      <c r="P40" s="76">
        <v>40</v>
      </c>
      <c r="Q40" s="76">
        <v>40</v>
      </c>
      <c r="R40" s="76">
        <v>40</v>
      </c>
      <c r="S40" s="76">
        <v>40</v>
      </c>
      <c r="T40" s="76">
        <v>40</v>
      </c>
      <c r="U40" s="76">
        <v>40</v>
      </c>
      <c r="V40" s="76">
        <v>40</v>
      </c>
      <c r="W40" s="76">
        <v>40</v>
      </c>
      <c r="X40" s="76">
        <v>40</v>
      </c>
      <c r="Y40" s="76">
        <v>40</v>
      </c>
      <c r="Z40" s="76">
        <v>40</v>
      </c>
      <c r="AA40" s="76">
        <v>40</v>
      </c>
      <c r="AB40" s="76">
        <v>40</v>
      </c>
      <c r="AC40" s="76">
        <v>40</v>
      </c>
      <c r="AD40" s="76">
        <v>40</v>
      </c>
      <c r="AE40" s="76">
        <v>40</v>
      </c>
      <c r="AF40" s="76">
        <v>25</v>
      </c>
      <c r="AG40" s="76">
        <v>40</v>
      </c>
      <c r="AH40" s="76">
        <v>40</v>
      </c>
      <c r="AI40" s="76">
        <v>40</v>
      </c>
      <c r="AJ40" s="76">
        <v>40</v>
      </c>
      <c r="AK40" s="76">
        <v>40</v>
      </c>
      <c r="AL40" s="76">
        <v>15</v>
      </c>
      <c r="AM40" s="76">
        <v>40</v>
      </c>
      <c r="AN40" s="76">
        <v>40</v>
      </c>
      <c r="AO40" s="76">
        <v>40</v>
      </c>
      <c r="AP40" s="76">
        <v>40</v>
      </c>
      <c r="AQ40" s="76">
        <v>40</v>
      </c>
      <c r="AR40" s="76">
        <v>40</v>
      </c>
      <c r="AS40" s="76">
        <v>40</v>
      </c>
      <c r="AT40" s="76">
        <v>40</v>
      </c>
      <c r="AU40" s="76">
        <v>40</v>
      </c>
      <c r="AV40" s="76">
        <v>40</v>
      </c>
      <c r="AW40" s="76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6">
        <v>40</v>
      </c>
      <c r="E41" s="76">
        <v>40</v>
      </c>
      <c r="F41" s="76">
        <v>40</v>
      </c>
      <c r="G41" s="76">
        <v>40</v>
      </c>
      <c r="H41" s="76">
        <v>40</v>
      </c>
      <c r="I41" s="76">
        <v>40</v>
      </c>
      <c r="J41" s="76">
        <v>40</v>
      </c>
      <c r="K41" s="76">
        <v>40</v>
      </c>
      <c r="L41" s="76">
        <v>40</v>
      </c>
      <c r="M41" s="76">
        <v>40</v>
      </c>
      <c r="N41" s="76">
        <v>40</v>
      </c>
      <c r="O41" s="76">
        <v>40</v>
      </c>
      <c r="P41" s="76">
        <v>40</v>
      </c>
      <c r="Q41" s="76">
        <v>40</v>
      </c>
      <c r="R41" s="76">
        <v>40</v>
      </c>
      <c r="S41" s="76">
        <v>40</v>
      </c>
      <c r="T41" s="76">
        <v>40</v>
      </c>
      <c r="U41" s="76">
        <v>40</v>
      </c>
      <c r="V41" s="76">
        <v>40</v>
      </c>
      <c r="W41" s="76">
        <v>40</v>
      </c>
      <c r="X41" s="76">
        <v>40</v>
      </c>
      <c r="Y41" s="76">
        <v>40</v>
      </c>
      <c r="Z41" s="76">
        <v>40</v>
      </c>
      <c r="AA41" s="76">
        <v>40</v>
      </c>
      <c r="AB41" s="76">
        <v>40</v>
      </c>
      <c r="AC41" s="76">
        <v>40</v>
      </c>
      <c r="AD41" s="76">
        <v>40</v>
      </c>
      <c r="AE41" s="76">
        <v>40</v>
      </c>
      <c r="AF41" s="76">
        <v>25</v>
      </c>
      <c r="AG41" s="76">
        <v>40</v>
      </c>
      <c r="AH41" s="76">
        <v>40</v>
      </c>
      <c r="AI41" s="76">
        <v>40</v>
      </c>
      <c r="AJ41" s="76">
        <v>40</v>
      </c>
      <c r="AK41" s="76">
        <v>40</v>
      </c>
      <c r="AL41" s="76">
        <v>15</v>
      </c>
      <c r="AM41" s="76">
        <v>40</v>
      </c>
      <c r="AN41" s="76">
        <v>40</v>
      </c>
      <c r="AO41" s="76">
        <v>40</v>
      </c>
      <c r="AP41" s="76">
        <v>40</v>
      </c>
      <c r="AQ41" s="76">
        <v>40</v>
      </c>
      <c r="AR41" s="76">
        <v>40</v>
      </c>
      <c r="AS41" s="76">
        <v>40</v>
      </c>
      <c r="AT41" s="76">
        <v>40</v>
      </c>
      <c r="AU41" s="76">
        <v>40</v>
      </c>
      <c r="AV41" s="76">
        <v>40</v>
      </c>
      <c r="AW41" s="76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6">
        <v>40</v>
      </c>
      <c r="E42" s="76">
        <v>40</v>
      </c>
      <c r="F42" s="76">
        <v>40</v>
      </c>
      <c r="G42" s="76">
        <v>40</v>
      </c>
      <c r="H42" s="76">
        <v>40</v>
      </c>
      <c r="I42" s="76">
        <v>40</v>
      </c>
      <c r="J42" s="76">
        <v>40</v>
      </c>
      <c r="K42" s="76">
        <v>40</v>
      </c>
      <c r="L42" s="76">
        <v>40</v>
      </c>
      <c r="M42" s="76">
        <v>40</v>
      </c>
      <c r="N42" s="76">
        <v>40</v>
      </c>
      <c r="O42" s="76">
        <v>40</v>
      </c>
      <c r="P42" s="76">
        <v>40</v>
      </c>
      <c r="Q42" s="76">
        <v>40</v>
      </c>
      <c r="R42" s="76">
        <v>40</v>
      </c>
      <c r="S42" s="76">
        <v>40</v>
      </c>
      <c r="T42" s="76">
        <v>40</v>
      </c>
      <c r="U42" s="76">
        <v>40</v>
      </c>
      <c r="V42" s="76">
        <v>40</v>
      </c>
      <c r="W42" s="76">
        <v>40</v>
      </c>
      <c r="X42" s="76">
        <v>40</v>
      </c>
      <c r="Y42" s="76">
        <v>40</v>
      </c>
      <c r="Z42" s="76">
        <v>40</v>
      </c>
      <c r="AA42" s="76">
        <v>40</v>
      </c>
      <c r="AB42" s="76">
        <v>40</v>
      </c>
      <c r="AC42" s="76">
        <v>40</v>
      </c>
      <c r="AD42" s="76">
        <v>40</v>
      </c>
      <c r="AE42" s="76">
        <v>40</v>
      </c>
      <c r="AF42" s="76">
        <v>25</v>
      </c>
      <c r="AG42" s="76">
        <v>40</v>
      </c>
      <c r="AH42" s="76">
        <v>40</v>
      </c>
      <c r="AI42" s="76">
        <v>40</v>
      </c>
      <c r="AJ42" s="76">
        <v>40</v>
      </c>
      <c r="AK42" s="76">
        <v>40</v>
      </c>
      <c r="AL42" s="76">
        <v>15</v>
      </c>
      <c r="AM42" s="76">
        <v>40</v>
      </c>
      <c r="AN42" s="76">
        <v>40</v>
      </c>
      <c r="AO42" s="76">
        <v>40</v>
      </c>
      <c r="AP42" s="76">
        <v>40</v>
      </c>
      <c r="AQ42" s="76">
        <v>40</v>
      </c>
      <c r="AR42" s="76">
        <v>40</v>
      </c>
      <c r="AS42" s="76">
        <v>40</v>
      </c>
      <c r="AT42" s="76">
        <v>40</v>
      </c>
      <c r="AU42" s="76">
        <v>40</v>
      </c>
      <c r="AV42" s="76">
        <v>40</v>
      </c>
      <c r="AW42" s="76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73" zoomScaleNormal="73" topLeftCell="AN20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3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103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103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103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103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0.016815037415137</v>
      </c>
      <c r="E11" s="100">
        <f ca="1" t="shared" ref="E11:U11" si="5">SUM(E$4:E$10)/SUM($D$4:$AJ$10)</f>
        <v>0.0149431450955175</v>
      </c>
      <c r="F11" s="100">
        <f ca="1" t="shared" si="5"/>
        <v>0.0136913599323751</v>
      </c>
      <c r="G11" s="100">
        <f ca="1" t="shared" si="5"/>
        <v>0.00660641544262592</v>
      </c>
      <c r="H11" s="100">
        <f ca="1" t="shared" si="5"/>
        <v>0.00370070684083408</v>
      </c>
      <c r="I11" s="100">
        <f ca="1" t="shared" si="5"/>
        <v>0.0139825428366283</v>
      </c>
      <c r="J11" s="100">
        <f ca="1" t="shared" si="5"/>
        <v>0.0589795875406085</v>
      </c>
      <c r="K11" s="100">
        <f ca="1" t="shared" si="5"/>
        <v>0.0746746349553083</v>
      </c>
      <c r="L11" s="100">
        <f ca="1" t="shared" si="5"/>
        <v>0.00289840154385693</v>
      </c>
      <c r="M11" s="100">
        <f ca="1" t="shared" si="5"/>
        <v>0.00629193474127597</v>
      </c>
      <c r="N11" s="100">
        <f ca="1" t="shared" si="5"/>
        <v>0.0332645355620078</v>
      </c>
      <c r="O11" s="100">
        <f ca="1" t="shared" si="5"/>
        <v>0.0350868214142092</v>
      </c>
      <c r="P11" s="100">
        <f ca="1" t="shared" si="5"/>
        <v>0.00285579421767039</v>
      </c>
      <c r="Q11" s="100">
        <f ca="1" t="shared" si="5"/>
        <v>0.0098122409406454</v>
      </c>
      <c r="R11" s="100">
        <f ca="1" t="shared" si="5"/>
        <v>0.000199608914973704</v>
      </c>
      <c r="S11" s="100">
        <f ca="1" t="shared" si="5"/>
        <v>0.0340967511776634</v>
      </c>
      <c r="T11" s="100">
        <f ca="1" t="shared" si="5"/>
        <v>0.00310939271979849</v>
      </c>
      <c r="U11" s="100">
        <f ca="1" t="shared" si="5"/>
        <v>0.0227638278285961</v>
      </c>
      <c r="V11" s="100">
        <f ca="1" t="shared" ref="V11:AW11" si="6">SUM(V$4:V$10)/SUM($D$4:$AJ$10)</f>
        <v>0.0259292589732868</v>
      </c>
      <c r="W11" s="100">
        <f ca="1" t="shared" si="6"/>
        <v>0.0449309512909838</v>
      </c>
      <c r="X11" s="100">
        <f ca="1" t="shared" si="6"/>
        <v>0.0469970233603719</v>
      </c>
      <c r="Y11" s="100">
        <f ca="1" t="shared" si="6"/>
        <v>0.256699914971504</v>
      </c>
      <c r="Z11" s="100">
        <f ca="1" t="shared" si="6"/>
        <v>0.00253629665916202</v>
      </c>
      <c r="AA11" s="100">
        <f ca="1" t="shared" si="6"/>
        <v>0.0143556699417447</v>
      </c>
      <c r="AB11" s="100">
        <f ca="1" t="shared" si="6"/>
        <v>0.110787708268185</v>
      </c>
      <c r="AC11" s="100">
        <f ca="1" t="shared" si="6"/>
        <v>0.0268335647180948</v>
      </c>
      <c r="AD11" s="100">
        <f ca="1" t="shared" si="6"/>
        <v>0.0254632094399437</v>
      </c>
      <c r="AE11" s="100">
        <f ca="1" t="shared" si="6"/>
        <v>0.00524897990881188</v>
      </c>
      <c r="AF11" s="100">
        <f ca="1" t="shared" si="6"/>
        <v>0.0274260775945077</v>
      </c>
      <c r="AG11" s="100">
        <f ca="1" t="shared" si="6"/>
        <v>0.00941775149022235</v>
      </c>
      <c r="AH11" s="100">
        <f ca="1" t="shared" si="6"/>
        <v>0.0028695325960789</v>
      </c>
      <c r="AI11" s="100">
        <f ca="1" t="shared" si="6"/>
        <v>0.0212345857908641</v>
      </c>
      <c r="AJ11" s="100">
        <f ca="1" t="shared" si="6"/>
        <v>0.0254967358765062</v>
      </c>
      <c r="AK11" s="100">
        <f ca="1" t="shared" si="6"/>
        <v>0.00550416852071818</v>
      </c>
      <c r="AL11" s="100">
        <f ca="1" t="shared" si="6"/>
        <v>0.00437648416302067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8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0.0160069329391074</v>
      </c>
      <c r="E14" s="100">
        <f ca="1" t="shared" ref="E14:U14" si="9">E13/SUM($D$13:$AJ$13)</f>
        <v>0.0142227206688247</v>
      </c>
      <c r="F14" s="100">
        <f ca="1" t="shared" si="9"/>
        <v>0.0130247495730635</v>
      </c>
      <c r="G14" s="100">
        <f ca="1" t="shared" si="9"/>
        <v>0.006295720439426</v>
      </c>
      <c r="H14" s="100">
        <f ca="1" t="shared" si="9"/>
        <v>0.00351744704712869</v>
      </c>
      <c r="I14" s="100">
        <f ca="1" t="shared" si="9"/>
        <v>0.0133051257869651</v>
      </c>
      <c r="J14" s="100">
        <f ca="1" t="shared" si="9"/>
        <v>0.0561262202737492</v>
      </c>
      <c r="K14" s="100">
        <f ca="1" t="shared" si="9"/>
        <v>0.0710626258506869</v>
      </c>
      <c r="L14" s="100">
        <f ca="1" t="shared" si="9"/>
        <v>0.00275278464557898</v>
      </c>
      <c r="M14" s="100">
        <f ca="1" t="shared" si="9"/>
        <v>0.00598985547880611</v>
      </c>
      <c r="N14" s="100">
        <f ca="1" t="shared" si="9"/>
        <v>0.0316315346774399</v>
      </c>
      <c r="O14" s="100">
        <f ca="1" t="shared" si="9"/>
        <v>0.0333902582010043</v>
      </c>
      <c r="P14" s="100">
        <f ca="1" t="shared" si="9"/>
        <v>0.00270180715214233</v>
      </c>
      <c r="Q14" s="100">
        <f ca="1" t="shared" si="9"/>
        <v>0.00935437004562486</v>
      </c>
      <c r="R14" s="100">
        <f ca="1" t="shared" si="9"/>
        <v>0.000203909973746591</v>
      </c>
      <c r="S14" s="100">
        <f ca="1" t="shared" si="9"/>
        <v>0.0324471745724263</v>
      </c>
      <c r="T14" s="100">
        <f ca="1" t="shared" si="9"/>
        <v>0.00295669461932557</v>
      </c>
      <c r="U14" s="100">
        <f ca="1" t="shared" si="9"/>
        <v>0.0216654347105753</v>
      </c>
      <c r="V14" s="100">
        <f ca="1" t="shared" ref="V14:AJ14" si="10">V13/SUM($D$13:$AJ$13)</f>
        <v>0.0246731068233375</v>
      </c>
      <c r="W14" s="100">
        <f ca="1" t="shared" si="10"/>
        <v>0.0427446282466291</v>
      </c>
      <c r="X14" s="100">
        <f ca="1" t="shared" si="10"/>
        <v>0.0447072617439401</v>
      </c>
      <c r="Y14" s="100">
        <f ca="1" t="shared" si="10"/>
        <v>0.244233171054979</v>
      </c>
      <c r="Z14" s="100">
        <f ca="1" t="shared" si="10"/>
        <v>0.00242143093824077</v>
      </c>
      <c r="AA14" s="100">
        <f ca="1" t="shared" si="10"/>
        <v>0.0136619682410216</v>
      </c>
      <c r="AB14" s="100">
        <f ca="1" t="shared" si="10"/>
        <v>0.105395967680269</v>
      </c>
      <c r="AC14" s="100">
        <f ca="1" t="shared" si="10"/>
        <v>0.0255397242117605</v>
      </c>
      <c r="AD14" s="100">
        <f ca="1" t="shared" si="10"/>
        <v>0.0242143093824077</v>
      </c>
      <c r="AE14" s="100">
        <f ca="1" t="shared" si="10"/>
        <v>0.00499579435679148</v>
      </c>
      <c r="AF14" s="100">
        <f ca="1" t="shared" si="10"/>
        <v>0.0745545841510973</v>
      </c>
      <c r="AG14" s="100">
        <f ca="1" t="shared" ref="AG14" si="11">AG13/SUM($D$13:$AJ$13)</f>
        <v>0.00897203884485</v>
      </c>
      <c r="AH14" s="100">
        <f ca="1" t="shared" si="10"/>
        <v>0.00275278464557898</v>
      </c>
      <c r="AI14" s="100">
        <f ca="1" t="shared" si="10"/>
        <v>0.0202125761476308</v>
      </c>
      <c r="AJ14" s="100">
        <f ca="1" t="shared" si="10"/>
        <v>0.0242652868758443</v>
      </c>
      <c r="AK14" s="100">
        <f ca="1" t="shared" ref="AK14:AW14" si="12">AK13/SUM($D$13:$AJ$13)</f>
        <v>0.00525068182397472</v>
      </c>
      <c r="AL14" s="100">
        <f ca="1" t="shared" ref="AL14" si="13">AL13/SUM($D$13:$AJ$13)</f>
        <v>0.0118777559707389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0.0031655611146102</v>
      </c>
      <c r="E15" s="100">
        <f ca="1">E13/'non-road'!DC21</f>
        <v>0.000536973746397956</v>
      </c>
      <c r="F15" s="100">
        <f ca="1">F13/'non-road'!DD21</f>
        <v>0.020145314341808</v>
      </c>
      <c r="G15" s="100">
        <f ca="1">G13/'non-road'!DE21</f>
        <v>0.0278155659059992</v>
      </c>
      <c r="H15" s="100">
        <f ca="1">H13/'non-road'!DF21</f>
        <v>0.0228671419055289</v>
      </c>
      <c r="I15" s="100">
        <f ca="1">I13/'non-road'!DG21</f>
        <v>0.0177226099863648</v>
      </c>
      <c r="J15" s="100">
        <f ca="1">J13/'non-road'!DH21</f>
        <v>0.0104335465529495</v>
      </c>
      <c r="K15" s="100">
        <f ca="1">K13/'non-road'!DI21</f>
        <v>0.00199467704547406</v>
      </c>
      <c r="L15" s="100">
        <f ca="1">L13/'non-road'!DJ21</f>
        <v>0.0175505879446961</v>
      </c>
      <c r="M15" s="100">
        <f ca="1">M13/'non-road'!DK21</f>
        <v>0.0145726944912114</v>
      </c>
      <c r="N15" s="100">
        <f ca="1">N13/'non-road'!DL21</f>
        <v>0.0184538334456028</v>
      </c>
      <c r="O15" s="100">
        <f ca="1">O13/'non-road'!DM21</f>
        <v>0.0157654676085832</v>
      </c>
      <c r="P15" s="100">
        <f ca="1">P13/'non-road'!DN21</f>
        <v>0.00889249062723099</v>
      </c>
      <c r="Q15" s="100">
        <f ca="1">Q13/'non-road'!DO21</f>
        <v>0.0101609978265986</v>
      </c>
      <c r="R15" s="100">
        <f ca="1">R13/'non-road'!DP21</f>
        <v>0.0221875234009036</v>
      </c>
      <c r="S15" s="100">
        <f ca="1">S13/'non-road'!DQ21</f>
        <v>0.000931631562769866</v>
      </c>
      <c r="T15" s="100">
        <f ca="1">T13/'non-road'!DR21</f>
        <v>0.0235087164646133</v>
      </c>
      <c r="U15" s="100">
        <f ca="1">U13/'non-road'!DS21</f>
        <v>0.0141118276340864</v>
      </c>
      <c r="V15" s="100">
        <f ca="1">V13/'non-road'!DT21</f>
        <v>0.00766641587138162</v>
      </c>
      <c r="W15" s="100">
        <f ca="1">W13/'non-road'!DU21</f>
        <v>0.00543032154783983</v>
      </c>
      <c r="X15" s="100">
        <f ca="1">X13/'non-road'!DV21</f>
        <v>0.00788037465475625</v>
      </c>
      <c r="Y15" s="100">
        <f ca="1">Y13/'non-road'!DW21</f>
        <v>0.0194164369804705</v>
      </c>
      <c r="Z15" s="100">
        <f ca="1">Z13/'non-road'!DX21</f>
        <v>0.0177639821238243</v>
      </c>
      <c r="AA15" s="100">
        <f ca="1">AA13/'non-road'!DY21</f>
        <v>0.0141180808892284</v>
      </c>
      <c r="AB15" s="100">
        <f ca="1">AB13/'non-road'!DZ21</f>
        <v>0.003064183162689</v>
      </c>
      <c r="AC15" s="100">
        <f ca="1">AC13/'non-road'!EA21</f>
        <v>0.00651394435908346</v>
      </c>
      <c r="AD15" s="100">
        <f ca="1">AD13/'non-road'!EB21</f>
        <v>0.0277222522141325</v>
      </c>
      <c r="AE15" s="100">
        <f ca="1">AE13/'non-road'!EC21</f>
        <v>0.00334709170177413</v>
      </c>
      <c r="AF15" s="100">
        <f ca="1">AF13/'non-road'!ED21</f>
        <v>0.0509406163030871</v>
      </c>
      <c r="AG15" s="100">
        <f ca="1">AG13/'non-road'!EE21</f>
        <v>0.016285040016322</v>
      </c>
      <c r="AH15" s="100">
        <f ca="1">AH13/'non-road'!EF21</f>
        <v>0.012594340942803</v>
      </c>
      <c r="AI15" s="100">
        <f ca="1">AI13/'non-road'!EG21</f>
        <v>0.00950501980112574</v>
      </c>
      <c r="AJ15" s="100">
        <f ca="1">AJ13/'non-road'!EH21</f>
        <v>0.0142437567609218</v>
      </c>
      <c r="AK15" s="100">
        <f ca="1">AK13/'non-road'!EI21</f>
        <v>0.00437837211699605</v>
      </c>
      <c r="AL15" s="100">
        <f ca="1">AL13/'non-road'!EJ21</f>
        <v>0.0294826466154301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6">
        <f ca="1">ROUND(D4*D28/D36,3)</f>
        <v>0</v>
      </c>
      <c r="E19" s="76">
        <f ca="1" t="shared" ref="E19:U19" si="19">ROUND(E4*E28/E36,3)</f>
        <v>0</v>
      </c>
      <c r="F19" s="76">
        <f ca="1" t="shared" si="19"/>
        <v>0</v>
      </c>
      <c r="G19" s="76">
        <f ca="1" t="shared" si="19"/>
        <v>0.016</v>
      </c>
      <c r="H19" s="76">
        <f ca="1" t="shared" si="19"/>
        <v>0.005</v>
      </c>
      <c r="I19" s="76">
        <f ca="1" t="shared" si="19"/>
        <v>0.033</v>
      </c>
      <c r="J19" s="76">
        <f ca="1" t="shared" si="19"/>
        <v>0.675</v>
      </c>
      <c r="K19" s="76">
        <f ca="1" t="shared" si="19"/>
        <v>0.026</v>
      </c>
      <c r="L19" s="76">
        <f ca="1" t="shared" si="19"/>
        <v>0.005</v>
      </c>
      <c r="M19" s="76">
        <f ca="1" t="shared" si="19"/>
        <v>0.014</v>
      </c>
      <c r="N19" s="76">
        <f ca="1" t="shared" si="19"/>
        <v>0.094</v>
      </c>
      <c r="O19" s="76">
        <f ca="1" t="shared" si="19"/>
        <v>0.071</v>
      </c>
      <c r="P19" s="76">
        <f ca="1" t="shared" si="19"/>
        <v>0.006</v>
      </c>
      <c r="Q19" s="76">
        <f ca="1" t="shared" si="19"/>
        <v>0.022</v>
      </c>
      <c r="R19" s="76">
        <f ca="1" t="shared" si="19"/>
        <v>0.001</v>
      </c>
      <c r="S19" s="76">
        <f ca="1" t="shared" si="19"/>
        <v>0.001</v>
      </c>
      <c r="T19" s="76">
        <f ca="1" t="shared" si="19"/>
        <v>0.006</v>
      </c>
      <c r="U19" s="76">
        <f ca="1" t="shared" si="19"/>
        <v>0.047</v>
      </c>
      <c r="V19" s="76">
        <f ca="1" t="shared" ref="V19:AW19" si="20">ROUND(V4*V28/V36,3)</f>
        <v>0.001</v>
      </c>
      <c r="W19" s="76">
        <f ca="1" t="shared" si="20"/>
        <v>0.077</v>
      </c>
      <c r="X19" s="76">
        <f ca="1" t="shared" si="20"/>
        <v>0</v>
      </c>
      <c r="Y19" s="76">
        <f ca="1" t="shared" si="20"/>
        <v>0.253</v>
      </c>
      <c r="Z19" s="76">
        <f ca="1" t="shared" si="20"/>
        <v>0.016</v>
      </c>
      <c r="AA19" s="76">
        <f ca="1" t="shared" si="20"/>
        <v>0.029</v>
      </c>
      <c r="AB19" s="76">
        <f ca="1" t="shared" si="20"/>
        <v>0.274</v>
      </c>
      <c r="AC19" s="76">
        <f ca="1" t="shared" si="20"/>
        <v>0</v>
      </c>
      <c r="AD19" s="76">
        <f ca="1" t="shared" si="20"/>
        <v>0</v>
      </c>
      <c r="AE19" s="76">
        <f ca="1" t="shared" si="20"/>
        <v>0</v>
      </c>
      <c r="AF19" s="76">
        <f ca="1" t="shared" si="20"/>
        <v>0.188</v>
      </c>
      <c r="AG19" s="76">
        <f ca="1" t="shared" si="20"/>
        <v>0.064</v>
      </c>
      <c r="AH19" s="76">
        <f ca="1" t="shared" si="20"/>
        <v>0.006</v>
      </c>
      <c r="AI19" s="76">
        <f ca="1" t="shared" si="20"/>
        <v>0.004</v>
      </c>
      <c r="AJ19" s="76">
        <f ca="1" t="shared" si="20"/>
        <v>0.047</v>
      </c>
      <c r="AK19" s="76">
        <f ca="1" t="shared" si="20"/>
        <v>0</v>
      </c>
      <c r="AL19" s="76">
        <f ca="1" t="shared" si="20"/>
        <v>0.012</v>
      </c>
      <c r="AM19" s="76">
        <f ca="1" t="shared" si="20"/>
        <v>0</v>
      </c>
      <c r="AN19" s="76">
        <f ca="1" t="shared" si="20"/>
        <v>0</v>
      </c>
      <c r="AO19" s="76">
        <f ca="1" t="shared" si="20"/>
        <v>0</v>
      </c>
      <c r="AP19" s="76">
        <f ca="1" t="shared" si="20"/>
        <v>0</v>
      </c>
      <c r="AQ19" s="76">
        <f ca="1" t="shared" si="20"/>
        <v>0</v>
      </c>
      <c r="AR19" s="76">
        <f ca="1" t="shared" si="20"/>
        <v>0</v>
      </c>
      <c r="AS19" s="76">
        <f ca="1" t="shared" si="20"/>
        <v>0</v>
      </c>
      <c r="AT19" s="76">
        <f ca="1" t="shared" si="20"/>
        <v>0</v>
      </c>
      <c r="AU19" s="76">
        <f ca="1" t="shared" si="20"/>
        <v>0</v>
      </c>
      <c r="AV19" s="76">
        <f ca="1" t="shared" si="20"/>
        <v>0</v>
      </c>
      <c r="AW19" s="76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6">
        <f ca="1" t="shared" ref="D20:AW25" si="21">ROUND(D5*D29/D37,3)</f>
        <v>0</v>
      </c>
      <c r="E20" s="76">
        <f ca="1" t="shared" ref="E20:U20" si="22">ROUND(E5*E29/E37,3)</f>
        <v>0</v>
      </c>
      <c r="F20" s="76">
        <f ca="1" t="shared" si="22"/>
        <v>0</v>
      </c>
      <c r="G20" s="76">
        <f ca="1" t="shared" si="22"/>
        <v>0</v>
      </c>
      <c r="H20" s="76">
        <f ca="1" t="shared" si="22"/>
        <v>0</v>
      </c>
      <c r="I20" s="76">
        <f ca="1" t="shared" si="22"/>
        <v>0</v>
      </c>
      <c r="J20" s="76">
        <f ca="1" t="shared" si="22"/>
        <v>0</v>
      </c>
      <c r="K20" s="76">
        <f ca="1" t="shared" si="22"/>
        <v>0</v>
      </c>
      <c r="L20" s="76">
        <f ca="1" t="shared" si="22"/>
        <v>0</v>
      </c>
      <c r="M20" s="76">
        <f ca="1" t="shared" si="22"/>
        <v>0</v>
      </c>
      <c r="N20" s="76">
        <f ca="1" t="shared" si="22"/>
        <v>0</v>
      </c>
      <c r="O20" s="76">
        <f ca="1" t="shared" si="22"/>
        <v>0</v>
      </c>
      <c r="P20" s="76">
        <f ca="1" t="shared" si="22"/>
        <v>0</v>
      </c>
      <c r="Q20" s="76">
        <f ca="1" t="shared" si="22"/>
        <v>0</v>
      </c>
      <c r="R20" s="76">
        <f ca="1" t="shared" si="22"/>
        <v>0</v>
      </c>
      <c r="S20" s="76">
        <f ca="1" t="shared" si="22"/>
        <v>0</v>
      </c>
      <c r="T20" s="76">
        <f ca="1" t="shared" si="22"/>
        <v>0</v>
      </c>
      <c r="U20" s="76">
        <f ca="1" t="shared" si="22"/>
        <v>0</v>
      </c>
      <c r="V20" s="76">
        <f ca="1" t="shared" si="21"/>
        <v>0</v>
      </c>
      <c r="W20" s="76">
        <f ca="1" t="shared" si="21"/>
        <v>0</v>
      </c>
      <c r="X20" s="76">
        <f ca="1" t="shared" si="21"/>
        <v>0</v>
      </c>
      <c r="Y20" s="76">
        <f ca="1" t="shared" si="21"/>
        <v>0</v>
      </c>
      <c r="Z20" s="76">
        <f ca="1" t="shared" si="21"/>
        <v>0</v>
      </c>
      <c r="AA20" s="76">
        <f ca="1" t="shared" si="21"/>
        <v>0</v>
      </c>
      <c r="AB20" s="76">
        <f ca="1" t="shared" si="21"/>
        <v>0</v>
      </c>
      <c r="AC20" s="76">
        <f ca="1" t="shared" si="21"/>
        <v>0</v>
      </c>
      <c r="AD20" s="76">
        <f ca="1" t="shared" si="21"/>
        <v>0</v>
      </c>
      <c r="AE20" s="76">
        <f ca="1" t="shared" si="21"/>
        <v>0</v>
      </c>
      <c r="AF20" s="76">
        <f ca="1" t="shared" si="21"/>
        <v>0</v>
      </c>
      <c r="AG20" s="76">
        <f ca="1" t="shared" si="21"/>
        <v>0</v>
      </c>
      <c r="AH20" s="76">
        <f ca="1" t="shared" si="21"/>
        <v>0</v>
      </c>
      <c r="AI20" s="76">
        <f ca="1" t="shared" si="21"/>
        <v>0</v>
      </c>
      <c r="AJ20" s="76">
        <f ca="1" t="shared" si="21"/>
        <v>0</v>
      </c>
      <c r="AK20" s="76">
        <f ca="1" t="shared" si="21"/>
        <v>0</v>
      </c>
      <c r="AL20" s="76">
        <f ca="1" t="shared" si="21"/>
        <v>0</v>
      </c>
      <c r="AM20" s="76">
        <f ca="1" t="shared" si="21"/>
        <v>0</v>
      </c>
      <c r="AN20" s="76">
        <f ca="1" t="shared" si="21"/>
        <v>0</v>
      </c>
      <c r="AO20" s="76">
        <f ca="1" t="shared" si="21"/>
        <v>0</v>
      </c>
      <c r="AP20" s="76">
        <f ca="1" t="shared" si="21"/>
        <v>0</v>
      </c>
      <c r="AQ20" s="76">
        <f ca="1" t="shared" si="21"/>
        <v>0</v>
      </c>
      <c r="AR20" s="76">
        <f ca="1" t="shared" si="21"/>
        <v>0</v>
      </c>
      <c r="AS20" s="76">
        <f ca="1" t="shared" si="21"/>
        <v>0</v>
      </c>
      <c r="AT20" s="76">
        <f ca="1" t="shared" si="21"/>
        <v>0</v>
      </c>
      <c r="AU20" s="76">
        <f ca="1" t="shared" si="21"/>
        <v>0</v>
      </c>
      <c r="AV20" s="76">
        <f ca="1" t="shared" si="21"/>
        <v>0</v>
      </c>
      <c r="AW20" s="76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6">
        <f ca="1" t="shared" si="21"/>
        <v>0.628</v>
      </c>
      <c r="E21" s="76">
        <f ca="1" t="shared" ref="E21:U21" si="23">ROUND(E6*E30/E38,3)</f>
        <v>0.558</v>
      </c>
      <c r="F21" s="76">
        <f ca="1" t="shared" si="23"/>
        <v>0.511</v>
      </c>
      <c r="G21" s="76">
        <f ca="1" t="shared" si="23"/>
        <v>0.231</v>
      </c>
      <c r="H21" s="76">
        <f ca="1" t="shared" si="23"/>
        <v>0.128</v>
      </c>
      <c r="I21" s="76">
        <f ca="1" t="shared" si="23"/>
        <v>0.489</v>
      </c>
      <c r="J21" s="76">
        <f ca="1" t="shared" si="23"/>
        <v>1.489</v>
      </c>
      <c r="K21" s="76">
        <f ca="1" t="shared" si="23"/>
        <v>2.678</v>
      </c>
      <c r="L21" s="76">
        <f ca="1" t="shared" si="23"/>
        <v>0.101</v>
      </c>
      <c r="M21" s="76">
        <f ca="1" t="shared" si="23"/>
        <v>0.216</v>
      </c>
      <c r="N21" s="76">
        <f ca="1" t="shared" si="23"/>
        <v>1.147</v>
      </c>
      <c r="O21" s="76">
        <f ca="1" t="shared" si="23"/>
        <v>1.239</v>
      </c>
      <c r="P21" s="76">
        <f ca="1" t="shared" si="23"/>
        <v>0.1</v>
      </c>
      <c r="Q21" s="76">
        <f ca="1" t="shared" si="23"/>
        <v>0.337</v>
      </c>
      <c r="R21" s="76">
        <f ca="1" t="shared" si="23"/>
        <v>0.007</v>
      </c>
      <c r="S21" s="76">
        <f ca="1" t="shared" si="23"/>
        <v>1.272</v>
      </c>
      <c r="T21" s="76">
        <f ca="1" t="shared" si="23"/>
        <v>0.11</v>
      </c>
      <c r="U21" s="76">
        <f ca="1" t="shared" si="23"/>
        <v>0.803</v>
      </c>
      <c r="V21" s="76">
        <f ca="1" t="shared" si="21"/>
        <v>0.967</v>
      </c>
      <c r="W21" s="76">
        <f ca="1" t="shared" si="21"/>
        <v>1.529</v>
      </c>
      <c r="X21" s="76">
        <f ca="1" t="shared" si="21"/>
        <v>1.409</v>
      </c>
      <c r="Y21" s="76">
        <f ca="1" t="shared" si="21"/>
        <v>7.795</v>
      </c>
      <c r="Z21" s="76">
        <f ca="1" t="shared" si="21"/>
        <v>0.079</v>
      </c>
      <c r="AA21" s="76">
        <f ca="1" t="shared" si="21"/>
        <v>0.496</v>
      </c>
      <c r="AB21" s="76">
        <f ca="1" t="shared" si="21"/>
        <v>3.861</v>
      </c>
      <c r="AC21" s="76">
        <f ca="1" t="shared" si="21"/>
        <v>0.743</v>
      </c>
      <c r="AD21" s="76">
        <f ca="1" t="shared" si="21"/>
        <v>0.801</v>
      </c>
      <c r="AE21" s="76">
        <f ca="1" t="shared" si="21"/>
        <v>0.196</v>
      </c>
      <c r="AF21" s="76">
        <f ca="1" t="shared" si="21"/>
        <v>2.737</v>
      </c>
      <c r="AG21" s="76">
        <f ca="1" t="shared" si="21"/>
        <v>0.288</v>
      </c>
      <c r="AH21" s="76">
        <f ca="1" t="shared" si="21"/>
        <v>0.102</v>
      </c>
      <c r="AI21" s="76">
        <f ca="1" t="shared" si="21"/>
        <v>0.774</v>
      </c>
      <c r="AJ21" s="76">
        <f ca="1" t="shared" si="21"/>
        <v>0.905</v>
      </c>
      <c r="AK21" s="76">
        <f ca="1" t="shared" si="21"/>
        <v>0.193</v>
      </c>
      <c r="AL21" s="76">
        <f ca="1" t="shared" si="21"/>
        <v>0.448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6">
        <f ca="1" t="shared" si="21"/>
        <v>0</v>
      </c>
      <c r="E22" s="76">
        <f ca="1" t="shared" ref="E22:U22" si="24">ROUND(E7*E31/E39,3)</f>
        <v>0</v>
      </c>
      <c r="F22" s="76">
        <f ca="1" t="shared" si="24"/>
        <v>0</v>
      </c>
      <c r="G22" s="76">
        <f ca="1" t="shared" si="24"/>
        <v>0</v>
      </c>
      <c r="H22" s="76">
        <f ca="1" t="shared" si="24"/>
        <v>0</v>
      </c>
      <c r="I22" s="76">
        <f ca="1" t="shared" si="24"/>
        <v>0</v>
      </c>
      <c r="J22" s="76">
        <f ca="1" t="shared" si="24"/>
        <v>0</v>
      </c>
      <c r="K22" s="76">
        <f ca="1" t="shared" si="24"/>
        <v>0</v>
      </c>
      <c r="L22" s="76">
        <f ca="1" t="shared" si="24"/>
        <v>0</v>
      </c>
      <c r="M22" s="76">
        <f ca="1" t="shared" si="24"/>
        <v>0</v>
      </c>
      <c r="N22" s="76">
        <f ca="1" t="shared" si="24"/>
        <v>0</v>
      </c>
      <c r="O22" s="76">
        <f ca="1" t="shared" si="24"/>
        <v>0</v>
      </c>
      <c r="P22" s="76">
        <f ca="1" t="shared" si="24"/>
        <v>0</v>
      </c>
      <c r="Q22" s="76">
        <f ca="1" t="shared" si="24"/>
        <v>0</v>
      </c>
      <c r="R22" s="76">
        <f ca="1" t="shared" si="24"/>
        <v>0</v>
      </c>
      <c r="S22" s="76">
        <f ca="1" t="shared" si="24"/>
        <v>0</v>
      </c>
      <c r="T22" s="76">
        <f ca="1" t="shared" si="24"/>
        <v>0</v>
      </c>
      <c r="U22" s="76">
        <f ca="1" t="shared" si="24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6">
        <f ca="1" t="shared" si="21"/>
        <v>0</v>
      </c>
      <c r="E23" s="76">
        <f ca="1" t="shared" ref="E23:U23" si="25">ROUND(E8*E32/E40,3)</f>
        <v>0</v>
      </c>
      <c r="F23" s="76">
        <f ca="1" t="shared" si="25"/>
        <v>0</v>
      </c>
      <c r="G23" s="76">
        <f ca="1" t="shared" si="25"/>
        <v>0</v>
      </c>
      <c r="H23" s="76">
        <f ca="1" t="shared" si="25"/>
        <v>0.005</v>
      </c>
      <c r="I23" s="76">
        <f ca="1" t="shared" si="25"/>
        <v>0</v>
      </c>
      <c r="J23" s="76">
        <f ca="1" t="shared" si="25"/>
        <v>0.038</v>
      </c>
      <c r="K23" s="76">
        <f ca="1" t="shared" si="25"/>
        <v>0.084</v>
      </c>
      <c r="L23" s="76">
        <f ca="1" t="shared" si="25"/>
        <v>0.002</v>
      </c>
      <c r="M23" s="76">
        <f ca="1" t="shared" si="25"/>
        <v>0.005</v>
      </c>
      <c r="N23" s="76">
        <f ca="1" t="shared" si="25"/>
        <v>0</v>
      </c>
      <c r="O23" s="76">
        <f ca="1" t="shared" si="25"/>
        <v>0</v>
      </c>
      <c r="P23" s="76">
        <f ca="1" t="shared" si="25"/>
        <v>0</v>
      </c>
      <c r="Q23" s="76">
        <f ca="1" t="shared" si="25"/>
        <v>0.008</v>
      </c>
      <c r="R23" s="76">
        <f ca="1" t="shared" si="25"/>
        <v>0</v>
      </c>
      <c r="S23" s="76">
        <f ca="1" t="shared" si="25"/>
        <v>0</v>
      </c>
      <c r="T23" s="76">
        <f ca="1" t="shared" si="25"/>
        <v>0</v>
      </c>
      <c r="U23" s="76">
        <f ca="1" t="shared" si="25"/>
        <v>0</v>
      </c>
      <c r="V23" s="76">
        <f ca="1" t="shared" si="21"/>
        <v>0</v>
      </c>
      <c r="W23" s="76">
        <f ca="1" t="shared" si="21"/>
        <v>0.071</v>
      </c>
      <c r="X23" s="76">
        <f ca="1" t="shared" si="21"/>
        <v>0.345</v>
      </c>
      <c r="Y23" s="76">
        <f ca="1" t="shared" si="21"/>
        <v>1.534</v>
      </c>
      <c r="Z23" s="76">
        <f ca="1" t="shared" si="21"/>
        <v>0</v>
      </c>
      <c r="AA23" s="76">
        <f ca="1" t="shared" si="21"/>
        <v>0.011</v>
      </c>
      <c r="AB23" s="76">
        <f ca="1" t="shared" si="21"/>
        <v>0</v>
      </c>
      <c r="AC23" s="76">
        <f ca="1" t="shared" si="21"/>
        <v>0.259</v>
      </c>
      <c r="AD23" s="76">
        <f ca="1" t="shared" si="21"/>
        <v>0.149</v>
      </c>
      <c r="AE23" s="76">
        <f ca="1" t="shared" si="21"/>
        <v>0</v>
      </c>
      <c r="AF23" s="76">
        <f ca="1" t="shared" si="21"/>
        <v>0</v>
      </c>
      <c r="AG23" s="76">
        <f ca="1" t="shared" si="21"/>
        <v>0</v>
      </c>
      <c r="AH23" s="76">
        <f ca="1" t="shared" si="21"/>
        <v>0</v>
      </c>
      <c r="AI23" s="76">
        <f ca="1" t="shared" si="21"/>
        <v>0.015</v>
      </c>
      <c r="AJ23" s="76">
        <f ca="1" t="shared" si="21"/>
        <v>0</v>
      </c>
      <c r="AK23" s="76">
        <f ca="1" t="shared" si="21"/>
        <v>0.013</v>
      </c>
      <c r="AL23" s="76">
        <f ca="1" t="shared" si="21"/>
        <v>0.006</v>
      </c>
      <c r="AM23" s="76">
        <f ca="1" t="shared" si="21"/>
        <v>0</v>
      </c>
      <c r="AN23" s="76">
        <f ca="1" t="shared" si="21"/>
        <v>0</v>
      </c>
      <c r="AO23" s="76">
        <f ca="1" t="shared" si="21"/>
        <v>0</v>
      </c>
      <c r="AP23" s="76">
        <f ca="1" t="shared" si="21"/>
        <v>0</v>
      </c>
      <c r="AQ23" s="76">
        <f ca="1" t="shared" si="21"/>
        <v>0</v>
      </c>
      <c r="AR23" s="76">
        <f ca="1" t="shared" si="21"/>
        <v>0</v>
      </c>
      <c r="AS23" s="76">
        <f ca="1" t="shared" si="21"/>
        <v>0</v>
      </c>
      <c r="AT23" s="76">
        <f ca="1" t="shared" si="21"/>
        <v>0</v>
      </c>
      <c r="AU23" s="76">
        <f ca="1" t="shared" si="21"/>
        <v>0</v>
      </c>
      <c r="AV23" s="76">
        <f ca="1" t="shared" si="21"/>
        <v>0</v>
      </c>
      <c r="AW23" s="76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6">
        <f ca="1" t="shared" si="21"/>
        <v>0</v>
      </c>
      <c r="E24" s="76">
        <f ca="1" t="shared" ref="E24:U24" si="26">ROUND(E9*E33/E41,3)</f>
        <v>0</v>
      </c>
      <c r="F24" s="76">
        <f ca="1" t="shared" si="26"/>
        <v>0</v>
      </c>
      <c r="G24" s="76">
        <f ca="1" t="shared" si="26"/>
        <v>0</v>
      </c>
      <c r="H24" s="76">
        <f ca="1" t="shared" si="26"/>
        <v>0</v>
      </c>
      <c r="I24" s="76">
        <f ca="1" t="shared" si="26"/>
        <v>0</v>
      </c>
      <c r="J24" s="76">
        <f ca="1" t="shared" si="26"/>
        <v>0</v>
      </c>
      <c r="K24" s="76">
        <f ca="1" t="shared" si="26"/>
        <v>0</v>
      </c>
      <c r="L24" s="76">
        <f ca="1" t="shared" si="26"/>
        <v>0</v>
      </c>
      <c r="M24" s="76">
        <f ca="1" t="shared" si="26"/>
        <v>0</v>
      </c>
      <c r="N24" s="76">
        <f ca="1" t="shared" si="26"/>
        <v>0</v>
      </c>
      <c r="O24" s="76">
        <f ca="1" t="shared" si="26"/>
        <v>0</v>
      </c>
      <c r="P24" s="76">
        <f ca="1" t="shared" si="26"/>
        <v>0</v>
      </c>
      <c r="Q24" s="76">
        <f ca="1" t="shared" si="26"/>
        <v>0</v>
      </c>
      <c r="R24" s="76">
        <f ca="1" t="shared" si="26"/>
        <v>0</v>
      </c>
      <c r="S24" s="76">
        <f ca="1" t="shared" si="26"/>
        <v>0</v>
      </c>
      <c r="T24" s="76">
        <f ca="1" t="shared" si="26"/>
        <v>0</v>
      </c>
      <c r="U24" s="76">
        <f ca="1" t="shared" si="26"/>
        <v>0</v>
      </c>
      <c r="V24" s="76">
        <f ca="1" t="shared" si="21"/>
        <v>0</v>
      </c>
      <c r="W24" s="76">
        <f ca="1" t="shared" si="21"/>
        <v>0</v>
      </c>
      <c r="X24" s="76">
        <f ca="1" t="shared" si="21"/>
        <v>0</v>
      </c>
      <c r="Y24" s="76">
        <f ca="1" t="shared" si="21"/>
        <v>0</v>
      </c>
      <c r="Z24" s="76">
        <f ca="1" t="shared" si="21"/>
        <v>0</v>
      </c>
      <c r="AA24" s="76">
        <f ca="1" t="shared" si="21"/>
        <v>0</v>
      </c>
      <c r="AB24" s="76">
        <f ca="1" t="shared" si="21"/>
        <v>0</v>
      </c>
      <c r="AC24" s="76">
        <f ca="1" t="shared" si="21"/>
        <v>0</v>
      </c>
      <c r="AD24" s="76">
        <f ca="1" t="shared" si="21"/>
        <v>0</v>
      </c>
      <c r="AE24" s="76">
        <f ca="1" t="shared" si="21"/>
        <v>0</v>
      </c>
      <c r="AF24" s="76">
        <f ca="1" t="shared" si="21"/>
        <v>0</v>
      </c>
      <c r="AG24" s="76">
        <f ca="1" t="shared" si="21"/>
        <v>0</v>
      </c>
      <c r="AH24" s="76">
        <f ca="1" t="shared" si="21"/>
        <v>0</v>
      </c>
      <c r="AI24" s="76">
        <f ca="1" t="shared" si="21"/>
        <v>0</v>
      </c>
      <c r="AJ24" s="76">
        <f ca="1" t="shared" si="21"/>
        <v>0</v>
      </c>
      <c r="AK24" s="76">
        <f ca="1" t="shared" si="21"/>
        <v>0</v>
      </c>
      <c r="AL24" s="76">
        <f ca="1" t="shared" si="21"/>
        <v>0</v>
      </c>
      <c r="AM24" s="76">
        <f ca="1" t="shared" si="21"/>
        <v>0</v>
      </c>
      <c r="AN24" s="76">
        <f ca="1" t="shared" si="21"/>
        <v>0</v>
      </c>
      <c r="AO24" s="76">
        <f ca="1" t="shared" si="21"/>
        <v>0</v>
      </c>
      <c r="AP24" s="76">
        <f ca="1" t="shared" si="21"/>
        <v>0</v>
      </c>
      <c r="AQ24" s="76">
        <f ca="1" t="shared" si="21"/>
        <v>0</v>
      </c>
      <c r="AR24" s="76">
        <f ca="1" t="shared" si="21"/>
        <v>0</v>
      </c>
      <c r="AS24" s="76">
        <f ca="1" t="shared" si="21"/>
        <v>0</v>
      </c>
      <c r="AT24" s="76">
        <f ca="1" t="shared" si="21"/>
        <v>0</v>
      </c>
      <c r="AU24" s="76">
        <f ca="1" t="shared" si="21"/>
        <v>0</v>
      </c>
      <c r="AV24" s="76">
        <f ca="1" t="shared" si="21"/>
        <v>0</v>
      </c>
      <c r="AW24" s="76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6">
        <f ca="1" t="shared" si="21"/>
        <v>0</v>
      </c>
      <c r="E25" s="76">
        <f ca="1" t="shared" ref="E25:U25" si="27">ROUND(E10*E34/E42,3)</f>
        <v>0</v>
      </c>
      <c r="F25" s="76">
        <f ca="1" t="shared" si="27"/>
        <v>0</v>
      </c>
      <c r="G25" s="76">
        <f ca="1" t="shared" si="27"/>
        <v>0</v>
      </c>
      <c r="H25" s="76">
        <f ca="1" t="shared" si="27"/>
        <v>0</v>
      </c>
      <c r="I25" s="76">
        <f ca="1" t="shared" si="27"/>
        <v>0</v>
      </c>
      <c r="J25" s="76">
        <f ca="1" t="shared" si="27"/>
        <v>0</v>
      </c>
      <c r="K25" s="76">
        <f ca="1" t="shared" si="27"/>
        <v>0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</v>
      </c>
      <c r="T25" s="76">
        <f ca="1" t="shared" si="27"/>
        <v>0</v>
      </c>
      <c r="U25" s="76">
        <f ca="1" t="shared" si="27"/>
        <v>0</v>
      </c>
      <c r="V25" s="76">
        <f ca="1" t="shared" si="21"/>
        <v>0</v>
      </c>
      <c r="W25" s="76">
        <f ca="1" t="shared" si="21"/>
        <v>0</v>
      </c>
      <c r="X25" s="76">
        <f ca="1" t="shared" si="21"/>
        <v>0</v>
      </c>
      <c r="Y25" s="76">
        <f ca="1" t="shared" si="21"/>
        <v>0</v>
      </c>
      <c r="Z25" s="76">
        <f ca="1" t="shared" si="21"/>
        <v>0</v>
      </c>
      <c r="AA25" s="76">
        <f ca="1" t="shared" si="21"/>
        <v>0</v>
      </c>
      <c r="AB25" s="76">
        <f ca="1" t="shared" si="21"/>
        <v>0</v>
      </c>
      <c r="AC25" s="76">
        <f ca="1" t="shared" si="21"/>
        <v>0</v>
      </c>
      <c r="AD25" s="76">
        <f ca="1" t="shared" si="21"/>
        <v>0</v>
      </c>
      <c r="AE25" s="76">
        <f ca="1" t="shared" si="21"/>
        <v>0</v>
      </c>
      <c r="AF25" s="76">
        <f ca="1" t="shared" si="21"/>
        <v>0</v>
      </c>
      <c r="AG25" s="76">
        <f ca="1" t="shared" si="21"/>
        <v>0</v>
      </c>
      <c r="AH25" s="76">
        <f ca="1" t="shared" si="21"/>
        <v>0</v>
      </c>
      <c r="AI25" s="76">
        <f ca="1" t="shared" si="21"/>
        <v>0</v>
      </c>
      <c r="AJ25" s="76">
        <f ca="1" t="shared" si="21"/>
        <v>0</v>
      </c>
      <c r="AK25" s="76">
        <f ca="1" t="shared" si="21"/>
        <v>0</v>
      </c>
      <c r="AL25" s="76">
        <f ca="1" t="shared" si="21"/>
        <v>0</v>
      </c>
      <c r="AM25" s="76">
        <f ca="1" t="shared" si="21"/>
        <v>0</v>
      </c>
      <c r="AN25" s="76">
        <f ca="1" t="shared" si="21"/>
        <v>0</v>
      </c>
      <c r="AO25" s="76">
        <f ca="1" t="shared" si="21"/>
        <v>0</v>
      </c>
      <c r="AP25" s="76">
        <f ca="1" t="shared" si="21"/>
        <v>0</v>
      </c>
      <c r="AQ25" s="76">
        <f ca="1" t="shared" si="21"/>
        <v>0</v>
      </c>
      <c r="AR25" s="76">
        <f ca="1" t="shared" si="21"/>
        <v>0</v>
      </c>
      <c r="AS25" s="76">
        <f ca="1" t="shared" si="21"/>
        <v>0</v>
      </c>
      <c r="AT25" s="76">
        <f ca="1" t="shared" si="21"/>
        <v>0</v>
      </c>
      <c r="AU25" s="76">
        <f ca="1" t="shared" si="21"/>
        <v>0</v>
      </c>
      <c r="AV25" s="76">
        <f ca="1" t="shared" si="21"/>
        <v>0</v>
      </c>
      <c r="AW25" s="76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4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4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4">
        <v>0.139365903767697</v>
      </c>
      <c r="AY30" t="s">
        <v>153</v>
      </c>
      <c r="AZ30" s="105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4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4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f>62.5*1.6</f>
        <v>100</v>
      </c>
      <c r="E36" s="76">
        <f t="shared" ref="E36:U42" si="33">62.5*1.6</f>
        <v>100</v>
      </c>
      <c r="F36" s="76">
        <f t="shared" si="33"/>
        <v>100</v>
      </c>
      <c r="G36" s="76">
        <f t="shared" si="33"/>
        <v>100</v>
      </c>
      <c r="H36" s="76">
        <f t="shared" si="33"/>
        <v>100</v>
      </c>
      <c r="I36" s="76">
        <f t="shared" si="33"/>
        <v>100</v>
      </c>
      <c r="J36" s="76">
        <f t="shared" si="33"/>
        <v>100</v>
      </c>
      <c r="K36" s="76">
        <f t="shared" si="33"/>
        <v>100</v>
      </c>
      <c r="L36" s="76">
        <f t="shared" si="33"/>
        <v>100</v>
      </c>
      <c r="M36" s="76">
        <f t="shared" si="33"/>
        <v>100</v>
      </c>
      <c r="N36" s="76">
        <f t="shared" si="33"/>
        <v>100</v>
      </c>
      <c r="O36" s="76">
        <f t="shared" si="33"/>
        <v>100</v>
      </c>
      <c r="P36" s="76">
        <f t="shared" si="33"/>
        <v>100</v>
      </c>
      <c r="Q36" s="76">
        <f t="shared" si="33"/>
        <v>100</v>
      </c>
      <c r="R36" s="76">
        <f t="shared" si="33"/>
        <v>100</v>
      </c>
      <c r="S36" s="76">
        <f t="shared" si="33"/>
        <v>100</v>
      </c>
      <c r="T36" s="76">
        <f t="shared" si="33"/>
        <v>100</v>
      </c>
      <c r="U36" s="76">
        <f t="shared" si="33"/>
        <v>100</v>
      </c>
      <c r="V36" s="76">
        <f t="shared" ref="V36:AJ42" si="34">62.5*1.6</f>
        <v>100</v>
      </c>
      <c r="W36" s="76">
        <f t="shared" si="34"/>
        <v>100</v>
      </c>
      <c r="X36" s="76">
        <f t="shared" si="34"/>
        <v>100</v>
      </c>
      <c r="Y36" s="76">
        <f t="shared" si="34"/>
        <v>100</v>
      </c>
      <c r="Z36" s="76">
        <f t="shared" si="34"/>
        <v>100</v>
      </c>
      <c r="AA36" s="76">
        <f t="shared" si="34"/>
        <v>100</v>
      </c>
      <c r="AB36" s="76">
        <f t="shared" si="34"/>
        <v>100</v>
      </c>
      <c r="AC36" s="76">
        <f t="shared" si="34"/>
        <v>100</v>
      </c>
      <c r="AD36" s="76">
        <f t="shared" si="34"/>
        <v>100</v>
      </c>
      <c r="AE36" s="76">
        <f t="shared" si="34"/>
        <v>100</v>
      </c>
      <c r="AF36" s="76">
        <v>35</v>
      </c>
      <c r="AG36" s="76">
        <f t="shared" si="34"/>
        <v>100</v>
      </c>
      <c r="AH36" s="76">
        <f t="shared" si="34"/>
        <v>100</v>
      </c>
      <c r="AI36" s="76">
        <f t="shared" si="34"/>
        <v>100</v>
      </c>
      <c r="AJ36" s="76">
        <f t="shared" si="34"/>
        <v>100</v>
      </c>
      <c r="AK36" s="76">
        <f t="shared" ref="AK36:AW42" si="35">62.5*1.6</f>
        <v>100</v>
      </c>
      <c r="AL36" s="76">
        <v>35</v>
      </c>
      <c r="AM36" s="76">
        <f t="shared" si="35"/>
        <v>100</v>
      </c>
      <c r="AN36" s="76">
        <f t="shared" si="35"/>
        <v>100</v>
      </c>
      <c r="AO36" s="76">
        <f t="shared" si="35"/>
        <v>100</v>
      </c>
      <c r="AP36" s="76">
        <f t="shared" si="35"/>
        <v>100</v>
      </c>
      <c r="AQ36" s="76">
        <f t="shared" si="35"/>
        <v>100</v>
      </c>
      <c r="AR36" s="76">
        <f t="shared" si="35"/>
        <v>100</v>
      </c>
      <c r="AS36" s="76">
        <f t="shared" si="35"/>
        <v>100</v>
      </c>
      <c r="AT36" s="76">
        <f t="shared" si="35"/>
        <v>100</v>
      </c>
      <c r="AU36" s="76">
        <f t="shared" si="35"/>
        <v>100</v>
      </c>
      <c r="AV36" s="76">
        <f t="shared" si="35"/>
        <v>100</v>
      </c>
      <c r="AW36" s="76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6">
        <f t="shared" ref="D37:S42" si="37">62.5*1.6</f>
        <v>100</v>
      </c>
      <c r="E37" s="76">
        <f t="shared" si="37"/>
        <v>100</v>
      </c>
      <c r="F37" s="76">
        <f t="shared" si="37"/>
        <v>100</v>
      </c>
      <c r="G37" s="76">
        <f t="shared" si="37"/>
        <v>100</v>
      </c>
      <c r="H37" s="76">
        <f t="shared" si="37"/>
        <v>100</v>
      </c>
      <c r="I37" s="76">
        <f t="shared" si="37"/>
        <v>100</v>
      </c>
      <c r="J37" s="76">
        <f t="shared" si="37"/>
        <v>100</v>
      </c>
      <c r="K37" s="76">
        <f t="shared" si="37"/>
        <v>100</v>
      </c>
      <c r="L37" s="76">
        <f t="shared" si="37"/>
        <v>100</v>
      </c>
      <c r="M37" s="76">
        <f t="shared" si="37"/>
        <v>100</v>
      </c>
      <c r="N37" s="76">
        <f t="shared" si="37"/>
        <v>100</v>
      </c>
      <c r="O37" s="76">
        <f t="shared" si="37"/>
        <v>100</v>
      </c>
      <c r="P37" s="76">
        <f t="shared" si="37"/>
        <v>100</v>
      </c>
      <c r="Q37" s="76">
        <f t="shared" si="37"/>
        <v>100</v>
      </c>
      <c r="R37" s="76">
        <f t="shared" si="37"/>
        <v>100</v>
      </c>
      <c r="S37" s="76">
        <f t="shared" si="37"/>
        <v>100</v>
      </c>
      <c r="T37" s="76">
        <f t="shared" si="33"/>
        <v>100</v>
      </c>
      <c r="U37" s="76">
        <f t="shared" si="33"/>
        <v>100</v>
      </c>
      <c r="V37" s="76">
        <f t="shared" si="34"/>
        <v>100</v>
      </c>
      <c r="W37" s="76">
        <f t="shared" si="34"/>
        <v>100</v>
      </c>
      <c r="X37" s="76">
        <f t="shared" si="34"/>
        <v>100</v>
      </c>
      <c r="Y37" s="76">
        <f t="shared" si="34"/>
        <v>100</v>
      </c>
      <c r="Z37" s="76">
        <f t="shared" si="34"/>
        <v>100</v>
      </c>
      <c r="AA37" s="76">
        <f t="shared" si="34"/>
        <v>100</v>
      </c>
      <c r="AB37" s="76">
        <f t="shared" si="34"/>
        <v>100</v>
      </c>
      <c r="AC37" s="76">
        <f t="shared" si="34"/>
        <v>100</v>
      </c>
      <c r="AD37" s="76">
        <f t="shared" si="34"/>
        <v>100</v>
      </c>
      <c r="AE37" s="76">
        <f t="shared" si="34"/>
        <v>100</v>
      </c>
      <c r="AF37" s="76">
        <v>35</v>
      </c>
      <c r="AG37" s="76">
        <f t="shared" si="34"/>
        <v>100</v>
      </c>
      <c r="AH37" s="76">
        <f t="shared" si="34"/>
        <v>100</v>
      </c>
      <c r="AI37" s="76">
        <f t="shared" si="34"/>
        <v>100</v>
      </c>
      <c r="AJ37" s="76">
        <f t="shared" si="34"/>
        <v>100</v>
      </c>
      <c r="AK37" s="76">
        <f t="shared" si="35"/>
        <v>100</v>
      </c>
      <c r="AL37" s="76">
        <v>35</v>
      </c>
      <c r="AM37" s="76">
        <f t="shared" si="35"/>
        <v>100</v>
      </c>
      <c r="AN37" s="76">
        <f t="shared" si="35"/>
        <v>100</v>
      </c>
      <c r="AO37" s="76">
        <f t="shared" si="35"/>
        <v>100</v>
      </c>
      <c r="AP37" s="76">
        <f t="shared" si="35"/>
        <v>100</v>
      </c>
      <c r="AQ37" s="76">
        <f t="shared" si="35"/>
        <v>100</v>
      </c>
      <c r="AR37" s="76">
        <f t="shared" si="35"/>
        <v>100</v>
      </c>
      <c r="AS37" s="76">
        <f t="shared" si="35"/>
        <v>100</v>
      </c>
      <c r="AT37" s="76">
        <f t="shared" si="35"/>
        <v>100</v>
      </c>
      <c r="AU37" s="76">
        <f t="shared" si="35"/>
        <v>100</v>
      </c>
      <c r="AV37" s="76">
        <f t="shared" si="35"/>
        <v>100</v>
      </c>
      <c r="AW37" s="76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6">
        <f t="shared" si="37"/>
        <v>100</v>
      </c>
      <c r="E38" s="76">
        <f t="shared" si="33"/>
        <v>100</v>
      </c>
      <c r="F38" s="76">
        <f t="shared" si="33"/>
        <v>100</v>
      </c>
      <c r="G38" s="76">
        <f t="shared" si="33"/>
        <v>100</v>
      </c>
      <c r="H38" s="76">
        <f t="shared" si="33"/>
        <v>100</v>
      </c>
      <c r="I38" s="76">
        <f t="shared" si="33"/>
        <v>100</v>
      </c>
      <c r="J38" s="76">
        <f t="shared" si="33"/>
        <v>100</v>
      </c>
      <c r="K38" s="76">
        <f t="shared" si="33"/>
        <v>100</v>
      </c>
      <c r="L38" s="76">
        <f t="shared" si="33"/>
        <v>100</v>
      </c>
      <c r="M38" s="76">
        <f t="shared" si="33"/>
        <v>100</v>
      </c>
      <c r="N38" s="76">
        <f t="shared" si="33"/>
        <v>100</v>
      </c>
      <c r="O38" s="76">
        <f t="shared" si="33"/>
        <v>100</v>
      </c>
      <c r="P38" s="76">
        <f t="shared" si="33"/>
        <v>100</v>
      </c>
      <c r="Q38" s="76">
        <f t="shared" si="33"/>
        <v>100</v>
      </c>
      <c r="R38" s="76">
        <f t="shared" si="33"/>
        <v>100</v>
      </c>
      <c r="S38" s="76">
        <f t="shared" si="33"/>
        <v>100</v>
      </c>
      <c r="T38" s="76">
        <f t="shared" si="33"/>
        <v>100</v>
      </c>
      <c r="U38" s="76">
        <f t="shared" si="33"/>
        <v>100</v>
      </c>
      <c r="V38" s="76">
        <f t="shared" si="34"/>
        <v>100</v>
      </c>
      <c r="W38" s="76">
        <f t="shared" si="34"/>
        <v>100</v>
      </c>
      <c r="X38" s="76">
        <f t="shared" si="34"/>
        <v>100</v>
      </c>
      <c r="Y38" s="76">
        <f t="shared" si="34"/>
        <v>100</v>
      </c>
      <c r="Z38" s="76">
        <f t="shared" si="34"/>
        <v>100</v>
      </c>
      <c r="AA38" s="76">
        <f t="shared" si="34"/>
        <v>100</v>
      </c>
      <c r="AB38" s="76">
        <f t="shared" si="34"/>
        <v>100</v>
      </c>
      <c r="AC38" s="76">
        <f t="shared" si="34"/>
        <v>100</v>
      </c>
      <c r="AD38" s="76">
        <f t="shared" si="34"/>
        <v>100</v>
      </c>
      <c r="AE38" s="76">
        <f t="shared" si="34"/>
        <v>100</v>
      </c>
      <c r="AF38" s="76">
        <v>35</v>
      </c>
      <c r="AG38" s="76">
        <f t="shared" si="34"/>
        <v>100</v>
      </c>
      <c r="AH38" s="76">
        <f t="shared" si="34"/>
        <v>100</v>
      </c>
      <c r="AI38" s="76">
        <f t="shared" si="34"/>
        <v>100</v>
      </c>
      <c r="AJ38" s="76">
        <f t="shared" si="34"/>
        <v>100</v>
      </c>
      <c r="AK38" s="76">
        <f t="shared" si="35"/>
        <v>100</v>
      </c>
      <c r="AL38" s="76">
        <v>35</v>
      </c>
      <c r="AM38" s="76">
        <f t="shared" si="35"/>
        <v>100</v>
      </c>
      <c r="AN38" s="76">
        <f t="shared" si="35"/>
        <v>100</v>
      </c>
      <c r="AO38" s="76">
        <f t="shared" si="35"/>
        <v>100</v>
      </c>
      <c r="AP38" s="76">
        <f t="shared" si="35"/>
        <v>100</v>
      </c>
      <c r="AQ38" s="76">
        <f t="shared" si="35"/>
        <v>100</v>
      </c>
      <c r="AR38" s="76">
        <f t="shared" si="35"/>
        <v>100</v>
      </c>
      <c r="AS38" s="76">
        <f t="shared" si="35"/>
        <v>100</v>
      </c>
      <c r="AT38" s="76">
        <f t="shared" si="35"/>
        <v>100</v>
      </c>
      <c r="AU38" s="76">
        <f t="shared" si="35"/>
        <v>100</v>
      </c>
      <c r="AV38" s="76">
        <f t="shared" si="35"/>
        <v>100</v>
      </c>
      <c r="AW38" s="76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6">
        <f t="shared" si="37"/>
        <v>100</v>
      </c>
      <c r="E39" s="76">
        <f t="shared" si="33"/>
        <v>100</v>
      </c>
      <c r="F39" s="76">
        <f t="shared" si="33"/>
        <v>100</v>
      </c>
      <c r="G39" s="76">
        <f t="shared" si="33"/>
        <v>100</v>
      </c>
      <c r="H39" s="76">
        <f t="shared" si="33"/>
        <v>100</v>
      </c>
      <c r="I39" s="76">
        <f t="shared" si="33"/>
        <v>100</v>
      </c>
      <c r="J39" s="76">
        <f t="shared" si="33"/>
        <v>100</v>
      </c>
      <c r="K39" s="76">
        <f t="shared" si="33"/>
        <v>100</v>
      </c>
      <c r="L39" s="76">
        <f t="shared" si="33"/>
        <v>100</v>
      </c>
      <c r="M39" s="76">
        <f t="shared" si="33"/>
        <v>100</v>
      </c>
      <c r="N39" s="76">
        <f t="shared" si="33"/>
        <v>100</v>
      </c>
      <c r="O39" s="76">
        <f t="shared" si="33"/>
        <v>100</v>
      </c>
      <c r="P39" s="76">
        <f t="shared" si="33"/>
        <v>100</v>
      </c>
      <c r="Q39" s="76">
        <f t="shared" si="33"/>
        <v>100</v>
      </c>
      <c r="R39" s="76">
        <f t="shared" si="33"/>
        <v>100</v>
      </c>
      <c r="S39" s="76">
        <f t="shared" si="33"/>
        <v>100</v>
      </c>
      <c r="T39" s="76">
        <f t="shared" si="33"/>
        <v>100</v>
      </c>
      <c r="U39" s="76">
        <f t="shared" si="33"/>
        <v>100</v>
      </c>
      <c r="V39" s="76">
        <f t="shared" si="34"/>
        <v>100</v>
      </c>
      <c r="W39" s="76">
        <f t="shared" si="34"/>
        <v>100</v>
      </c>
      <c r="X39" s="76">
        <f t="shared" si="34"/>
        <v>100</v>
      </c>
      <c r="Y39" s="76">
        <f t="shared" si="34"/>
        <v>100</v>
      </c>
      <c r="Z39" s="76">
        <f t="shared" si="34"/>
        <v>100</v>
      </c>
      <c r="AA39" s="76">
        <f t="shared" si="34"/>
        <v>100</v>
      </c>
      <c r="AB39" s="76">
        <f t="shared" si="34"/>
        <v>100</v>
      </c>
      <c r="AC39" s="76">
        <f t="shared" si="34"/>
        <v>100</v>
      </c>
      <c r="AD39" s="76">
        <f t="shared" si="34"/>
        <v>100</v>
      </c>
      <c r="AE39" s="76">
        <f t="shared" si="34"/>
        <v>100</v>
      </c>
      <c r="AF39" s="76">
        <v>35</v>
      </c>
      <c r="AG39" s="76">
        <f t="shared" si="34"/>
        <v>100</v>
      </c>
      <c r="AH39" s="76">
        <f t="shared" si="34"/>
        <v>100</v>
      </c>
      <c r="AI39" s="76">
        <f t="shared" si="34"/>
        <v>100</v>
      </c>
      <c r="AJ39" s="76">
        <f t="shared" si="34"/>
        <v>100</v>
      </c>
      <c r="AK39" s="76">
        <f t="shared" si="35"/>
        <v>100</v>
      </c>
      <c r="AL39" s="76">
        <v>35</v>
      </c>
      <c r="AM39" s="76">
        <f t="shared" si="35"/>
        <v>100</v>
      </c>
      <c r="AN39" s="76">
        <f t="shared" si="35"/>
        <v>100</v>
      </c>
      <c r="AO39" s="76">
        <f t="shared" si="35"/>
        <v>100</v>
      </c>
      <c r="AP39" s="76">
        <f t="shared" si="35"/>
        <v>100</v>
      </c>
      <c r="AQ39" s="76">
        <f t="shared" si="35"/>
        <v>100</v>
      </c>
      <c r="AR39" s="76">
        <f t="shared" si="35"/>
        <v>100</v>
      </c>
      <c r="AS39" s="76">
        <f t="shared" si="35"/>
        <v>100</v>
      </c>
      <c r="AT39" s="76">
        <f t="shared" si="35"/>
        <v>100</v>
      </c>
      <c r="AU39" s="76">
        <f t="shared" si="35"/>
        <v>100</v>
      </c>
      <c r="AV39" s="76">
        <f t="shared" si="35"/>
        <v>100</v>
      </c>
      <c r="AW39" s="76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6">
        <f t="shared" si="37"/>
        <v>100</v>
      </c>
      <c r="E40" s="76">
        <f t="shared" si="33"/>
        <v>100</v>
      </c>
      <c r="F40" s="76">
        <f t="shared" si="33"/>
        <v>100</v>
      </c>
      <c r="G40" s="76">
        <f t="shared" si="33"/>
        <v>100</v>
      </c>
      <c r="H40" s="76">
        <f t="shared" si="33"/>
        <v>100</v>
      </c>
      <c r="I40" s="76">
        <f t="shared" si="33"/>
        <v>100</v>
      </c>
      <c r="J40" s="76">
        <f t="shared" si="33"/>
        <v>100</v>
      </c>
      <c r="K40" s="76">
        <f t="shared" si="33"/>
        <v>100</v>
      </c>
      <c r="L40" s="76">
        <f t="shared" si="33"/>
        <v>100</v>
      </c>
      <c r="M40" s="76">
        <f t="shared" si="33"/>
        <v>100</v>
      </c>
      <c r="N40" s="76">
        <f t="shared" si="33"/>
        <v>100</v>
      </c>
      <c r="O40" s="76">
        <f t="shared" si="33"/>
        <v>100</v>
      </c>
      <c r="P40" s="76">
        <f t="shared" si="33"/>
        <v>100</v>
      </c>
      <c r="Q40" s="76">
        <f t="shared" si="33"/>
        <v>100</v>
      </c>
      <c r="R40" s="76">
        <f t="shared" si="33"/>
        <v>100</v>
      </c>
      <c r="S40" s="76">
        <f t="shared" si="33"/>
        <v>100</v>
      </c>
      <c r="T40" s="76">
        <f t="shared" si="33"/>
        <v>100</v>
      </c>
      <c r="U40" s="76">
        <f t="shared" si="33"/>
        <v>100</v>
      </c>
      <c r="V40" s="76">
        <f t="shared" si="34"/>
        <v>100</v>
      </c>
      <c r="W40" s="76">
        <f t="shared" si="34"/>
        <v>100</v>
      </c>
      <c r="X40" s="76">
        <f t="shared" si="34"/>
        <v>100</v>
      </c>
      <c r="Y40" s="76">
        <f t="shared" si="34"/>
        <v>100</v>
      </c>
      <c r="Z40" s="76">
        <f t="shared" si="34"/>
        <v>100</v>
      </c>
      <c r="AA40" s="76">
        <f t="shared" si="34"/>
        <v>100</v>
      </c>
      <c r="AB40" s="76">
        <f t="shared" si="34"/>
        <v>100</v>
      </c>
      <c r="AC40" s="76">
        <f t="shared" si="34"/>
        <v>100</v>
      </c>
      <c r="AD40" s="76">
        <f t="shared" si="34"/>
        <v>100</v>
      </c>
      <c r="AE40" s="76">
        <f t="shared" si="34"/>
        <v>100</v>
      </c>
      <c r="AF40" s="76">
        <v>35</v>
      </c>
      <c r="AG40" s="76">
        <f t="shared" si="34"/>
        <v>100</v>
      </c>
      <c r="AH40" s="76">
        <f t="shared" si="34"/>
        <v>100</v>
      </c>
      <c r="AI40" s="76">
        <f t="shared" si="34"/>
        <v>100</v>
      </c>
      <c r="AJ40" s="76">
        <f t="shared" si="34"/>
        <v>100</v>
      </c>
      <c r="AK40" s="76">
        <f t="shared" si="35"/>
        <v>100</v>
      </c>
      <c r="AL40" s="76">
        <v>35</v>
      </c>
      <c r="AM40" s="76">
        <f t="shared" si="35"/>
        <v>100</v>
      </c>
      <c r="AN40" s="76">
        <f t="shared" si="35"/>
        <v>100</v>
      </c>
      <c r="AO40" s="76">
        <f t="shared" si="35"/>
        <v>100</v>
      </c>
      <c r="AP40" s="76">
        <f t="shared" si="35"/>
        <v>100</v>
      </c>
      <c r="AQ40" s="76">
        <f t="shared" si="35"/>
        <v>100</v>
      </c>
      <c r="AR40" s="76">
        <f t="shared" si="35"/>
        <v>100</v>
      </c>
      <c r="AS40" s="76">
        <f t="shared" si="35"/>
        <v>100</v>
      </c>
      <c r="AT40" s="76">
        <f t="shared" si="35"/>
        <v>100</v>
      </c>
      <c r="AU40" s="76">
        <f t="shared" si="35"/>
        <v>100</v>
      </c>
      <c r="AV40" s="76">
        <f t="shared" si="35"/>
        <v>100</v>
      </c>
      <c r="AW40" s="76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6">
        <f t="shared" si="37"/>
        <v>100</v>
      </c>
      <c r="E41" s="76">
        <f t="shared" si="33"/>
        <v>100</v>
      </c>
      <c r="F41" s="76">
        <f t="shared" si="33"/>
        <v>100</v>
      </c>
      <c r="G41" s="76">
        <f t="shared" si="33"/>
        <v>100</v>
      </c>
      <c r="H41" s="76">
        <f t="shared" si="33"/>
        <v>100</v>
      </c>
      <c r="I41" s="76">
        <f t="shared" si="33"/>
        <v>100</v>
      </c>
      <c r="J41" s="76">
        <f t="shared" si="33"/>
        <v>100</v>
      </c>
      <c r="K41" s="76">
        <f t="shared" si="33"/>
        <v>100</v>
      </c>
      <c r="L41" s="76">
        <f t="shared" si="33"/>
        <v>100</v>
      </c>
      <c r="M41" s="76">
        <f t="shared" si="33"/>
        <v>100</v>
      </c>
      <c r="N41" s="76">
        <f t="shared" si="33"/>
        <v>100</v>
      </c>
      <c r="O41" s="76">
        <f t="shared" si="33"/>
        <v>100</v>
      </c>
      <c r="P41" s="76">
        <f t="shared" si="33"/>
        <v>100</v>
      </c>
      <c r="Q41" s="76">
        <f t="shared" si="33"/>
        <v>100</v>
      </c>
      <c r="R41" s="76">
        <f t="shared" si="33"/>
        <v>100</v>
      </c>
      <c r="S41" s="76">
        <f t="shared" si="33"/>
        <v>100</v>
      </c>
      <c r="T41" s="76">
        <f t="shared" si="33"/>
        <v>100</v>
      </c>
      <c r="U41" s="76">
        <f t="shared" si="33"/>
        <v>100</v>
      </c>
      <c r="V41" s="76">
        <f t="shared" si="34"/>
        <v>100</v>
      </c>
      <c r="W41" s="76">
        <f t="shared" si="34"/>
        <v>100</v>
      </c>
      <c r="X41" s="76">
        <f t="shared" si="34"/>
        <v>100</v>
      </c>
      <c r="Y41" s="76">
        <f t="shared" si="34"/>
        <v>100</v>
      </c>
      <c r="Z41" s="76">
        <f t="shared" si="34"/>
        <v>100</v>
      </c>
      <c r="AA41" s="76">
        <f t="shared" si="34"/>
        <v>100</v>
      </c>
      <c r="AB41" s="76">
        <f t="shared" si="34"/>
        <v>100</v>
      </c>
      <c r="AC41" s="76">
        <f t="shared" si="34"/>
        <v>100</v>
      </c>
      <c r="AD41" s="76">
        <f t="shared" si="34"/>
        <v>100</v>
      </c>
      <c r="AE41" s="76">
        <f t="shared" si="34"/>
        <v>100</v>
      </c>
      <c r="AF41" s="76">
        <v>35</v>
      </c>
      <c r="AG41" s="76">
        <f t="shared" si="34"/>
        <v>100</v>
      </c>
      <c r="AH41" s="76">
        <f t="shared" si="34"/>
        <v>100</v>
      </c>
      <c r="AI41" s="76">
        <f t="shared" si="34"/>
        <v>100</v>
      </c>
      <c r="AJ41" s="76">
        <f t="shared" si="34"/>
        <v>100</v>
      </c>
      <c r="AK41" s="76">
        <f t="shared" si="35"/>
        <v>100</v>
      </c>
      <c r="AL41" s="76">
        <v>35</v>
      </c>
      <c r="AM41" s="76">
        <f t="shared" si="35"/>
        <v>100</v>
      </c>
      <c r="AN41" s="76">
        <f t="shared" si="35"/>
        <v>100</v>
      </c>
      <c r="AO41" s="76">
        <f t="shared" si="35"/>
        <v>100</v>
      </c>
      <c r="AP41" s="76">
        <f t="shared" si="35"/>
        <v>100</v>
      </c>
      <c r="AQ41" s="76">
        <f t="shared" si="35"/>
        <v>100</v>
      </c>
      <c r="AR41" s="76">
        <f t="shared" si="35"/>
        <v>100</v>
      </c>
      <c r="AS41" s="76">
        <f t="shared" si="35"/>
        <v>100</v>
      </c>
      <c r="AT41" s="76">
        <f t="shared" si="35"/>
        <v>100</v>
      </c>
      <c r="AU41" s="76">
        <f t="shared" si="35"/>
        <v>100</v>
      </c>
      <c r="AV41" s="76">
        <f t="shared" si="35"/>
        <v>100</v>
      </c>
      <c r="AW41" s="76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6">
        <f t="shared" si="37"/>
        <v>100</v>
      </c>
      <c r="E42" s="76">
        <f t="shared" si="33"/>
        <v>100</v>
      </c>
      <c r="F42" s="76">
        <f t="shared" si="33"/>
        <v>100</v>
      </c>
      <c r="G42" s="76">
        <f t="shared" si="33"/>
        <v>100</v>
      </c>
      <c r="H42" s="76">
        <f t="shared" si="33"/>
        <v>100</v>
      </c>
      <c r="I42" s="76">
        <f t="shared" si="33"/>
        <v>100</v>
      </c>
      <c r="J42" s="76">
        <f t="shared" si="33"/>
        <v>100</v>
      </c>
      <c r="K42" s="76">
        <f t="shared" si="33"/>
        <v>100</v>
      </c>
      <c r="L42" s="76">
        <f t="shared" si="33"/>
        <v>100</v>
      </c>
      <c r="M42" s="76">
        <f t="shared" si="33"/>
        <v>100</v>
      </c>
      <c r="N42" s="76">
        <f t="shared" si="33"/>
        <v>100</v>
      </c>
      <c r="O42" s="76">
        <f t="shared" si="33"/>
        <v>100</v>
      </c>
      <c r="P42" s="76">
        <f t="shared" si="33"/>
        <v>100</v>
      </c>
      <c r="Q42" s="76">
        <f t="shared" si="33"/>
        <v>100</v>
      </c>
      <c r="R42" s="76">
        <f t="shared" si="33"/>
        <v>100</v>
      </c>
      <c r="S42" s="76">
        <f t="shared" si="33"/>
        <v>100</v>
      </c>
      <c r="T42" s="76">
        <f t="shared" si="33"/>
        <v>100</v>
      </c>
      <c r="U42" s="76">
        <f t="shared" si="33"/>
        <v>100</v>
      </c>
      <c r="V42" s="76">
        <f t="shared" si="34"/>
        <v>100</v>
      </c>
      <c r="W42" s="76">
        <f t="shared" si="34"/>
        <v>100</v>
      </c>
      <c r="X42" s="76">
        <f t="shared" si="34"/>
        <v>100</v>
      </c>
      <c r="Y42" s="76">
        <f t="shared" si="34"/>
        <v>100</v>
      </c>
      <c r="Z42" s="76">
        <f t="shared" si="34"/>
        <v>100</v>
      </c>
      <c r="AA42" s="76">
        <f t="shared" si="34"/>
        <v>100</v>
      </c>
      <c r="AB42" s="76">
        <f t="shared" si="34"/>
        <v>100</v>
      </c>
      <c r="AC42" s="76">
        <f t="shared" si="34"/>
        <v>100</v>
      </c>
      <c r="AD42" s="76">
        <f t="shared" si="34"/>
        <v>100</v>
      </c>
      <c r="AE42" s="76">
        <f t="shared" si="34"/>
        <v>100</v>
      </c>
      <c r="AF42" s="76">
        <v>35</v>
      </c>
      <c r="AG42" s="76">
        <f t="shared" si="34"/>
        <v>100</v>
      </c>
      <c r="AH42" s="76">
        <f t="shared" si="34"/>
        <v>100</v>
      </c>
      <c r="AI42" s="76">
        <f t="shared" si="34"/>
        <v>100</v>
      </c>
      <c r="AJ42" s="76">
        <f t="shared" si="34"/>
        <v>100</v>
      </c>
      <c r="AK42" s="76">
        <f t="shared" si="35"/>
        <v>100</v>
      </c>
      <c r="AL42" s="76">
        <v>35</v>
      </c>
      <c r="AM42" s="76">
        <f t="shared" si="35"/>
        <v>100</v>
      </c>
      <c r="AN42" s="76">
        <f t="shared" si="35"/>
        <v>100</v>
      </c>
      <c r="AO42" s="76">
        <f t="shared" si="35"/>
        <v>100</v>
      </c>
      <c r="AP42" s="76">
        <f t="shared" si="35"/>
        <v>100</v>
      </c>
      <c r="AQ42" s="76">
        <f t="shared" si="35"/>
        <v>100</v>
      </c>
      <c r="AR42" s="76">
        <f t="shared" si="35"/>
        <v>100</v>
      </c>
      <c r="AS42" s="76">
        <f t="shared" si="35"/>
        <v>100</v>
      </c>
      <c r="AT42" s="76">
        <f t="shared" si="35"/>
        <v>100</v>
      </c>
      <c r="AU42" s="76">
        <f t="shared" si="35"/>
        <v>100</v>
      </c>
      <c r="AV42" s="76">
        <f t="shared" si="35"/>
        <v>100</v>
      </c>
      <c r="AW42" s="76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6" t="str">
        <f>D3</f>
        <v>Africa_North</v>
      </c>
      <c r="E44" s="76" t="str">
        <f t="shared" ref="E44:U44" si="39">E3</f>
        <v>Africa_Other</v>
      </c>
      <c r="F44" s="76" t="str">
        <f t="shared" si="39"/>
        <v>Australia</v>
      </c>
      <c r="G44" s="76" t="str">
        <f t="shared" si="39"/>
        <v>Austria</v>
      </c>
      <c r="H44" s="76" t="str">
        <f t="shared" si="39"/>
        <v>Baltics</v>
      </c>
      <c r="I44" s="76" t="str">
        <f t="shared" si="39"/>
        <v>BeNeLux</v>
      </c>
      <c r="J44" s="76" t="str">
        <f t="shared" si="39"/>
        <v>Brazil</v>
      </c>
      <c r="K44" s="76" t="str">
        <f t="shared" si="39"/>
        <v>China</v>
      </c>
      <c r="L44" s="76" t="str">
        <f t="shared" si="39"/>
        <v>CroSloven</v>
      </c>
      <c r="M44" s="76" t="str">
        <f t="shared" si="39"/>
        <v>CzechSlovak</v>
      </c>
      <c r="N44" s="76" t="str">
        <f t="shared" si="39"/>
        <v>France</v>
      </c>
      <c r="O44" s="76" t="str">
        <f t="shared" si="39"/>
        <v>Germany</v>
      </c>
      <c r="P44" s="76" t="str">
        <f t="shared" si="39"/>
        <v>GreeceCyp</v>
      </c>
      <c r="Q44" s="76" t="str">
        <f t="shared" si="39"/>
        <v>HunRomBul</v>
      </c>
      <c r="R44" s="76" t="str">
        <f t="shared" si="39"/>
        <v>Iceland</v>
      </c>
      <c r="S44" s="76" t="str">
        <f t="shared" si="39"/>
        <v>India</v>
      </c>
      <c r="T44" s="76" t="str">
        <f t="shared" si="39"/>
        <v>Ireland</v>
      </c>
      <c r="U44" s="76" t="str">
        <f t="shared" si="39"/>
        <v>ItalyMal</v>
      </c>
      <c r="V44" s="76" t="str">
        <f t="shared" ref="V44:AJ44" si="40">V3</f>
        <v>Japan</v>
      </c>
      <c r="W44" s="76" t="str">
        <f t="shared" si="40"/>
        <v>LatAm</v>
      </c>
      <c r="X44" s="76" t="str">
        <f t="shared" si="40"/>
        <v>MidEast</v>
      </c>
      <c r="Y44" s="76" t="str">
        <f t="shared" si="40"/>
        <v>NorthAm</v>
      </c>
      <c r="Z44" s="76" t="str">
        <f t="shared" si="40"/>
        <v>Norway</v>
      </c>
      <c r="AA44" s="76" t="str">
        <f t="shared" si="40"/>
        <v>Poland</v>
      </c>
      <c r="AB44" s="76" t="str">
        <f t="shared" si="40"/>
        <v>ROW</v>
      </c>
      <c r="AC44" s="76" t="str">
        <f t="shared" si="40"/>
        <v>Russia</v>
      </c>
      <c r="AD44" s="76" t="str">
        <f t="shared" si="40"/>
        <v>SaudiArabia</v>
      </c>
      <c r="AE44" s="76" t="str">
        <f t="shared" si="40"/>
        <v>SouthAfrica</v>
      </c>
      <c r="AF44" s="76" t="str">
        <f t="shared" si="40"/>
        <v>SpainPor</v>
      </c>
      <c r="AG44" s="76" t="str">
        <f t="shared" ref="AG44" si="41">AG3</f>
        <v>SweFinDen</v>
      </c>
      <c r="AH44" s="76" t="str">
        <f t="shared" si="40"/>
        <v>Switzerland</v>
      </c>
      <c r="AI44" s="76" t="str">
        <f t="shared" si="40"/>
        <v>Turkey</v>
      </c>
      <c r="AJ44" s="76" t="str">
        <f t="shared" si="40"/>
        <v>UK</v>
      </c>
      <c r="AK44" s="76" t="str">
        <f t="shared" ref="AK44:AW44" si="42">AK3</f>
        <v>Ukraine</v>
      </c>
      <c r="AL44" s="76" t="str">
        <f t="shared" si="42"/>
        <v>WestBalkans</v>
      </c>
      <c r="AM44" s="76" t="str">
        <f t="shared" si="42"/>
        <v>\I:</v>
      </c>
      <c r="AN44" s="76" t="str">
        <f t="shared" si="42"/>
        <v>\I:</v>
      </c>
      <c r="AO44" s="76" t="str">
        <f t="shared" si="42"/>
        <v>\I:</v>
      </c>
      <c r="AP44" s="76" t="str">
        <f t="shared" si="42"/>
        <v>\I:</v>
      </c>
      <c r="AQ44" s="76" t="str">
        <f t="shared" si="42"/>
        <v>\I:</v>
      </c>
      <c r="AR44" s="76" t="str">
        <f t="shared" si="42"/>
        <v>\I:</v>
      </c>
      <c r="AS44" s="76" t="str">
        <f t="shared" si="42"/>
        <v>\I:</v>
      </c>
      <c r="AT44" s="76" t="str">
        <f t="shared" si="42"/>
        <v>\I:</v>
      </c>
      <c r="AU44" s="76" t="str">
        <f t="shared" si="42"/>
        <v>\I:</v>
      </c>
      <c r="AV44" s="76" t="str">
        <f t="shared" si="42"/>
        <v>\I:</v>
      </c>
      <c r="AW44" s="76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topLeftCell="S1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2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2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2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2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2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2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2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99" t="s">
        <v>146</v>
      </c>
      <c r="B11" s="99"/>
      <c r="D11" s="100">
        <f ca="1">SUM(D$4:D$10)/SUM($D$4:$AJ$10)</f>
        <v>0.0186205595978358</v>
      </c>
      <c r="E11" s="100">
        <f ca="1" t="shared" ref="E11:U11" si="0">SUM(E$4:E$10)/SUM($D$4:$AJ$10)</f>
        <v>0.0161733886540153</v>
      </c>
      <c r="F11" s="100">
        <f ca="1" t="shared" si="0"/>
        <v>0.0150041064030889</v>
      </c>
      <c r="G11" s="100">
        <f ca="1" t="shared" si="0"/>
        <v>0.00593493839897184</v>
      </c>
      <c r="H11" s="100">
        <f ca="1" t="shared" si="0"/>
        <v>0.00333078865150106</v>
      </c>
      <c r="I11" s="100">
        <f ca="1" t="shared" si="0"/>
        <v>0.0127121366559214</v>
      </c>
      <c r="J11" s="100">
        <f ca="1" t="shared" si="0"/>
        <v>0.0515503896358708</v>
      </c>
      <c r="K11" s="100">
        <f ca="1" t="shared" si="0"/>
        <v>0.08365394929644</v>
      </c>
      <c r="L11" s="100">
        <f ca="1" t="shared" si="0"/>
        <v>0.00269460883890489</v>
      </c>
      <c r="M11" s="100">
        <f ca="1" t="shared" si="0"/>
        <v>0.00581069461634352</v>
      </c>
      <c r="N11" s="100">
        <f ca="1" t="shared" si="0"/>
        <v>0.0298771364843121</v>
      </c>
      <c r="O11" s="100">
        <f ca="1" t="shared" si="0"/>
        <v>0.0319044288756925</v>
      </c>
      <c r="P11" s="100">
        <f ca="1" t="shared" si="0"/>
        <v>0.00270163906381468</v>
      </c>
      <c r="Q11" s="100">
        <f ca="1" t="shared" si="0"/>
        <v>0.00926619806930397</v>
      </c>
      <c r="R11" s="100">
        <f ca="1" t="shared" si="0"/>
        <v>0.000181771859208011</v>
      </c>
      <c r="S11" s="100">
        <f ca="1" t="shared" si="0"/>
        <v>0.0388739195232815</v>
      </c>
      <c r="T11" s="100">
        <f ca="1" t="shared" si="0"/>
        <v>0.00279281125712759</v>
      </c>
      <c r="U11" s="100">
        <f ca="1" t="shared" si="0"/>
        <v>0.0210469242698694</v>
      </c>
      <c r="V11" s="100">
        <f ca="1" t="shared" ref="V11:AW11" si="1">SUM(V$4:V$10)/SUM($D$4:$AJ$10)</f>
        <v>0.0278649037276999</v>
      </c>
      <c r="W11" s="100">
        <f ca="1" t="shared" si="1"/>
        <v>0.0413717166484901</v>
      </c>
      <c r="X11" s="100">
        <f ca="1" t="shared" si="1"/>
        <v>0.0517843634207525</v>
      </c>
      <c r="Y11" s="100">
        <f ca="1" t="shared" si="1"/>
        <v>0.273160174501502</v>
      </c>
      <c r="Z11" s="100">
        <f ca="1" t="shared" si="1"/>
        <v>0.00228046592520552</v>
      </c>
      <c r="AA11" s="100">
        <f ca="1" t="shared" si="1"/>
        <v>0.0142067618735754</v>
      </c>
      <c r="AB11" s="100">
        <f ca="1" t="shared" si="1"/>
        <v>0.0949701905191878</v>
      </c>
      <c r="AC11" s="100">
        <f ca="1" t="shared" si="1"/>
        <v>0.0299014008302832</v>
      </c>
      <c r="AD11" s="100">
        <f ca="1" t="shared" si="1"/>
        <v>0.0270013859624997</v>
      </c>
      <c r="AE11" s="100">
        <f ca="1" t="shared" si="1"/>
        <v>0.00568609579046301</v>
      </c>
      <c r="AF11" s="100">
        <f ca="1" t="shared" si="1"/>
        <v>0.0246587287873318</v>
      </c>
      <c r="AG11" s="100">
        <f ca="1" t="shared" si="1"/>
        <v>0.00853125718036069</v>
      </c>
      <c r="AH11" s="100">
        <f ca="1" t="shared" si="1"/>
        <v>0.0026333498936491</v>
      </c>
      <c r="AI11" s="100">
        <f ca="1" t="shared" si="1"/>
        <v>0.020701374763495</v>
      </c>
      <c r="AJ11" s="100">
        <f ca="1" t="shared" si="1"/>
        <v>0.0231174400240001</v>
      </c>
      <c r="AK11" s="100">
        <f ca="1" t="shared" si="1"/>
        <v>0.00597718656454574</v>
      </c>
      <c r="AL11" s="100">
        <f ca="1" t="shared" si="1"/>
        <v>0.00410710587646735</v>
      </c>
      <c r="AM11" s="100">
        <f ca="1" t="shared" si="1"/>
        <v>0</v>
      </c>
      <c r="AN11" s="100">
        <f ca="1" t="shared" si="1"/>
        <v>0</v>
      </c>
      <c r="AO11" s="100">
        <f ca="1" t="shared" si="1"/>
        <v>0</v>
      </c>
      <c r="AP11" s="100">
        <f ca="1" t="shared" si="1"/>
        <v>0</v>
      </c>
      <c r="AQ11" s="100">
        <f ca="1" t="shared" si="1"/>
        <v>0</v>
      </c>
      <c r="AR11" s="100">
        <f ca="1" t="shared" si="1"/>
        <v>0</v>
      </c>
      <c r="AS11" s="100">
        <f ca="1" t="shared" si="1"/>
        <v>0</v>
      </c>
      <c r="AT11" s="100">
        <f ca="1" t="shared" si="1"/>
        <v>0</v>
      </c>
      <c r="AU11" s="100">
        <f ca="1" t="shared" si="1"/>
        <v>0</v>
      </c>
      <c r="AV11" s="100">
        <f ca="1" t="shared" si="1"/>
        <v>0</v>
      </c>
      <c r="AW11" s="100">
        <f ca="1" t="shared" si="1"/>
        <v>0</v>
      </c>
    </row>
    <row r="12" spans="1:50">
      <c r="C12" s="101">
        <f ca="1">SUM(D12:AW12)</f>
        <v>126.814</v>
      </c>
      <c r="D12" s="101">
        <f ca="1">'Trucks-hdt'!D13+'Trucks-lcv'!D13</f>
        <v>2.685</v>
      </c>
      <c r="E12" s="101">
        <f ca="1">'Trucks-hdt'!E13+'Trucks-lcv'!E13</f>
        <v>2.246</v>
      </c>
      <c r="F12" s="101">
        <f ca="1">'Trucks-hdt'!F13+'Trucks-lcv'!F13</f>
        <v>2.115</v>
      </c>
      <c r="G12" s="101">
        <f ca="1">'Trucks-hdt'!G13+'Trucks-lcv'!G13</f>
        <v>0.581</v>
      </c>
      <c r="H12" s="101">
        <f ca="1">'Trucks-hdt'!H13+'Trucks-lcv'!H13</f>
        <v>0.33</v>
      </c>
      <c r="I12" s="101">
        <f ca="1">'Trucks-hdt'!I13+'Trucks-lcv'!I13</f>
        <v>1.282</v>
      </c>
      <c r="J12" s="101">
        <f ca="1">'Trucks-hdt'!J13+'Trucks-lcv'!J13</f>
        <v>4.668</v>
      </c>
      <c r="K12" s="101">
        <f ca="1">'Trucks-hdt'!K13+'Trucks-lcv'!K13</f>
        <v>12.186</v>
      </c>
      <c r="L12" s="101">
        <f ca="1">'Trucks-hdt'!L13+'Trucks-lcv'!L13</f>
        <v>0.287</v>
      </c>
      <c r="M12" s="101">
        <f ca="1">'Trucks-hdt'!M13+'Trucks-lcv'!M13</f>
        <v>0.609</v>
      </c>
      <c r="N12" s="101">
        <f ca="1">'Trucks-hdt'!N13+'Trucks-lcv'!N13</f>
        <v>2.92</v>
      </c>
      <c r="O12" s="101">
        <f ca="1">'Trucks-hdt'!O13+'Trucks-lcv'!O13</f>
        <v>3.217</v>
      </c>
      <c r="P12" s="101">
        <f ca="1">'Trucks-hdt'!P13+'Trucks-lcv'!P13</f>
        <v>0.3</v>
      </c>
      <c r="Q12" s="101">
        <f ca="1">'Trucks-hdt'!Q13+'Trucks-lcv'!Q13</f>
        <v>1.031</v>
      </c>
      <c r="R12" s="101">
        <f ca="1">'Trucks-hdt'!R13+'Trucks-lcv'!R13</f>
        <v>0.019</v>
      </c>
      <c r="S12" s="101">
        <f ca="1">'Trucks-hdt'!S13+'Trucks-lcv'!S13</f>
        <v>5.772</v>
      </c>
      <c r="T12" s="101">
        <f ca="1">'Trucks-hdt'!T13+'Trucks-lcv'!T13</f>
        <v>0.273</v>
      </c>
      <c r="U12" s="101">
        <f ca="1">'Trucks-hdt'!U13+'Trucks-lcv'!U13</f>
        <v>2.232</v>
      </c>
      <c r="V12" s="101">
        <f ca="1">'Trucks-hdt'!V13+'Trucks-lcv'!V13</f>
        <v>3.822</v>
      </c>
      <c r="W12" s="101">
        <f ca="1">'Trucks-hdt'!W13+'Trucks-lcv'!W13</f>
        <v>4.234</v>
      </c>
      <c r="X12" s="101">
        <f ca="1">'Trucks-hdt'!X13+'Trucks-lcv'!X13</f>
        <v>7.31</v>
      </c>
      <c r="Y12" s="101">
        <f ca="1">'Trucks-hdt'!Y13+'Trucks-lcv'!Y13</f>
        <v>36.59</v>
      </c>
      <c r="Z12" s="101">
        <f ca="1">'Trucks-hdt'!Z13+'Trucks-lcv'!Z13</f>
        <v>0.224</v>
      </c>
      <c r="AA12" s="101">
        <f ca="1">'Trucks-hdt'!AA13+'Trucks-lcv'!AA13</f>
        <v>1.764</v>
      </c>
      <c r="AB12" s="101">
        <f ca="1">'Trucks-hdt'!AB13+'Trucks-lcv'!AB13</f>
        <v>8.21</v>
      </c>
      <c r="AC12" s="101">
        <f ca="1">'Trucks-hdt'!AC13+'Trucks-lcv'!AC13</f>
        <v>4.316</v>
      </c>
      <c r="AD12" s="101">
        <f ca="1">'Trucks-hdt'!AD13+'Trucks-lcv'!AD13</f>
        <v>3.608</v>
      </c>
      <c r="AE12" s="101">
        <f ca="1">'Trucks-hdt'!AE13+'Trucks-lcv'!AE13</f>
        <v>0.791</v>
      </c>
      <c r="AF12" s="101">
        <f ca="1">'Trucks-hdt'!AF13+'Trucks-lcv'!AF13</f>
        <v>5.156</v>
      </c>
      <c r="AG12" s="101">
        <f ca="1">'Trucks-hdt'!AG13+'Trucks-lcv'!AG13</f>
        <v>0.851</v>
      </c>
      <c r="AH12" s="101">
        <f ca="1">'Trucks-hdt'!AH13+'Trucks-lcv'!AH13</f>
        <v>0.272</v>
      </c>
      <c r="AI12" s="101">
        <f ca="1">'Trucks-hdt'!AI13+'Trucks-lcv'!AI13</f>
        <v>2.482</v>
      </c>
      <c r="AJ12" s="101">
        <f ca="1">'Trucks-hdt'!AJ13+'Trucks-lcv'!AJ13</f>
        <v>2.312</v>
      </c>
      <c r="AK12" s="101">
        <f ca="1">'Trucks-hdt'!AK13+'Trucks-lcv'!AK13</f>
        <v>0.887</v>
      </c>
      <c r="AL12" s="101">
        <f ca="1">'Trucks-hdt'!AL13+'Trucks-lcv'!AL13</f>
        <v>1.232</v>
      </c>
      <c r="AM12" s="101">
        <f ca="1">'Trucks-hdt'!AM13+'Trucks-lcv'!AM13</f>
        <v>0</v>
      </c>
      <c r="AN12" s="101">
        <f ca="1">'Trucks-hdt'!AN13+'Trucks-lcv'!AN13</f>
        <v>0</v>
      </c>
      <c r="AO12" s="101">
        <f ca="1">'Trucks-hdt'!AO13+'Trucks-lcv'!AO13</f>
        <v>0</v>
      </c>
      <c r="AP12" s="101">
        <f ca="1">'Trucks-hdt'!AP13+'Trucks-lcv'!AP13</f>
        <v>0</v>
      </c>
      <c r="AQ12" s="101">
        <f ca="1">'Trucks-hdt'!AQ13+'Trucks-lcv'!AQ13</f>
        <v>0</v>
      </c>
      <c r="AR12" s="101">
        <f ca="1">'Trucks-hdt'!AR13+'Trucks-lcv'!AR13</f>
        <v>0</v>
      </c>
      <c r="AS12" s="101">
        <f ca="1">'Trucks-hdt'!AS13+'Trucks-lcv'!AS13</f>
        <v>0</v>
      </c>
      <c r="AT12" s="101">
        <f ca="1">'Trucks-hdt'!AT13+'Trucks-lcv'!AT13</f>
        <v>0</v>
      </c>
      <c r="AU12" s="101">
        <f ca="1">'Trucks-hdt'!AU13+'Trucks-lcv'!AU13</f>
        <v>0</v>
      </c>
      <c r="AV12" s="101">
        <f ca="1">'Trucks-hdt'!AV13+'Trucks-lcv'!AV13</f>
        <v>0</v>
      </c>
      <c r="AW12" s="101">
        <f ca="1">'Trucks-hdt'!AW13+'Trucks-lcv'!AW13</f>
        <v>0</v>
      </c>
    </row>
    <row r="13" spans="1:50">
      <c r="A13" s="99" t="s">
        <v>147</v>
      </c>
      <c r="B13" s="99"/>
      <c r="C13" s="102">
        <f ca="1">SUM(D13:AW13)</f>
        <v>380.524673199998</v>
      </c>
      <c r="D13" s="102">
        <f ca="1">IFERROR(OFFSET('vehicle population data'!$F$59,0,MATCH(Trucks!D$3,'vehicle population data'!$G$32:$AM$32,0)),0)</f>
        <v>6.24214080000002</v>
      </c>
      <c r="E13" s="102">
        <f ca="1">IFERROR(OFFSET('vehicle population data'!$F$59,0,MATCH(Trucks!E$3,'vehicle population data'!$G$32:$AM$32,0)),0)</f>
        <v>6.19534899999996</v>
      </c>
      <c r="F13" s="102">
        <f ca="1">IFERROR(OFFSET('vehicle population data'!$F$59,0,MATCH(Trucks!F$3,'vehicle population data'!$G$32:$AM$32,0)),0)</f>
        <v>4.6003116</v>
      </c>
      <c r="G13" s="102">
        <f ca="1">IFERROR(OFFSET('vehicle population data'!$F$59,0,MATCH(Trucks!G$3,'vehicle population data'!$G$32:$AM$32,0)),0)</f>
        <v>0.490248999999999</v>
      </c>
      <c r="H13" s="102">
        <f ca="1">IFERROR(OFFSET('vehicle population data'!$F$59,0,MATCH(Trucks!H$3,'vehicle population data'!$G$32:$AM$32,0)),0)</f>
        <v>0.287562799999998</v>
      </c>
      <c r="I13" s="102">
        <f ca="1">IFERROR(OFFSET('vehicle population data'!$F$59,0,MATCH(Trucks!I$3,'vehicle population data'!$G$32:$AM$32,0)),0)</f>
        <v>1.9828478</v>
      </c>
      <c r="J13" s="102">
        <f ca="1">IFERROR(OFFSET('vehicle population data'!$F$59,0,MATCH(Trucks!J$3,'vehicle population data'!$G$32:$AM$32,0)),0)</f>
        <v>8.95854040000006</v>
      </c>
      <c r="K13" s="102">
        <f ca="1">IFERROR(OFFSET('vehicle population data'!$F$59,0,MATCH(Trucks!K$3,'vehicle population data'!$G$32:$AM$32,0)),0)</f>
        <v>38.2723055999995</v>
      </c>
      <c r="L13" s="102">
        <f ca="1">IFERROR(OFFSET('vehicle population data'!$F$59,0,MATCH(Trucks!L$3,'vehicle population data'!$G$32:$AM$32,0)),0)</f>
        <v>0.2620626</v>
      </c>
      <c r="M13" s="102">
        <f ca="1">IFERROR(OFFSET('vehicle population data'!$F$59,0,MATCH(Trucks!M$3,'vehicle population data'!$G$32:$AM$32,0)),0)</f>
        <v>1.1218526</v>
      </c>
      <c r="N13" s="102">
        <f ca="1">IFERROR(OFFSET('vehicle population data'!$F$59,0,MATCH(Trucks!N$3,'vehicle population data'!$G$32:$AM$32,0)),0)</f>
        <v>6.77700000000001</v>
      </c>
      <c r="O13" s="102">
        <f ca="1">IFERROR(OFFSET('vehicle population data'!$F$59,0,MATCH(Trucks!O$3,'vehicle population data'!$G$32:$AM$32,0)),0)</f>
        <v>3.62769839999999</v>
      </c>
      <c r="P13" s="102">
        <f ca="1">IFERROR(OFFSET('vehicle population data'!$F$59,0,MATCH(Trucks!P$3,'vehicle population data'!$G$32:$AM$32,0)),0)</f>
        <v>1.07086839999999</v>
      </c>
      <c r="Q13" s="102">
        <f ca="1">IFERROR(OFFSET('vehicle population data'!$F$59,0,MATCH(Trucks!Q$3,'vehicle population data'!$G$32:$AM$32,0)),0)</f>
        <v>2.0582398</v>
      </c>
      <c r="R13" s="102">
        <f ca="1">IFERROR(OFFSET('vehicle population data'!$F$59,0,MATCH(Trucks!R$3,'vehicle population data'!$G$32:$AM$32,0)),0)</f>
        <v>0.0379449999999999</v>
      </c>
      <c r="S13" s="102">
        <f ca="1">IFERROR(OFFSET('vehicle population data'!$F$59,0,MATCH(Trucks!S$3,'vehicle population data'!$G$32:$AM$32,0)),0)</f>
        <v>7.60839999999996</v>
      </c>
      <c r="T13" s="102">
        <f ca="1">IFERROR(OFFSET('vehicle population data'!$F$59,0,MATCH(Trucks!T$3,'vehicle population data'!$G$32:$AM$32,0)),0)</f>
        <v>0.335576</v>
      </c>
      <c r="U13" s="102">
        <f ca="1">IFERROR(OFFSET('vehicle population data'!$F$59,0,MATCH(Trucks!U$3,'vehicle population data'!$G$32:$AM$32,0)),0)</f>
        <v>4.841329</v>
      </c>
      <c r="V13" s="102">
        <f ca="1">IFERROR(OFFSET('vehicle population data'!$F$59,0,MATCH(Trucks!V$3,'vehicle population data'!$G$32:$AM$32,0)),0)</f>
        <v>15.9909876</v>
      </c>
      <c r="W13" s="102">
        <f ca="1">IFERROR(OFFSET('vehicle population data'!$F$59,0,MATCH(Trucks!W$3,'vehicle population data'!$G$32:$AM$32,0)),0)</f>
        <v>17.217967</v>
      </c>
      <c r="X13" s="102">
        <f ca="1">IFERROR(OFFSET('vehicle population data'!$F$59,0,MATCH(Trucks!X$3,'vehicle population data'!$G$32:$AM$32,0)),0)</f>
        <v>9.47848419999991</v>
      </c>
      <c r="Y13" s="102">
        <f ca="1">IFERROR(OFFSET('vehicle population data'!$F$59,0,MATCH(Trucks!Y$3,'vehicle population data'!$G$32:$AM$32,0)),0)</f>
        <v>173.730662399999</v>
      </c>
      <c r="Z13" s="102">
        <f ca="1">IFERROR(OFFSET('vehicle population data'!$F$59,0,MATCH(Trucks!Z$3,'vehicle population data'!$G$32:$AM$32,0)),0)</f>
        <v>0.622397399999999</v>
      </c>
      <c r="AA13" s="102">
        <f ca="1">IFERROR(OFFSET('vehicle population data'!$F$59,0,MATCH(Trucks!AA$3,'vehicle population data'!$G$32:$AM$32,0)),0)</f>
        <v>3.7112898</v>
      </c>
      <c r="AB13" s="102">
        <f ca="1">IFERROR(OFFSET('vehicle population data'!$F$59,0,MATCH(Trucks!AB$3,'vehicle population data'!$G$32:$AM$32,0)),0)</f>
        <v>32.4439487999998</v>
      </c>
      <c r="AC13" s="102">
        <f ca="1">IFERROR(OFFSET('vehicle population data'!$F$59,0,MATCH(Trucks!AC$3,'vehicle population data'!$G$32:$AM$32,0)),0)</f>
        <v>8.29090739999998</v>
      </c>
      <c r="AD13" s="102">
        <f ca="1">IFERROR(OFFSET('vehicle population data'!$F$59,0,MATCH(Trucks!AD$3,'vehicle population data'!$G$32:$AM$32,0)),0)</f>
        <v>2.52494439999998</v>
      </c>
      <c r="AE13" s="102">
        <f ca="1">IFERROR(OFFSET('vehicle population data'!$F$59,0,MATCH(Trucks!AE$3,'vehicle population data'!$G$32:$AM$32,0)),0)</f>
        <v>3.53298860000001</v>
      </c>
      <c r="AF13" s="102">
        <f ca="1">IFERROR(OFFSET('vehicle population data'!$F$59,0,MATCH(Trucks!AF$3,'vehicle population data'!$G$32:$AM$32,0)),0)</f>
        <v>6.003287</v>
      </c>
      <c r="AG13" s="102">
        <f ca="1">IFERROR(OFFSET('vehicle population data'!$F$59,0,MATCH(Trucks!AG$3,'vehicle population data'!$G$32:$AM$32,0)),0)</f>
        <v>1.1573004</v>
      </c>
      <c r="AH13" s="102">
        <f ca="1">IFERROR(OFFSET('vehicle population data'!$F$59,0,MATCH(Trucks!AH$3,'vehicle population data'!$G$32:$AM$32,0)),0)</f>
        <v>0.463274800000001</v>
      </c>
      <c r="AI13" s="102">
        <f ca="1">IFERROR(OFFSET('vehicle population data'!$F$59,0,MATCH(Trucks!AI$3,'vehicle population data'!$G$32:$AM$32,0)),0)</f>
        <v>5.5457644</v>
      </c>
      <c r="AJ13" s="102">
        <f ca="1">IFERROR(OFFSET('vehicle population data'!$F$59,0,MATCH(Trucks!AJ$3,'vehicle population data'!$G$32:$AM$32,0)),0)</f>
        <v>5.04019020000001</v>
      </c>
      <c r="AK13" s="102">
        <f ca="1">IFERROR(OFFSET('vehicle population data'!$F$59,0,MATCH(Trucks!AK$3,'vehicle population data'!$G$32:$AM$32,0)),0)</f>
        <v>0</v>
      </c>
      <c r="AL13" s="102">
        <f ca="1">IFERROR(OFFSET('vehicle population data'!$F$59,0,MATCH(Trucks!AL$3,'vehicle population data'!$G$32:$AM$32,0)),0)</f>
        <v>0</v>
      </c>
      <c r="AM13" s="102">
        <f ca="1">IFERROR(OFFSET('vehicle population data'!$F$59,0,MATCH(Trucks!AM$3,'vehicle population data'!$G$32:$AM$32,0)),0)</f>
        <v>0</v>
      </c>
      <c r="AN13" s="102">
        <f ca="1">IFERROR(OFFSET('vehicle population data'!$F$59,0,MATCH(Trucks!AN$3,'vehicle population data'!$G$32:$AM$32,0)),0)</f>
        <v>0</v>
      </c>
      <c r="AO13" s="102">
        <f ca="1">IFERROR(OFFSET('vehicle population data'!$F$59,0,MATCH(Trucks!AO$3,'vehicle population data'!$G$32:$AM$32,0)),0)</f>
        <v>0</v>
      </c>
      <c r="AP13" s="102">
        <f ca="1">IFERROR(OFFSET('vehicle population data'!$F$59,0,MATCH(Trucks!AP$3,'vehicle population data'!$G$32:$AM$32,0)),0)</f>
        <v>0</v>
      </c>
      <c r="AQ13" s="102">
        <f ca="1">IFERROR(OFFSET('vehicle population data'!$F$59,0,MATCH(Trucks!AQ$3,'vehicle population data'!$G$32:$AM$32,0)),0)</f>
        <v>0</v>
      </c>
      <c r="AR13" s="102">
        <f ca="1">IFERROR(OFFSET('vehicle population data'!$F$59,0,MATCH(Trucks!AR$3,'vehicle population data'!$G$32:$AM$32,0)),0)</f>
        <v>0</v>
      </c>
      <c r="AS13" s="102">
        <f ca="1">IFERROR(OFFSET('vehicle population data'!$F$59,0,MATCH(Trucks!AS$3,'vehicle population data'!$G$32:$AM$32,0)),0)</f>
        <v>0</v>
      </c>
      <c r="AT13" s="102">
        <f ca="1">IFERROR(OFFSET('vehicle population data'!$F$59,0,MATCH(Trucks!AT$3,'vehicle population data'!$G$32:$AM$32,0)),0)</f>
        <v>0</v>
      </c>
      <c r="AU13" s="102">
        <f ca="1">IFERROR(OFFSET('vehicle population data'!$F$59,0,MATCH(Trucks!AU$3,'vehicle population data'!$G$32:$AM$32,0)),0)</f>
        <v>0</v>
      </c>
      <c r="AV13" s="102">
        <f ca="1">IFERROR(OFFSET('vehicle population data'!$F$59,0,MATCH(Trucks!AV$3,'vehicle population data'!$G$32:$AM$32,0)),0)</f>
        <v>0</v>
      </c>
      <c r="AW13" s="102">
        <f ca="1">IFERROR(OFFSET('vehicle population data'!$F$59,0,MATCH(Trucks!AW$3,'vehicle population data'!$G$32:$AM$32,0)),0)</f>
        <v>0</v>
      </c>
      <c r="AX13" s="3"/>
    </row>
    <row r="14" spans="1:50">
      <c r="A14" s="99" t="s">
        <v>148</v>
      </c>
      <c r="B14" s="99"/>
      <c r="D14" s="100">
        <f ca="1">D13/SUM($D$13:$AW$13)</f>
        <v>0.0164040369511578</v>
      </c>
      <c r="E14" s="100">
        <f ca="1" t="shared" ref="E14:AW14" si="2">E13/SUM($D$13:$AW$13)</f>
        <v>0.016281070417591</v>
      </c>
      <c r="F14" s="100">
        <f ca="1" t="shared" si="2"/>
        <v>0.0120893911065319</v>
      </c>
      <c r="G14" s="100">
        <f ca="1" t="shared" si="2"/>
        <v>0.0012883500979773</v>
      </c>
      <c r="H14" s="100">
        <f ca="1" t="shared" si="2"/>
        <v>0.000755700800113057</v>
      </c>
      <c r="I14" s="100">
        <f ca="1" t="shared" si="2"/>
        <v>0.00521082584034661</v>
      </c>
      <c r="J14" s="100">
        <f ca="1" t="shared" si="2"/>
        <v>0.0235426006010695</v>
      </c>
      <c r="K14" s="100">
        <f ca="1" t="shared" si="2"/>
        <v>0.100577724114841</v>
      </c>
      <c r="L14" s="100">
        <f ca="1" t="shared" si="2"/>
        <v>0.000688687537121315</v>
      </c>
      <c r="M14" s="100">
        <f ca="1" t="shared" si="2"/>
        <v>0.0029481730857709</v>
      </c>
      <c r="N14" s="100">
        <f ca="1" t="shared" si="2"/>
        <v>0.0178096204459208</v>
      </c>
      <c r="O14" s="100">
        <f ca="1" t="shared" si="2"/>
        <v>0.00953341177457191</v>
      </c>
      <c r="P14" s="100">
        <f ca="1" t="shared" si="2"/>
        <v>0.00281418913258525</v>
      </c>
      <c r="Q14" s="100">
        <f ca="1" t="shared" si="2"/>
        <v>0.0054089522834127</v>
      </c>
      <c r="R14" s="100">
        <f ca="1" t="shared" si="2"/>
        <v>9.97175812041407e-5</v>
      </c>
      <c r="S14" s="100">
        <f ca="1" t="shared" si="2"/>
        <v>0.0199944984802631</v>
      </c>
      <c r="T14" s="100">
        <f ca="1" t="shared" si="2"/>
        <v>0.000881877112403763</v>
      </c>
      <c r="U14" s="100">
        <f ca="1" t="shared" si="2"/>
        <v>0.0127227729000781</v>
      </c>
      <c r="V14" s="100">
        <f ca="1" t="shared" si="2"/>
        <v>0.0420235236404641</v>
      </c>
      <c r="W14" s="100">
        <f ca="1" t="shared" si="2"/>
        <v>0.0452479647514223</v>
      </c>
      <c r="X14" s="100">
        <f ca="1" t="shared" si="2"/>
        <v>0.0249089871631482</v>
      </c>
      <c r="Y14" s="100">
        <f ca="1" t="shared" si="2"/>
        <v>0.456555578746109</v>
      </c>
      <c r="Z14" s="100">
        <f ca="1" t="shared" si="2"/>
        <v>0.00163562955002625</v>
      </c>
      <c r="AA14" s="100">
        <f ca="1" t="shared" si="2"/>
        <v>0.00975308583485571</v>
      </c>
      <c r="AB14" s="100">
        <f ca="1" t="shared" si="2"/>
        <v>0.0852610910277236</v>
      </c>
      <c r="AC14" s="100">
        <f ca="1" t="shared" si="2"/>
        <v>0.0217880941340232</v>
      </c>
      <c r="AD14" s="100">
        <f ca="1" t="shared" si="2"/>
        <v>0.00663542886395939</v>
      </c>
      <c r="AE14" s="100">
        <f ca="1" t="shared" si="2"/>
        <v>0.00928451910960087</v>
      </c>
      <c r="AF14" s="100">
        <f ca="1" t="shared" si="2"/>
        <v>0.0157763409912838</v>
      </c>
      <c r="AG14" s="100">
        <f ca="1" t="shared" si="2"/>
        <v>0.00304132814902055</v>
      </c>
      <c r="AH14" s="100">
        <f ca="1" t="shared" si="2"/>
        <v>0.0012174632359687</v>
      </c>
      <c r="AI14" s="100">
        <f ca="1" t="shared" si="2"/>
        <v>0.0145739942521026</v>
      </c>
      <c r="AJ14" s="100">
        <f ca="1" t="shared" si="2"/>
        <v>0.0132453702873321</v>
      </c>
      <c r="AK14" s="100">
        <f ca="1" t="shared" si="2"/>
        <v>0</v>
      </c>
      <c r="AL14" s="100">
        <f ca="1" t="shared" si="2"/>
        <v>0</v>
      </c>
      <c r="AM14" s="100">
        <f ca="1" t="shared" si="2"/>
        <v>0</v>
      </c>
      <c r="AN14" s="100">
        <f ca="1" t="shared" si="2"/>
        <v>0</v>
      </c>
      <c r="AO14" s="100">
        <f ca="1" t="shared" si="2"/>
        <v>0</v>
      </c>
      <c r="AP14" s="100">
        <f ca="1" t="shared" si="2"/>
        <v>0</v>
      </c>
      <c r="AQ14" s="100">
        <f ca="1" t="shared" si="2"/>
        <v>0</v>
      </c>
      <c r="AR14" s="100">
        <f ca="1" t="shared" si="2"/>
        <v>0</v>
      </c>
      <c r="AS14" s="100">
        <f ca="1" t="shared" si="2"/>
        <v>0</v>
      </c>
      <c r="AT14" s="100">
        <f ca="1" t="shared" si="2"/>
        <v>0</v>
      </c>
      <c r="AU14" s="100">
        <f ca="1" t="shared" si="2"/>
        <v>0</v>
      </c>
      <c r="AV14" s="100">
        <f ca="1" t="shared" si="2"/>
        <v>0</v>
      </c>
      <c r="AW14" s="100">
        <f ca="1" t="shared" si="2"/>
        <v>0</v>
      </c>
    </row>
    <row r="16" spans="1:50">
      <c r="A16" s="99" t="s">
        <v>149</v>
      </c>
      <c r="B16" s="99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6">
        <f ca="1">D4/SUM(D$4:D$10)*D$13</f>
        <v>0</v>
      </c>
      <c r="E18" s="76">
        <f ca="1" t="shared" ref="E18:U18" si="7">E4/SUM(E$4:E$10)*E$13</f>
        <v>0</v>
      </c>
      <c r="F18" s="76">
        <f ca="1" t="shared" si="7"/>
        <v>0.000262946730713287</v>
      </c>
      <c r="G18" s="76">
        <f ca="1" t="shared" si="7"/>
        <v>0.0313044112916775</v>
      </c>
      <c r="H18" s="76">
        <f ca="1" t="shared" si="7"/>
        <v>0.00946473384505358</v>
      </c>
      <c r="I18" s="76">
        <f ca="1" t="shared" si="7"/>
        <v>0.122472114164221</v>
      </c>
      <c r="J18" s="76">
        <f ca="1" t="shared" si="7"/>
        <v>2.64914837362926</v>
      </c>
      <c r="K18" s="76">
        <f ca="1" t="shared" si="7"/>
        <v>0.283800830689812</v>
      </c>
      <c r="L18" s="76">
        <f ca="1" t="shared" si="7"/>
        <v>0.0125043565521516</v>
      </c>
      <c r="M18" s="76">
        <f ca="1" t="shared" si="7"/>
        <v>0.0650589212136055</v>
      </c>
      <c r="N18" s="76">
        <f ca="1" t="shared" si="7"/>
        <v>0.509770902206154</v>
      </c>
      <c r="O18" s="76">
        <f ca="1" t="shared" si="7"/>
        <v>0.191210305041202</v>
      </c>
      <c r="P18" s="76">
        <f ca="1" t="shared" si="7"/>
        <v>0.0603889640025094</v>
      </c>
      <c r="Q18" s="76">
        <f ca="1" t="shared" si="7"/>
        <v>0.115930141921674</v>
      </c>
      <c r="R18" s="76">
        <f ca="1" t="shared" si="7"/>
        <v>0.00288015574858407</v>
      </c>
      <c r="S18" s="76">
        <f ca="1" t="shared" si="7"/>
        <v>0.00504155392096172</v>
      </c>
      <c r="T18" s="76">
        <f ca="1" t="shared" si="7"/>
        <v>0.0173254195280901</v>
      </c>
      <c r="U18" s="76">
        <f ca="1" t="shared" si="7"/>
        <v>0.257292122877294</v>
      </c>
      <c r="V18" s="76">
        <f ca="1" t="shared" ref="V18:AJ18" si="8">V4/SUM(V$4:V$10)*V$13</f>
        <v>0.00752338803537779</v>
      </c>
      <c r="W18" s="76">
        <f ca="1" t="shared" si="8"/>
        <v>0.723692273343006</v>
      </c>
      <c r="X18" s="76">
        <f ca="1" t="shared" si="8"/>
        <v>0</v>
      </c>
      <c r="Y18" s="76">
        <f ca="1" t="shared" si="8"/>
        <v>3.40340334288559</v>
      </c>
      <c r="Z18" s="76">
        <f ca="1" t="shared" si="8"/>
        <v>0.101794528829972</v>
      </c>
      <c r="AA18" s="76">
        <f ca="1" t="shared" si="8"/>
        <v>0.184566101799329</v>
      </c>
      <c r="AB18" s="76">
        <f ca="1" t="shared" si="8"/>
        <v>2.13044828692991</v>
      </c>
      <c r="AC18" s="76">
        <f ca="1" t="shared" si="8"/>
        <v>0.000477514012937824</v>
      </c>
      <c r="AD18" s="76">
        <f ca="1" t="shared" si="8"/>
        <v>0</v>
      </c>
      <c r="AE18" s="76">
        <f ca="1" t="shared" si="8"/>
        <v>0</v>
      </c>
      <c r="AF18" s="76">
        <f ca="1" t="shared" si="8"/>
        <v>0.380885064581045</v>
      </c>
      <c r="AG18" s="76">
        <f ca="1" t="shared" ref="AG18" si="9">AG4/SUM(AG$4:AG$10)*AG$13</f>
        <v>0.206694364477411</v>
      </c>
      <c r="AH18" s="76">
        <f ca="1" t="shared" si="8"/>
        <v>0.0234644760138119</v>
      </c>
      <c r="AI18" s="76">
        <f ca="1" t="shared" si="8"/>
        <v>0.0290137788416586</v>
      </c>
      <c r="AJ18" s="76">
        <f ca="1" t="shared" si="8"/>
        <v>0.24515050886709</v>
      </c>
      <c r="AK18" s="76">
        <f ca="1" t="shared" ref="AK18:AW18" si="10">AK4/SUM(AK$4:AK$10)*AK$13</f>
        <v>0</v>
      </c>
      <c r="AL18" s="76">
        <f ca="1" t="shared" si="10"/>
        <v>0</v>
      </c>
      <c r="AM18" s="76" t="e">
        <f ca="1" t="shared" si="10"/>
        <v>#DIV/0!</v>
      </c>
      <c r="AN18" s="76" t="e">
        <f ca="1" t="shared" si="10"/>
        <v>#DIV/0!</v>
      </c>
      <c r="AO18" s="76" t="e">
        <f ca="1" t="shared" si="10"/>
        <v>#DIV/0!</v>
      </c>
      <c r="AP18" s="76" t="e">
        <f ca="1" t="shared" si="10"/>
        <v>#DIV/0!</v>
      </c>
      <c r="AQ18" s="76" t="e">
        <f ca="1" t="shared" si="10"/>
        <v>#DIV/0!</v>
      </c>
      <c r="AR18" s="76" t="e">
        <f ca="1" t="shared" si="10"/>
        <v>#DIV/0!</v>
      </c>
      <c r="AS18" s="76" t="e">
        <f ca="1" t="shared" si="10"/>
        <v>#DIV/0!</v>
      </c>
      <c r="AT18" s="76" t="e">
        <f ca="1" t="shared" si="10"/>
        <v>#DIV/0!</v>
      </c>
      <c r="AU18" s="76" t="e">
        <f ca="1" t="shared" si="10"/>
        <v>#DIV/0!</v>
      </c>
      <c r="AV18" s="76" t="e">
        <f ca="1" t="shared" si="10"/>
        <v>#DIV/0!</v>
      </c>
      <c r="AW18" s="76" t="e">
        <f ca="1" t="shared" si="10"/>
        <v>#DIV/0!</v>
      </c>
    </row>
    <row r="19" spans="1:49">
      <c r="C19" t="str">
        <f t="shared" ref="C19:C24" si="11">C5</f>
        <v>TRABGS</v>
      </c>
      <c r="D19" s="76">
        <f ca="1" t="shared" ref="D19:AJ24" si="12">D5/SUM(D$4:D$10)*D$13</f>
        <v>0</v>
      </c>
      <c r="E19" s="76">
        <f ca="1" t="shared" ref="E19:U19" si="13">E5/SUM(E$4:E$10)*E$13</f>
        <v>0</v>
      </c>
      <c r="F19" s="76">
        <f ca="1" t="shared" si="13"/>
        <v>0</v>
      </c>
      <c r="G19" s="76">
        <f ca="1" t="shared" si="13"/>
        <v>0</v>
      </c>
      <c r="H19" s="76">
        <f ca="1" t="shared" si="13"/>
        <v>0</v>
      </c>
      <c r="I19" s="76">
        <f ca="1" t="shared" si="13"/>
        <v>0</v>
      </c>
      <c r="J19" s="76">
        <f ca="1" t="shared" si="13"/>
        <v>0</v>
      </c>
      <c r="K19" s="76">
        <f ca="1" t="shared" si="13"/>
        <v>0</v>
      </c>
      <c r="L19" s="76">
        <f ca="1" t="shared" si="13"/>
        <v>0</v>
      </c>
      <c r="M19" s="76">
        <f ca="1" t="shared" si="13"/>
        <v>0</v>
      </c>
      <c r="N19" s="76">
        <f ca="1" t="shared" si="13"/>
        <v>0</v>
      </c>
      <c r="O19" s="76">
        <f ca="1" t="shared" si="13"/>
        <v>0</v>
      </c>
      <c r="P19" s="76">
        <f ca="1" t="shared" si="13"/>
        <v>0</v>
      </c>
      <c r="Q19" s="76">
        <f ca="1" t="shared" si="13"/>
        <v>0</v>
      </c>
      <c r="R19" s="76">
        <f ca="1" t="shared" si="13"/>
        <v>0</v>
      </c>
      <c r="S19" s="76">
        <f ca="1" t="shared" si="13"/>
        <v>0</v>
      </c>
      <c r="T19" s="76">
        <f ca="1" t="shared" si="13"/>
        <v>0</v>
      </c>
      <c r="U19" s="76">
        <f ca="1" t="shared" si="13"/>
        <v>0</v>
      </c>
      <c r="V19" s="76">
        <f ca="1" t="shared" si="12"/>
        <v>0</v>
      </c>
      <c r="W19" s="76">
        <f ca="1" t="shared" si="12"/>
        <v>0</v>
      </c>
      <c r="X19" s="76">
        <f ca="1" t="shared" si="12"/>
        <v>0</v>
      </c>
      <c r="Y19" s="76">
        <f ca="1" t="shared" si="12"/>
        <v>0</v>
      </c>
      <c r="Z19" s="76">
        <f ca="1" t="shared" si="12"/>
        <v>0</v>
      </c>
      <c r="AA19" s="76">
        <f ca="1" t="shared" si="12"/>
        <v>0</v>
      </c>
      <c r="AB19" s="76">
        <f ca="1" t="shared" si="12"/>
        <v>0</v>
      </c>
      <c r="AC19" s="76">
        <f ca="1" t="shared" si="12"/>
        <v>0</v>
      </c>
      <c r="AD19" s="76">
        <f ca="1" t="shared" si="12"/>
        <v>0</v>
      </c>
      <c r="AE19" s="76">
        <f ca="1" t="shared" si="12"/>
        <v>0</v>
      </c>
      <c r="AF19" s="76">
        <f ca="1" t="shared" si="12"/>
        <v>0</v>
      </c>
      <c r="AG19" s="76">
        <f ca="1" t="shared" ref="AG19" si="14">AG5/SUM(AG$4:AG$10)*AG$13</f>
        <v>0</v>
      </c>
      <c r="AH19" s="76">
        <f ca="1" t="shared" si="12"/>
        <v>0</v>
      </c>
      <c r="AI19" s="76">
        <f ca="1" t="shared" si="12"/>
        <v>0</v>
      </c>
      <c r="AJ19" s="76">
        <f ca="1" t="shared" si="12"/>
        <v>0</v>
      </c>
      <c r="AK19" s="76">
        <f ca="1" t="shared" ref="AK19:AW19" si="15">AK5/SUM(AK$4:AK$10)*AK$13</f>
        <v>0</v>
      </c>
      <c r="AL19" s="76">
        <f ca="1" t="shared" si="15"/>
        <v>0</v>
      </c>
      <c r="AM19" s="76" t="e">
        <f ca="1" t="shared" si="15"/>
        <v>#DIV/0!</v>
      </c>
      <c r="AN19" s="76" t="e">
        <f ca="1" t="shared" si="15"/>
        <v>#DIV/0!</v>
      </c>
      <c r="AO19" s="76" t="e">
        <f ca="1" t="shared" si="15"/>
        <v>#DIV/0!</v>
      </c>
      <c r="AP19" s="76" t="e">
        <f ca="1" t="shared" si="15"/>
        <v>#DIV/0!</v>
      </c>
      <c r="AQ19" s="76" t="e">
        <f ca="1" t="shared" si="15"/>
        <v>#DIV/0!</v>
      </c>
      <c r="AR19" s="76" t="e">
        <f ca="1" t="shared" si="15"/>
        <v>#DIV/0!</v>
      </c>
      <c r="AS19" s="76" t="e">
        <f ca="1" t="shared" si="15"/>
        <v>#DIV/0!</v>
      </c>
      <c r="AT19" s="76" t="e">
        <f ca="1" t="shared" si="15"/>
        <v>#DIV/0!</v>
      </c>
      <c r="AU19" s="76" t="e">
        <f ca="1" t="shared" si="15"/>
        <v>#DIV/0!</v>
      </c>
      <c r="AV19" s="76" t="e">
        <f ca="1" t="shared" si="15"/>
        <v>#DIV/0!</v>
      </c>
      <c r="AW19" s="76" t="e">
        <f ca="1" t="shared" si="15"/>
        <v>#DIV/0!</v>
      </c>
    </row>
    <row r="20" spans="1:49">
      <c r="C20" t="str">
        <f t="shared" si="11"/>
        <v>TRADST</v>
      </c>
      <c r="D20" s="76">
        <f ca="1" t="shared" si="12"/>
        <v>6.10076195983704</v>
      </c>
      <c r="E20" s="76">
        <f ca="1" t="shared" ref="E20:U20" si="16">E6/SUM(E$4:E$10)*E$13</f>
        <v>6.19515500068658</v>
      </c>
      <c r="F20" s="76">
        <f ca="1" t="shared" si="16"/>
        <v>4.11288033119415</v>
      </c>
      <c r="G20" s="76">
        <f ca="1" t="shared" si="16"/>
        <v>0.45425744941056</v>
      </c>
      <c r="H20" s="76">
        <f ca="1" t="shared" si="16"/>
        <v>0.25042627050363</v>
      </c>
      <c r="I20" s="76">
        <f ca="1" t="shared" si="16"/>
        <v>1.81812405977428</v>
      </c>
      <c r="J20" s="76">
        <f ca="1" t="shared" si="16"/>
        <v>5.84328729688481</v>
      </c>
      <c r="K20" s="76">
        <f ca="1" t="shared" si="16"/>
        <v>29.0612197021861</v>
      </c>
      <c r="L20" s="76">
        <f ca="1" t="shared" si="16"/>
        <v>0.236037994885579</v>
      </c>
      <c r="M20" s="76">
        <f ca="1" t="shared" si="16"/>
        <v>1.0040808758255</v>
      </c>
      <c r="N20" s="76">
        <f ca="1" t="shared" si="16"/>
        <v>6.20387086825836</v>
      </c>
      <c r="O20" s="76">
        <f ca="1" t="shared" si="16"/>
        <v>3.35857764298128</v>
      </c>
      <c r="P20" s="76">
        <f ca="1" t="shared" si="16"/>
        <v>0.946806755360192</v>
      </c>
      <c r="Q20" s="76">
        <f ca="1" t="shared" si="16"/>
        <v>1.8023444443066</v>
      </c>
      <c r="R20" s="76">
        <f ca="1" t="shared" si="16"/>
        <v>0.0341952597842358</v>
      </c>
      <c r="S20" s="76">
        <f ca="1" t="shared" si="16"/>
        <v>7.49534820464197</v>
      </c>
      <c r="T20" s="76">
        <f ca="1" t="shared" si="16"/>
        <v>0.315106769589374</v>
      </c>
      <c r="U20" s="76">
        <f ca="1" t="shared" si="16"/>
        <v>4.40178002797306</v>
      </c>
      <c r="V20" s="76">
        <f ca="1" t="shared" si="12"/>
        <v>13.2324170188395</v>
      </c>
      <c r="W20" s="76">
        <f ca="1" t="shared" si="12"/>
        <v>14.3676002083147</v>
      </c>
      <c r="X20" s="76">
        <f ca="1" t="shared" si="12"/>
        <v>6.21217646135113</v>
      </c>
      <c r="Y20" s="76">
        <f ca="1" t="shared" si="12"/>
        <v>104.984322920368</v>
      </c>
      <c r="Z20" s="76">
        <f ca="1" t="shared" si="12"/>
        <v>0.514122791930274</v>
      </c>
      <c r="AA20" s="76">
        <f ca="1" t="shared" si="12"/>
        <v>3.11920357162864</v>
      </c>
      <c r="AB20" s="76">
        <f ca="1" t="shared" si="12"/>
        <v>30.0091323940605</v>
      </c>
      <c r="AC20" s="76">
        <f ca="1" t="shared" si="12"/>
        <v>4.65128914942901</v>
      </c>
      <c r="AD20" s="76">
        <f ca="1" t="shared" si="12"/>
        <v>1.80493819790983</v>
      </c>
      <c r="AE20" s="76">
        <f ca="1" t="shared" si="12"/>
        <v>3.52978606938936</v>
      </c>
      <c r="AF20" s="76">
        <f ca="1" t="shared" si="12"/>
        <v>5.56012527285434</v>
      </c>
      <c r="AG20" s="76">
        <f ca="1" t="shared" ref="AG20" si="17">AG6/SUM(AG$4:AG$10)*AG$13</f>
        <v>0.93003866895789</v>
      </c>
      <c r="AH20" s="76">
        <f ca="1" t="shared" si="12"/>
        <v>0.425714537860237</v>
      </c>
      <c r="AI20" s="76">
        <f ca="1" t="shared" si="12"/>
        <v>4.99204768409496</v>
      </c>
      <c r="AJ20" s="76">
        <f ca="1" t="shared" si="12"/>
        <v>4.70102994073269</v>
      </c>
      <c r="AK20" s="76">
        <f ca="1" t="shared" ref="AK20:AW20" si="18">AK6/SUM(AK$4:AK$10)*AK$13</f>
        <v>0</v>
      </c>
      <c r="AL20" s="76">
        <f ca="1" t="shared" si="18"/>
        <v>0</v>
      </c>
      <c r="AM20" s="76" t="e">
        <f ca="1" t="shared" si="18"/>
        <v>#DIV/0!</v>
      </c>
      <c r="AN20" s="76" t="e">
        <f ca="1" t="shared" si="18"/>
        <v>#DIV/0!</v>
      </c>
      <c r="AO20" s="76" t="e">
        <f ca="1" t="shared" si="18"/>
        <v>#DIV/0!</v>
      </c>
      <c r="AP20" s="76" t="e">
        <f ca="1" t="shared" si="18"/>
        <v>#DIV/0!</v>
      </c>
      <c r="AQ20" s="76" t="e">
        <f ca="1" t="shared" si="18"/>
        <v>#DIV/0!</v>
      </c>
      <c r="AR20" s="76" t="e">
        <f ca="1" t="shared" si="18"/>
        <v>#DIV/0!</v>
      </c>
      <c r="AS20" s="76" t="e">
        <f ca="1" t="shared" si="18"/>
        <v>#DIV/0!</v>
      </c>
      <c r="AT20" s="76" t="e">
        <f ca="1" t="shared" si="18"/>
        <v>#DIV/0!</v>
      </c>
      <c r="AU20" s="76" t="e">
        <f ca="1" t="shared" si="18"/>
        <v>#DIV/0!</v>
      </c>
      <c r="AV20" s="76" t="e">
        <f ca="1" t="shared" si="18"/>
        <v>#DIV/0!</v>
      </c>
      <c r="AW20" s="76" t="e">
        <f ca="1" t="shared" si="18"/>
        <v>#DIV/0!</v>
      </c>
    </row>
    <row r="21" spans="1:49">
      <c r="C21" t="str">
        <f t="shared" si="11"/>
        <v>TRAELC</v>
      </c>
      <c r="D21" s="76">
        <f ca="1" t="shared" si="12"/>
        <v>0</v>
      </c>
      <c r="E21" s="76">
        <f ca="1" t="shared" ref="E21:U21" si="19">E7/SUM(E$4:E$10)*E$13</f>
        <v>0</v>
      </c>
      <c r="F21" s="76">
        <f ca="1" t="shared" si="19"/>
        <v>0</v>
      </c>
      <c r="G21" s="76">
        <f ca="1" t="shared" si="19"/>
        <v>0</v>
      </c>
      <c r="H21" s="76">
        <f ca="1" t="shared" si="19"/>
        <v>0</v>
      </c>
      <c r="I21" s="76">
        <f ca="1" t="shared" si="19"/>
        <v>0</v>
      </c>
      <c r="J21" s="76">
        <f ca="1" t="shared" si="19"/>
        <v>0</v>
      </c>
      <c r="K21" s="76">
        <f ca="1" t="shared" si="19"/>
        <v>0.314037740276596</v>
      </c>
      <c r="L21" s="76">
        <f ca="1" t="shared" si="19"/>
        <v>0</v>
      </c>
      <c r="M21" s="76">
        <f ca="1" t="shared" si="19"/>
        <v>0</v>
      </c>
      <c r="N21" s="76">
        <f ca="1" t="shared" si="19"/>
        <v>0</v>
      </c>
      <c r="O21" s="76">
        <f ca="1" t="shared" si="19"/>
        <v>0</v>
      </c>
      <c r="P21" s="76">
        <f ca="1" t="shared" si="19"/>
        <v>0</v>
      </c>
      <c r="Q21" s="76">
        <f ca="1" t="shared" si="19"/>
        <v>0</v>
      </c>
      <c r="R21" s="76">
        <f ca="1" t="shared" si="19"/>
        <v>0</v>
      </c>
      <c r="S21" s="76">
        <f ca="1" t="shared" si="19"/>
        <v>0</v>
      </c>
      <c r="T21" s="76">
        <f ca="1" t="shared" si="19"/>
        <v>0</v>
      </c>
      <c r="U21" s="76">
        <f ca="1" t="shared" si="19"/>
        <v>0</v>
      </c>
      <c r="V21" s="76">
        <f ca="1" t="shared" si="12"/>
        <v>0</v>
      </c>
      <c r="W21" s="76">
        <f ca="1" t="shared" si="12"/>
        <v>0</v>
      </c>
      <c r="X21" s="76">
        <f ca="1" t="shared" si="12"/>
        <v>0</v>
      </c>
      <c r="Y21" s="76">
        <f ca="1" t="shared" si="12"/>
        <v>0</v>
      </c>
      <c r="Z21" s="76">
        <f ca="1" t="shared" si="12"/>
        <v>0</v>
      </c>
      <c r="AA21" s="76">
        <f ca="1" t="shared" si="12"/>
        <v>0</v>
      </c>
      <c r="AB21" s="76">
        <f ca="1" t="shared" si="12"/>
        <v>0</v>
      </c>
      <c r="AC21" s="76">
        <f ca="1" t="shared" si="12"/>
        <v>0</v>
      </c>
      <c r="AD21" s="76">
        <f ca="1" t="shared" si="12"/>
        <v>0</v>
      </c>
      <c r="AE21" s="76">
        <f ca="1" t="shared" si="12"/>
        <v>0</v>
      </c>
      <c r="AF21" s="76">
        <f ca="1" t="shared" si="12"/>
        <v>0</v>
      </c>
      <c r="AG21" s="76">
        <f ca="1" t="shared" ref="AG21" si="20">AG7/SUM(AG$4:AG$10)*AG$13</f>
        <v>0</v>
      </c>
      <c r="AH21" s="76">
        <f ca="1" t="shared" si="12"/>
        <v>0</v>
      </c>
      <c r="AI21" s="76">
        <f ca="1" t="shared" si="12"/>
        <v>0</v>
      </c>
      <c r="AJ21" s="76">
        <f ca="1" t="shared" si="12"/>
        <v>0</v>
      </c>
      <c r="AK21" s="76">
        <f ca="1" t="shared" ref="AK21:AW21" si="21">AK7/SUM(AK$4:AK$10)*AK$13</f>
        <v>0</v>
      </c>
      <c r="AL21" s="76">
        <f ca="1" t="shared" si="21"/>
        <v>0</v>
      </c>
      <c r="AM21" s="76" t="e">
        <f ca="1" t="shared" si="21"/>
        <v>#DIV/0!</v>
      </c>
      <c r="AN21" s="76" t="e">
        <f ca="1" t="shared" si="21"/>
        <v>#DIV/0!</v>
      </c>
      <c r="AO21" s="76" t="e">
        <f ca="1" t="shared" si="21"/>
        <v>#DIV/0!</v>
      </c>
      <c r="AP21" s="76" t="e">
        <f ca="1" t="shared" si="21"/>
        <v>#DIV/0!</v>
      </c>
      <c r="AQ21" s="76" t="e">
        <f ca="1" t="shared" si="21"/>
        <v>#DIV/0!</v>
      </c>
      <c r="AR21" s="76" t="e">
        <f ca="1" t="shared" si="21"/>
        <v>#DIV/0!</v>
      </c>
      <c r="AS21" s="76" t="e">
        <f ca="1" t="shared" si="21"/>
        <v>#DIV/0!</v>
      </c>
      <c r="AT21" s="76" t="e">
        <f ca="1" t="shared" si="21"/>
        <v>#DIV/0!</v>
      </c>
      <c r="AU21" s="76" t="e">
        <f ca="1" t="shared" si="21"/>
        <v>#DIV/0!</v>
      </c>
      <c r="AV21" s="76" t="e">
        <f ca="1" t="shared" si="21"/>
        <v>#DIV/0!</v>
      </c>
      <c r="AW21" s="76" t="e">
        <f ca="1" t="shared" si="21"/>
        <v>#DIV/0!</v>
      </c>
    </row>
    <row r="22" spans="1:49">
      <c r="C22" t="str">
        <f t="shared" si="11"/>
        <v>TRAGSL</v>
      </c>
      <c r="D22" s="76">
        <f ca="1" t="shared" si="12"/>
        <v>0</v>
      </c>
      <c r="E22" s="76">
        <f ca="1" t="shared" ref="E22:U22" si="22">E8/SUM(E$4:E$10)*E$13</f>
        <v>0</v>
      </c>
      <c r="F22" s="76">
        <f ca="1" t="shared" si="22"/>
        <v>0.463583416285841</v>
      </c>
      <c r="G22" s="76">
        <f ca="1" t="shared" si="22"/>
        <v>0.00456040221200943</v>
      </c>
      <c r="H22" s="76">
        <f ca="1" t="shared" si="22"/>
        <v>0.0199040787590515</v>
      </c>
      <c r="I22" s="76">
        <f ca="1" t="shared" si="22"/>
        <v>0.0333182731890624</v>
      </c>
      <c r="J22" s="76">
        <f ca="1" t="shared" si="22"/>
        <v>0.384261449015505</v>
      </c>
      <c r="K22" s="76">
        <f ca="1" t="shared" si="22"/>
        <v>6.91359015046116</v>
      </c>
      <c r="L22" s="76">
        <f ca="1" t="shared" si="22"/>
        <v>0.00920335701196547</v>
      </c>
      <c r="M22" s="76">
        <f ca="1" t="shared" si="22"/>
        <v>0.0433114319673727</v>
      </c>
      <c r="N22" s="76">
        <f ca="1" t="shared" si="22"/>
        <v>0.0595182418758766</v>
      </c>
      <c r="O22" s="76">
        <f ca="1" t="shared" si="22"/>
        <v>0.0655095773440157</v>
      </c>
      <c r="P22" s="76">
        <f ca="1" t="shared" si="22"/>
        <v>0.0357162223054415</v>
      </c>
      <c r="Q22" s="76">
        <f ca="1" t="shared" si="22"/>
        <v>0.0776626418649065</v>
      </c>
      <c r="R22" s="76">
        <f ca="1" t="shared" si="22"/>
        <v>0.000869584467179982</v>
      </c>
      <c r="S22" s="76">
        <f ca="1" t="shared" si="22"/>
        <v>0</v>
      </c>
      <c r="T22" s="76">
        <f ca="1" t="shared" si="22"/>
        <v>0.00308791394740927</v>
      </c>
      <c r="U22" s="76">
        <f ca="1" t="shared" si="22"/>
        <v>0.0598758396798626</v>
      </c>
      <c r="V22" s="76">
        <f ca="1" t="shared" si="12"/>
        <v>2.54387068432555</v>
      </c>
      <c r="W22" s="76">
        <f ca="1" t="shared" si="12"/>
        <v>1.74972659945181</v>
      </c>
      <c r="X22" s="76">
        <f ca="1" t="shared" si="12"/>
        <v>3.26228100734644</v>
      </c>
      <c r="Y22" s="76">
        <f ca="1" t="shared" si="12"/>
        <v>64.9617479697974</v>
      </c>
      <c r="Z22" s="76">
        <f ca="1" t="shared" si="12"/>
        <v>0.00607020721986375</v>
      </c>
      <c r="AA22" s="76">
        <f ca="1" t="shared" si="12"/>
        <v>0.127807811553476</v>
      </c>
      <c r="AB22" s="76">
        <f ca="1" t="shared" si="12"/>
        <v>0</v>
      </c>
      <c r="AC22" s="76">
        <f ca="1" t="shared" si="12"/>
        <v>3.41988102763676</v>
      </c>
      <c r="AD22" s="76">
        <f ca="1" t="shared" si="12"/>
        <v>0.720006202090148</v>
      </c>
      <c r="AE22" s="76">
        <f ca="1" t="shared" si="12"/>
        <v>0</v>
      </c>
      <c r="AF22" s="76">
        <f ca="1" t="shared" si="12"/>
        <v>0.052629512631561</v>
      </c>
      <c r="AG22" s="76">
        <f ca="1" t="shared" ref="AG22" si="23">AG8/SUM(AG$4:AG$10)*AG$13</f>
        <v>0.0205673665646987</v>
      </c>
      <c r="AH22" s="76">
        <f ca="1" t="shared" si="12"/>
        <v>0.0140087374421451</v>
      </c>
      <c r="AI22" s="76">
        <f ca="1" t="shared" si="12"/>
        <v>0.200948510578231</v>
      </c>
      <c r="AJ22" s="76">
        <f ca="1" t="shared" si="12"/>
        <v>0.0895907922460006</v>
      </c>
      <c r="AK22" s="76">
        <f ca="1" t="shared" ref="AK22:AW22" si="24">AK8/SUM(AK$4:AK$10)*AK$13</f>
        <v>0</v>
      </c>
      <c r="AL22" s="76">
        <f ca="1" t="shared" si="24"/>
        <v>0</v>
      </c>
      <c r="AM22" s="76" t="e">
        <f ca="1" t="shared" si="24"/>
        <v>#DIV/0!</v>
      </c>
      <c r="AN22" s="76" t="e">
        <f ca="1" t="shared" si="24"/>
        <v>#DIV/0!</v>
      </c>
      <c r="AO22" s="76" t="e">
        <f ca="1" t="shared" si="24"/>
        <v>#DIV/0!</v>
      </c>
      <c r="AP22" s="76" t="e">
        <f ca="1" t="shared" si="24"/>
        <v>#DIV/0!</v>
      </c>
      <c r="AQ22" s="76" t="e">
        <f ca="1" t="shared" si="24"/>
        <v>#DIV/0!</v>
      </c>
      <c r="AR22" s="76" t="e">
        <f ca="1" t="shared" si="24"/>
        <v>#DIV/0!</v>
      </c>
      <c r="AS22" s="76" t="e">
        <f ca="1" t="shared" si="24"/>
        <v>#DIV/0!</v>
      </c>
      <c r="AT22" s="76" t="e">
        <f ca="1" t="shared" si="24"/>
        <v>#DIV/0!</v>
      </c>
      <c r="AU22" s="76" t="e">
        <f ca="1" t="shared" si="24"/>
        <v>#DIV/0!</v>
      </c>
      <c r="AV22" s="76" t="e">
        <f ca="1" t="shared" si="24"/>
        <v>#DIV/0!</v>
      </c>
      <c r="AW22" s="76" t="e">
        <f ca="1" t="shared" si="24"/>
        <v>#DIV/0!</v>
      </c>
    </row>
    <row r="23" spans="1:49">
      <c r="C23" t="str">
        <f t="shared" si="11"/>
        <v>TRALPG</v>
      </c>
      <c r="D23" s="76">
        <f ca="1" t="shared" si="12"/>
        <v>0.112754892846264</v>
      </c>
      <c r="E23" s="76">
        <f ca="1" t="shared" ref="E23:U23" si="25">E9/SUM(E$4:E$10)*E$13</f>
        <v>7.39434700357553e-5</v>
      </c>
      <c r="F23" s="76">
        <f ca="1" t="shared" si="25"/>
        <v>0.0195662763887243</v>
      </c>
      <c r="G23" s="76">
        <f ca="1" t="shared" si="25"/>
        <v>0.000126737085752326</v>
      </c>
      <c r="H23" s="76">
        <f ca="1" t="shared" si="25"/>
        <v>0.00718497942060406</v>
      </c>
      <c r="I23" s="76">
        <f ca="1" t="shared" si="25"/>
        <v>0.00893335287244012</v>
      </c>
      <c r="J23" s="76">
        <f ca="1" t="shared" si="25"/>
        <v>0</v>
      </c>
      <c r="K23" s="76">
        <f ca="1" t="shared" si="25"/>
        <v>0.120261805775775</v>
      </c>
      <c r="L23" s="76">
        <f ca="1" t="shared" si="25"/>
        <v>0.00431689155030381</v>
      </c>
      <c r="M23" s="76">
        <f ca="1" t="shared" si="25"/>
        <v>0.00940137099352248</v>
      </c>
      <c r="N23" s="76">
        <f ca="1" t="shared" si="25"/>
        <v>0.00383998765961972</v>
      </c>
      <c r="O23" s="76">
        <f ca="1" t="shared" si="25"/>
        <v>0.0124008746334894</v>
      </c>
      <c r="P23" s="76">
        <f ca="1" t="shared" si="25"/>
        <v>0.0279564583318473</v>
      </c>
      <c r="Q23" s="76">
        <f ca="1" t="shared" si="25"/>
        <v>0.0623025719068242</v>
      </c>
      <c r="R23" s="76">
        <f ca="1" t="shared" si="25"/>
        <v>0</v>
      </c>
      <c r="S23" s="76">
        <f ca="1" t="shared" si="25"/>
        <v>0.0066778685500598</v>
      </c>
      <c r="T23" s="76">
        <f ca="1" t="shared" si="25"/>
        <v>5.58969351268064e-5</v>
      </c>
      <c r="U23" s="76">
        <f ca="1" t="shared" si="25"/>
        <v>0.122381009469781</v>
      </c>
      <c r="V23" s="76">
        <f ca="1" t="shared" si="12"/>
        <v>0.206053502751594</v>
      </c>
      <c r="W23" s="76">
        <f ca="1" t="shared" si="12"/>
        <v>0</v>
      </c>
      <c r="X23" s="76">
        <f ca="1" t="shared" si="12"/>
        <v>0.00402673130233204</v>
      </c>
      <c r="Y23" s="76">
        <f ca="1" t="shared" si="12"/>
        <v>0.361448473106975</v>
      </c>
      <c r="Z23" s="76">
        <f ca="1" t="shared" si="12"/>
        <v>0.000409872019889178</v>
      </c>
      <c r="AA23" s="76">
        <f ca="1" t="shared" si="12"/>
        <v>0.279712315018559</v>
      </c>
      <c r="AB23" s="76">
        <f ca="1" t="shared" si="12"/>
        <v>0.199749212279098</v>
      </c>
      <c r="AC23" s="76">
        <f ca="1" t="shared" si="12"/>
        <v>0.198535863136263</v>
      </c>
      <c r="AD23" s="76">
        <f ca="1" t="shared" si="12"/>
        <v>0</v>
      </c>
      <c r="AE23" s="76">
        <f ca="1" t="shared" si="12"/>
        <v>0.0031834161409153</v>
      </c>
      <c r="AF23" s="76">
        <f ca="1" t="shared" si="12"/>
        <v>0.00964714993305289</v>
      </c>
      <c r="AG23" s="76">
        <f ca="1" t="shared" ref="AG23" si="26">AG9/SUM(AG$4:AG$10)*AG$13</f>
        <v>0</v>
      </c>
      <c r="AH23" s="76">
        <f ca="1" t="shared" si="12"/>
        <v>8.70486838068765e-5</v>
      </c>
      <c r="AI23" s="76">
        <f ca="1" t="shared" si="12"/>
        <v>0.323754426485156</v>
      </c>
      <c r="AJ23" s="76">
        <f ca="1" t="shared" si="12"/>
        <v>0.0044189581542276</v>
      </c>
      <c r="AK23" s="76">
        <f ca="1" t="shared" ref="AK23:AW23" si="27">AK9/SUM(AK$4:AK$10)*AK$13</f>
        <v>0</v>
      </c>
      <c r="AL23" s="76">
        <f ca="1" t="shared" si="27"/>
        <v>0</v>
      </c>
      <c r="AM23" s="76" t="e">
        <f ca="1" t="shared" si="27"/>
        <v>#DIV/0!</v>
      </c>
      <c r="AN23" s="76" t="e">
        <f ca="1" t="shared" si="27"/>
        <v>#DIV/0!</v>
      </c>
      <c r="AO23" s="76" t="e">
        <f ca="1" t="shared" si="27"/>
        <v>#DIV/0!</v>
      </c>
      <c r="AP23" s="76" t="e">
        <f ca="1" t="shared" si="27"/>
        <v>#DIV/0!</v>
      </c>
      <c r="AQ23" s="76" t="e">
        <f ca="1" t="shared" si="27"/>
        <v>#DIV/0!</v>
      </c>
      <c r="AR23" s="76" t="e">
        <f ca="1" t="shared" si="27"/>
        <v>#DIV/0!</v>
      </c>
      <c r="AS23" s="76" t="e">
        <f ca="1" t="shared" si="27"/>
        <v>#DIV/0!</v>
      </c>
      <c r="AT23" s="76" t="e">
        <f ca="1" t="shared" si="27"/>
        <v>#DIV/0!</v>
      </c>
      <c r="AU23" s="76" t="e">
        <f ca="1" t="shared" si="27"/>
        <v>#DIV/0!</v>
      </c>
      <c r="AV23" s="76" t="e">
        <f ca="1" t="shared" si="27"/>
        <v>#DIV/0!</v>
      </c>
      <c r="AW23" s="76" t="e">
        <f ca="1" t="shared" si="27"/>
        <v>#DIV/0!</v>
      </c>
    </row>
    <row r="24" spans="1:49">
      <c r="C24" t="str">
        <f t="shared" si="11"/>
        <v>TRANGA</v>
      </c>
      <c r="D24" s="76">
        <f ca="1" t="shared" si="12"/>
        <v>0.0286239473167183</v>
      </c>
      <c r="E24" s="76">
        <f ca="1" t="shared" ref="E24:U24" si="28">E10/SUM(E$4:E$10)*E$13</f>
        <v>0.000120055843342056</v>
      </c>
      <c r="F24" s="76">
        <f ca="1" t="shared" si="28"/>
        <v>0.00401862940057215</v>
      </c>
      <c r="G24" s="76">
        <f ca="1" t="shared" si="28"/>
        <v>0</v>
      </c>
      <c r="H24" s="76">
        <f ca="1" t="shared" si="28"/>
        <v>0.000582737471659303</v>
      </c>
      <c r="I24" s="76">
        <f ca="1" t="shared" si="28"/>
        <v>0</v>
      </c>
      <c r="J24" s="76">
        <f ca="1" t="shared" si="28"/>
        <v>0.0818432804704884</v>
      </c>
      <c r="K24" s="76">
        <f ca="1" t="shared" si="28"/>
        <v>1.57939537061002</v>
      </c>
      <c r="L24" s="76">
        <f ca="1" t="shared" si="28"/>
        <v>0</v>
      </c>
      <c r="M24" s="76">
        <f ca="1" t="shared" si="28"/>
        <v>0</v>
      </c>
      <c r="N24" s="76">
        <f ca="1" t="shared" si="28"/>
        <v>0</v>
      </c>
      <c r="O24" s="76">
        <f ca="1" t="shared" si="28"/>
        <v>0</v>
      </c>
      <c r="P24" s="76">
        <f ca="1" t="shared" si="28"/>
        <v>0</v>
      </c>
      <c r="Q24" s="76">
        <f ca="1" t="shared" si="28"/>
        <v>0</v>
      </c>
      <c r="R24" s="76">
        <f ca="1" t="shared" si="28"/>
        <v>0</v>
      </c>
      <c r="S24" s="76">
        <f ca="1" t="shared" si="28"/>
        <v>0.101332372886969</v>
      </c>
      <c r="T24" s="76">
        <f ca="1" t="shared" si="28"/>
        <v>0</v>
      </c>
      <c r="U24" s="76">
        <f ca="1" t="shared" si="28"/>
        <v>0</v>
      </c>
      <c r="V24" s="76">
        <f ca="1" t="shared" si="12"/>
        <v>0.00112300604801807</v>
      </c>
      <c r="W24" s="76">
        <f ca="1" t="shared" si="12"/>
        <v>0.376947918890478</v>
      </c>
      <c r="X24" s="76">
        <f ca="1" t="shared" si="12"/>
        <v>0</v>
      </c>
      <c r="Y24" s="76">
        <f ca="1" t="shared" si="12"/>
        <v>0.0197396938412931</v>
      </c>
      <c r="Z24" s="76">
        <f ca="1" t="shared" si="12"/>
        <v>0</v>
      </c>
      <c r="AA24" s="76">
        <f ca="1" t="shared" si="12"/>
        <v>0</v>
      </c>
      <c r="AB24" s="76">
        <f ca="1" t="shared" si="12"/>
        <v>0.104618906730333</v>
      </c>
      <c r="AC24" s="76">
        <f ca="1" t="shared" si="12"/>
        <v>0.0207238457850085</v>
      </c>
      <c r="AD24" s="76">
        <f ca="1" t="shared" si="12"/>
        <v>0</v>
      </c>
      <c r="AE24" s="76">
        <f ca="1" t="shared" si="12"/>
        <v>1.91144697302746e-5</v>
      </c>
      <c r="AF24" s="76">
        <f ca="1" t="shared" si="12"/>
        <v>0</v>
      </c>
      <c r="AG24" s="76">
        <f ca="1" t="shared" ref="AG24" si="29">AG10/SUM(AG$4:AG$10)*AG$13</f>
        <v>0</v>
      </c>
      <c r="AH24" s="76">
        <f ca="1" t="shared" si="12"/>
        <v>0</v>
      </c>
      <c r="AI24" s="76">
        <f ca="1" t="shared" si="12"/>
        <v>0</v>
      </c>
      <c r="AJ24" s="76">
        <f ca="1" t="shared" si="12"/>
        <v>0</v>
      </c>
      <c r="AK24" s="76">
        <f ca="1" t="shared" ref="AK24:AW24" si="30">AK10/SUM(AK$4:AK$10)*AK$13</f>
        <v>0</v>
      </c>
      <c r="AL24" s="76">
        <f ca="1" t="shared" si="30"/>
        <v>0</v>
      </c>
      <c r="AM24" s="76" t="e">
        <f ca="1" t="shared" si="30"/>
        <v>#DIV/0!</v>
      </c>
      <c r="AN24" s="76" t="e">
        <f ca="1" t="shared" si="30"/>
        <v>#DIV/0!</v>
      </c>
      <c r="AO24" s="76" t="e">
        <f ca="1" t="shared" si="30"/>
        <v>#DIV/0!</v>
      </c>
      <c r="AP24" s="76" t="e">
        <f ca="1" t="shared" si="30"/>
        <v>#DIV/0!</v>
      </c>
      <c r="AQ24" s="76" t="e">
        <f ca="1" t="shared" si="30"/>
        <v>#DIV/0!</v>
      </c>
      <c r="AR24" s="76" t="e">
        <f ca="1" t="shared" si="30"/>
        <v>#DIV/0!</v>
      </c>
      <c r="AS24" s="76" t="e">
        <f ca="1" t="shared" si="30"/>
        <v>#DIV/0!</v>
      </c>
      <c r="AT24" s="76" t="e">
        <f ca="1" t="shared" si="30"/>
        <v>#DIV/0!</v>
      </c>
      <c r="AU24" s="76" t="e">
        <f ca="1" t="shared" si="30"/>
        <v>#DIV/0!</v>
      </c>
      <c r="AV24" s="76" t="e">
        <f ca="1" t="shared" si="30"/>
        <v>#DIV/0!</v>
      </c>
      <c r="AW24" s="76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6" t="str">
        <f ca="1">IFERROR(D4*D26/D18,"")</f>
        <v/>
      </c>
      <c r="E34" s="76" t="str">
        <f ca="1" t="shared" ref="E34:U34" si="32">IFERROR(E4*E26/E18,"")</f>
        <v/>
      </c>
      <c r="F34" s="76">
        <f ca="1" t="shared" si="32"/>
        <v>34.9759541708395</v>
      </c>
      <c r="G34" s="76">
        <f ca="1" t="shared" si="32"/>
        <v>129.821368957098</v>
      </c>
      <c r="H34" s="76">
        <f ca="1" t="shared" si="32"/>
        <v>124.211285912155</v>
      </c>
      <c r="I34" s="76">
        <f ca="1" t="shared" si="32"/>
        <v>68.7504995917888</v>
      </c>
      <c r="J34" s="76">
        <f ca="1" t="shared" si="32"/>
        <v>61.7079872226909</v>
      </c>
      <c r="K34" s="76">
        <f ca="1" t="shared" si="32"/>
        <v>23.4395089065178</v>
      </c>
      <c r="L34" s="76">
        <f ca="1" t="shared" si="32"/>
        <v>110.26492079786</v>
      </c>
      <c r="M34" s="76">
        <f ca="1" t="shared" si="32"/>
        <v>55.5442283881137</v>
      </c>
      <c r="N34" s="76">
        <f ca="1" t="shared" si="32"/>
        <v>47.2768106338077</v>
      </c>
      <c r="O34" s="76">
        <f ca="1" t="shared" si="32"/>
        <v>94.3118983294575</v>
      </c>
      <c r="P34" s="76">
        <f ca="1" t="shared" si="32"/>
        <v>27.0544001562025</v>
      </c>
      <c r="Q34" s="76">
        <f ca="1" t="shared" si="32"/>
        <v>48.2783359677474</v>
      </c>
      <c r="R34" s="76">
        <f ca="1" t="shared" si="32"/>
        <v>51.3710896088651</v>
      </c>
      <c r="S34" s="76">
        <f ca="1" t="shared" si="32"/>
        <v>54.7913094435984</v>
      </c>
      <c r="T34" s="76">
        <f ca="1" t="shared" si="32"/>
        <v>89.2477710751548</v>
      </c>
      <c r="U34" s="76">
        <f ca="1" t="shared" si="32"/>
        <v>46.6198344417056</v>
      </c>
      <c r="V34" s="76">
        <f ca="1" t="shared" ref="V34:AJ34" si="33">IFERROR(V4*V26/V18,"")</f>
        <v>18.6865421882949</v>
      </c>
      <c r="W34" s="76">
        <f ca="1" t="shared" si="33"/>
        <v>25.7672668885542</v>
      </c>
      <c r="X34" s="76" t="str">
        <f ca="1" t="shared" si="33"/>
        <v/>
      </c>
      <c r="Y34" s="76">
        <f ca="1" t="shared" si="33"/>
        <v>16.8611655014651</v>
      </c>
      <c r="Z34" s="76">
        <f ca="1" t="shared" si="33"/>
        <v>39.2918523063721</v>
      </c>
      <c r="AA34" s="76">
        <f ca="1" t="shared" si="33"/>
        <v>54.7338068136364</v>
      </c>
      <c r="AB34" s="76">
        <f ca="1" t="shared" si="33"/>
        <v>31.3906484479275</v>
      </c>
      <c r="AC34" s="76">
        <f ca="1" t="shared" si="33"/>
        <v>38.675519454975</v>
      </c>
      <c r="AD34" s="76" t="str">
        <f ca="1" t="shared" si="33"/>
        <v/>
      </c>
      <c r="AE34" s="76" t="str">
        <f ca="1" t="shared" si="33"/>
        <v/>
      </c>
      <c r="AF34" s="76">
        <f ca="1" t="shared" si="33"/>
        <v>44.0482098473539</v>
      </c>
      <c r="AG34" s="76">
        <f ca="1" t="shared" ref="AG34" si="34">IFERROR(AG4*AG26/AG18,"")</f>
        <v>79.0521373083537</v>
      </c>
      <c r="AH34" s="76">
        <f ca="1" t="shared" si="33"/>
        <v>40.6373441308777</v>
      </c>
      <c r="AI34" s="76">
        <f ca="1" t="shared" si="33"/>
        <v>60.0448433855508</v>
      </c>
      <c r="AJ34" s="76">
        <f ca="1" t="shared" si="33"/>
        <v>32.7905151944865</v>
      </c>
      <c r="AK34" s="76" t="str">
        <f ca="1" t="shared" ref="AK34:AW34" si="35">IFERROR(AK4*AK26/AK18,"")</f>
        <v/>
      </c>
      <c r="AL34" s="76" t="str">
        <f ca="1" t="shared" si="35"/>
        <v/>
      </c>
      <c r="AM34" s="76" t="str">
        <f ca="1" t="shared" si="35"/>
        <v/>
      </c>
      <c r="AN34" s="76" t="str">
        <f ca="1" t="shared" si="35"/>
        <v/>
      </c>
      <c r="AO34" s="76" t="str">
        <f ca="1" t="shared" si="35"/>
        <v/>
      </c>
      <c r="AP34" s="76" t="str">
        <f ca="1" t="shared" si="35"/>
        <v/>
      </c>
      <c r="AQ34" s="76" t="str">
        <f ca="1" t="shared" si="35"/>
        <v/>
      </c>
      <c r="AR34" s="76" t="str">
        <f ca="1" t="shared" si="35"/>
        <v/>
      </c>
      <c r="AS34" s="76" t="str">
        <f ca="1" t="shared" si="35"/>
        <v/>
      </c>
      <c r="AT34" s="76" t="str">
        <f ca="1" t="shared" si="35"/>
        <v/>
      </c>
      <c r="AU34" s="76" t="str">
        <f ca="1" t="shared" si="35"/>
        <v/>
      </c>
      <c r="AV34" s="76" t="str">
        <f ca="1" t="shared" si="35"/>
        <v/>
      </c>
      <c r="AW34" s="76" t="str">
        <f ca="1" t="shared" si="35"/>
        <v/>
      </c>
    </row>
    <row r="35" spans="1:49">
      <c r="C35" t="str">
        <f t="shared" ref="C35:C40" si="36">C27</f>
        <v>TRABGS</v>
      </c>
      <c r="D35" s="76" t="str">
        <f ca="1" t="shared" ref="D35:AJ40" si="37">IFERROR(D5*D27/D19,"")</f>
        <v/>
      </c>
      <c r="E35" s="76" t="str">
        <f ca="1" t="shared" ref="E35:U35" si="38">IFERROR(E5*E27/E19,"")</f>
        <v/>
      </c>
      <c r="F35" s="76" t="str">
        <f ca="1" t="shared" si="38"/>
        <v/>
      </c>
      <c r="G35" s="76" t="str">
        <f ca="1" t="shared" si="38"/>
        <v/>
      </c>
      <c r="H35" s="76" t="str">
        <f ca="1" t="shared" si="38"/>
        <v/>
      </c>
      <c r="I35" s="76" t="str">
        <f ca="1" t="shared" si="38"/>
        <v/>
      </c>
      <c r="J35" s="76" t="str">
        <f ca="1" t="shared" si="38"/>
        <v/>
      </c>
      <c r="K35" s="76" t="str">
        <f ca="1" t="shared" si="38"/>
        <v/>
      </c>
      <c r="L35" s="76" t="str">
        <f ca="1" t="shared" si="38"/>
        <v/>
      </c>
      <c r="M35" s="76" t="str">
        <f ca="1" t="shared" si="38"/>
        <v/>
      </c>
      <c r="N35" s="76" t="str">
        <f ca="1" t="shared" si="38"/>
        <v/>
      </c>
      <c r="O35" s="76" t="str">
        <f ca="1" t="shared" si="38"/>
        <v/>
      </c>
      <c r="P35" s="76" t="str">
        <f ca="1" t="shared" si="38"/>
        <v/>
      </c>
      <c r="Q35" s="76" t="str">
        <f ca="1" t="shared" si="38"/>
        <v/>
      </c>
      <c r="R35" s="76" t="str">
        <f ca="1" t="shared" si="38"/>
        <v/>
      </c>
      <c r="S35" s="76" t="str">
        <f ca="1" t="shared" si="38"/>
        <v/>
      </c>
      <c r="T35" s="76" t="str">
        <f ca="1" t="shared" si="38"/>
        <v/>
      </c>
      <c r="U35" s="76" t="str">
        <f ca="1" t="shared" si="38"/>
        <v/>
      </c>
      <c r="V35" s="76" t="str">
        <f ca="1" t="shared" si="37"/>
        <v/>
      </c>
      <c r="W35" s="76" t="str">
        <f ca="1" t="shared" si="37"/>
        <v/>
      </c>
      <c r="X35" s="76" t="str">
        <f ca="1" t="shared" si="37"/>
        <v/>
      </c>
      <c r="Y35" s="76" t="str">
        <f ca="1" t="shared" si="37"/>
        <v/>
      </c>
      <c r="Z35" s="76" t="str">
        <f ca="1" t="shared" si="37"/>
        <v/>
      </c>
      <c r="AA35" s="76" t="str">
        <f ca="1" t="shared" si="37"/>
        <v/>
      </c>
      <c r="AB35" s="76" t="str">
        <f ca="1" t="shared" si="37"/>
        <v/>
      </c>
      <c r="AC35" s="76" t="str">
        <f ca="1" t="shared" si="37"/>
        <v/>
      </c>
      <c r="AD35" s="76" t="str">
        <f ca="1" t="shared" si="37"/>
        <v/>
      </c>
      <c r="AE35" s="76" t="str">
        <f ca="1" t="shared" si="37"/>
        <v/>
      </c>
      <c r="AF35" s="76" t="str">
        <f ca="1" t="shared" si="37"/>
        <v/>
      </c>
      <c r="AG35" s="76" t="str">
        <f ca="1" t="shared" ref="AG35" si="39">IFERROR(AG5*AG27/AG19,"")</f>
        <v/>
      </c>
      <c r="AH35" s="76" t="str">
        <f ca="1" t="shared" si="37"/>
        <v/>
      </c>
      <c r="AI35" s="76" t="str">
        <f ca="1" t="shared" si="37"/>
        <v/>
      </c>
      <c r="AJ35" s="76" t="str">
        <f ca="1" t="shared" si="37"/>
        <v/>
      </c>
      <c r="AK35" s="76" t="str">
        <f ca="1" t="shared" ref="AK35:AW35" si="40">IFERROR(AK5*AK27/AK19,"")</f>
        <v/>
      </c>
      <c r="AL35" s="76" t="str">
        <f ca="1" t="shared" si="40"/>
        <v/>
      </c>
      <c r="AM35" s="76" t="str">
        <f ca="1" t="shared" si="40"/>
        <v/>
      </c>
      <c r="AN35" s="76" t="str">
        <f ca="1" t="shared" si="40"/>
        <v/>
      </c>
      <c r="AO35" s="76" t="str">
        <f ca="1" t="shared" si="40"/>
        <v/>
      </c>
      <c r="AP35" s="76" t="str">
        <f ca="1" t="shared" si="40"/>
        <v/>
      </c>
      <c r="AQ35" s="76" t="str">
        <f ca="1" t="shared" si="40"/>
        <v/>
      </c>
      <c r="AR35" s="76" t="str">
        <f ca="1" t="shared" si="40"/>
        <v/>
      </c>
      <c r="AS35" s="76" t="str">
        <f ca="1" t="shared" si="40"/>
        <v/>
      </c>
      <c r="AT35" s="76" t="str">
        <f ca="1" t="shared" si="40"/>
        <v/>
      </c>
      <c r="AU35" s="76" t="str">
        <f ca="1" t="shared" si="40"/>
        <v/>
      </c>
      <c r="AV35" s="76" t="str">
        <f ca="1" t="shared" si="40"/>
        <v/>
      </c>
      <c r="AW35" s="76" t="str">
        <f ca="1" t="shared" si="40"/>
        <v/>
      </c>
    </row>
    <row r="36" spans="1:49">
      <c r="C36" t="str">
        <f t="shared" si="36"/>
        <v>TRADST</v>
      </c>
      <c r="D36" s="76">
        <f ca="1" t="shared" si="37"/>
        <v>31.9893822386681</v>
      </c>
      <c r="E36" s="76">
        <f ca="1" t="shared" ref="E36:U36" si="41">IFERROR(E6*E28/E20,"")</f>
        <v>27.9950941198598</v>
      </c>
      <c r="F36" s="76">
        <f ca="1" t="shared" si="41"/>
        <v>34.9759541708395</v>
      </c>
      <c r="G36" s="76">
        <f ca="1" t="shared" si="41"/>
        <v>129.821368957098</v>
      </c>
      <c r="H36" s="76">
        <f ca="1" t="shared" si="41"/>
        <v>124.211285912155</v>
      </c>
      <c r="I36" s="76">
        <f ca="1" t="shared" si="41"/>
        <v>68.7504995917888</v>
      </c>
      <c r="J36" s="76">
        <f ca="1" t="shared" si="41"/>
        <v>61.7079872226909</v>
      </c>
      <c r="K36" s="76">
        <f ca="1" t="shared" si="41"/>
        <v>23.4395089065178</v>
      </c>
      <c r="L36" s="76">
        <f ca="1" t="shared" si="41"/>
        <v>110.26492079786</v>
      </c>
      <c r="M36" s="76">
        <f ca="1" t="shared" si="41"/>
        <v>55.5442283881137</v>
      </c>
      <c r="N36" s="76">
        <f ca="1" t="shared" si="41"/>
        <v>47.2768106338077</v>
      </c>
      <c r="O36" s="76">
        <f ca="1" t="shared" si="41"/>
        <v>94.3118983294576</v>
      </c>
      <c r="P36" s="76">
        <f ca="1" t="shared" si="41"/>
        <v>27.0544001562025</v>
      </c>
      <c r="Q36" s="76">
        <f ca="1" t="shared" si="41"/>
        <v>48.2783359677474</v>
      </c>
      <c r="R36" s="76">
        <f ca="1" t="shared" si="41"/>
        <v>51.3710896088651</v>
      </c>
      <c r="S36" s="76">
        <f ca="1" t="shared" si="41"/>
        <v>54.7913094435984</v>
      </c>
      <c r="T36" s="76">
        <f ca="1" t="shared" si="41"/>
        <v>89.2477710751548</v>
      </c>
      <c r="U36" s="76">
        <f ca="1" t="shared" si="41"/>
        <v>46.6198344417056</v>
      </c>
      <c r="V36" s="76">
        <f ca="1" t="shared" si="37"/>
        <v>18.6865421882949</v>
      </c>
      <c r="W36" s="76">
        <f ca="1" t="shared" si="37"/>
        <v>25.7672668885542</v>
      </c>
      <c r="X36" s="76">
        <f ca="1" t="shared" si="37"/>
        <v>58.5876983303482</v>
      </c>
      <c r="Y36" s="76">
        <f ca="1" t="shared" si="37"/>
        <v>16.8611655014651</v>
      </c>
      <c r="Z36" s="76">
        <f ca="1" t="shared" si="37"/>
        <v>39.2918523063721</v>
      </c>
      <c r="AA36" s="76">
        <f ca="1" t="shared" si="37"/>
        <v>54.7338068136364</v>
      </c>
      <c r="AB36" s="76">
        <f ca="1" t="shared" si="37"/>
        <v>31.3906484479275</v>
      </c>
      <c r="AC36" s="76">
        <f ca="1" t="shared" si="37"/>
        <v>38.675519454975</v>
      </c>
      <c r="AD36" s="76">
        <f ca="1" t="shared" si="37"/>
        <v>114.678214573833</v>
      </c>
      <c r="AE36" s="76">
        <f ca="1" t="shared" si="37"/>
        <v>17.2591189112344</v>
      </c>
      <c r="AF36" s="76">
        <f ca="1" t="shared" si="37"/>
        <v>44.0482098473539</v>
      </c>
      <c r="AG36" s="76">
        <f ca="1" t="shared" ref="AG36" si="42">IFERROR(AG6*AG28/AG20,"")</f>
        <v>79.0521373083537</v>
      </c>
      <c r="AH36" s="76">
        <f ca="1" t="shared" si="37"/>
        <v>40.6373441308777</v>
      </c>
      <c r="AI36" s="76">
        <f ca="1" t="shared" si="37"/>
        <v>60.0448433855509</v>
      </c>
      <c r="AJ36" s="76">
        <f ca="1" t="shared" si="37"/>
        <v>32.7905151944865</v>
      </c>
      <c r="AK36" s="76" t="str">
        <f ca="1" t="shared" ref="AK36:AW36" si="43">IFERROR(AK6*AK28/AK20,"")</f>
        <v/>
      </c>
      <c r="AL36" s="76" t="str">
        <f ca="1" t="shared" si="43"/>
        <v/>
      </c>
      <c r="AM36" s="76" t="str">
        <f ca="1" t="shared" si="43"/>
        <v/>
      </c>
      <c r="AN36" s="76" t="str">
        <f ca="1" t="shared" si="43"/>
        <v/>
      </c>
      <c r="AO36" s="76" t="str">
        <f ca="1" t="shared" si="43"/>
        <v/>
      </c>
      <c r="AP36" s="76" t="str">
        <f ca="1" t="shared" si="43"/>
        <v/>
      </c>
      <c r="AQ36" s="76" t="str">
        <f ca="1" t="shared" si="43"/>
        <v/>
      </c>
      <c r="AR36" s="76" t="str">
        <f ca="1" t="shared" si="43"/>
        <v/>
      </c>
      <c r="AS36" s="76" t="str">
        <f ca="1" t="shared" si="43"/>
        <v/>
      </c>
      <c r="AT36" s="76" t="str">
        <f ca="1" t="shared" si="43"/>
        <v/>
      </c>
      <c r="AU36" s="76" t="str">
        <f ca="1" t="shared" si="43"/>
        <v/>
      </c>
      <c r="AV36" s="76" t="str">
        <f ca="1" t="shared" si="43"/>
        <v/>
      </c>
      <c r="AW36" s="76" t="str">
        <f ca="1" t="shared" si="43"/>
        <v/>
      </c>
    </row>
    <row r="37" spans="1:49">
      <c r="C37" t="str">
        <f t="shared" si="36"/>
        <v>TRAELC</v>
      </c>
      <c r="D37" s="76" t="str">
        <f ca="1" t="shared" si="37"/>
        <v/>
      </c>
      <c r="E37" s="76" t="str">
        <f ca="1" t="shared" ref="E37:U37" si="44">IFERROR(E7*E29/E21,"")</f>
        <v/>
      </c>
      <c r="F37" s="76" t="str">
        <f ca="1" t="shared" si="44"/>
        <v/>
      </c>
      <c r="G37" s="76" t="str">
        <f ca="1" t="shared" si="44"/>
        <v/>
      </c>
      <c r="H37" s="76" t="str">
        <f ca="1" t="shared" si="44"/>
        <v/>
      </c>
      <c r="I37" s="76" t="str">
        <f ca="1" t="shared" si="44"/>
        <v/>
      </c>
      <c r="J37" s="76" t="str">
        <f ca="1" t="shared" si="44"/>
        <v/>
      </c>
      <c r="K37" s="76">
        <f ca="1" t="shared" si="44"/>
        <v>23.4395089065178</v>
      </c>
      <c r="L37" s="76" t="str">
        <f ca="1" t="shared" si="44"/>
        <v/>
      </c>
      <c r="M37" s="76" t="str">
        <f ca="1" t="shared" si="44"/>
        <v/>
      </c>
      <c r="N37" s="76" t="str">
        <f ca="1" t="shared" si="44"/>
        <v/>
      </c>
      <c r="O37" s="76" t="str">
        <f ca="1" t="shared" si="44"/>
        <v/>
      </c>
      <c r="P37" s="76" t="str">
        <f ca="1" t="shared" si="44"/>
        <v/>
      </c>
      <c r="Q37" s="76" t="str">
        <f ca="1" t="shared" si="44"/>
        <v/>
      </c>
      <c r="R37" s="76" t="str">
        <f ca="1" t="shared" si="44"/>
        <v/>
      </c>
      <c r="S37" s="76" t="str">
        <f ca="1" t="shared" si="44"/>
        <v/>
      </c>
      <c r="T37" s="76" t="str">
        <f ca="1" t="shared" si="44"/>
        <v/>
      </c>
      <c r="U37" s="76" t="str">
        <f ca="1" t="shared" si="44"/>
        <v/>
      </c>
      <c r="V37" s="76" t="str">
        <f ca="1" t="shared" si="37"/>
        <v/>
      </c>
      <c r="W37" s="76" t="str">
        <f ca="1" t="shared" si="37"/>
        <v/>
      </c>
      <c r="X37" s="76" t="str">
        <f ca="1" t="shared" si="37"/>
        <v/>
      </c>
      <c r="Y37" s="76" t="str">
        <f ca="1" t="shared" si="37"/>
        <v/>
      </c>
      <c r="Z37" s="76" t="str">
        <f ca="1" t="shared" si="37"/>
        <v/>
      </c>
      <c r="AA37" s="76" t="str">
        <f ca="1" t="shared" si="37"/>
        <v/>
      </c>
      <c r="AB37" s="76" t="str">
        <f ca="1" t="shared" si="37"/>
        <v/>
      </c>
      <c r="AC37" s="76" t="str">
        <f ca="1" t="shared" si="37"/>
        <v/>
      </c>
      <c r="AD37" s="76" t="str">
        <f ca="1" t="shared" si="37"/>
        <v/>
      </c>
      <c r="AE37" s="76" t="str">
        <f ca="1" t="shared" si="37"/>
        <v/>
      </c>
      <c r="AF37" s="76" t="str">
        <f ca="1" t="shared" si="37"/>
        <v/>
      </c>
      <c r="AG37" s="76" t="str">
        <f ca="1" t="shared" ref="AG37" si="45">IFERROR(AG7*AG29/AG21,"")</f>
        <v/>
      </c>
      <c r="AH37" s="76" t="str">
        <f ca="1" t="shared" si="37"/>
        <v/>
      </c>
      <c r="AI37" s="76" t="str">
        <f ca="1" t="shared" si="37"/>
        <v/>
      </c>
      <c r="AJ37" s="76" t="str">
        <f ca="1" t="shared" si="37"/>
        <v/>
      </c>
      <c r="AK37" s="76" t="str">
        <f ca="1" t="shared" ref="AK37:AW37" si="46">IFERROR(AK7*AK29/AK21,"")</f>
        <v/>
      </c>
      <c r="AL37" s="76" t="str">
        <f ca="1" t="shared" si="46"/>
        <v/>
      </c>
      <c r="AM37" s="76" t="str">
        <f ca="1" t="shared" si="46"/>
        <v/>
      </c>
      <c r="AN37" s="76" t="str">
        <f ca="1" t="shared" si="46"/>
        <v/>
      </c>
      <c r="AO37" s="76" t="str">
        <f ca="1" t="shared" si="46"/>
        <v/>
      </c>
      <c r="AP37" s="76" t="str">
        <f ca="1" t="shared" si="46"/>
        <v/>
      </c>
      <c r="AQ37" s="76" t="str">
        <f ca="1" t="shared" si="46"/>
        <v/>
      </c>
      <c r="AR37" s="76" t="str">
        <f ca="1" t="shared" si="46"/>
        <v/>
      </c>
      <c r="AS37" s="76" t="str">
        <f ca="1" t="shared" si="46"/>
        <v/>
      </c>
      <c r="AT37" s="76" t="str">
        <f ca="1" t="shared" si="46"/>
        <v/>
      </c>
      <c r="AU37" s="76" t="str">
        <f ca="1" t="shared" si="46"/>
        <v/>
      </c>
      <c r="AV37" s="76" t="str">
        <f ca="1" t="shared" si="46"/>
        <v/>
      </c>
      <c r="AW37" s="76" t="str">
        <f ca="1" t="shared" si="46"/>
        <v/>
      </c>
    </row>
    <row r="38" spans="1:49">
      <c r="C38" t="str">
        <f t="shared" si="36"/>
        <v>TRAGSL</v>
      </c>
      <c r="D38" s="76" t="str">
        <f ca="1" t="shared" si="37"/>
        <v/>
      </c>
      <c r="E38" s="76" t="str">
        <f ca="1" t="shared" ref="E38:U38" si="47">IFERROR(E8*E30/E22,"")</f>
        <v/>
      </c>
      <c r="F38" s="76">
        <f ca="1" t="shared" si="47"/>
        <v>34.9759541708395</v>
      </c>
      <c r="G38" s="76">
        <f ca="1" t="shared" si="47"/>
        <v>129.821368957098</v>
      </c>
      <c r="H38" s="76">
        <f ca="1" t="shared" si="47"/>
        <v>124.211285912155</v>
      </c>
      <c r="I38" s="76">
        <f ca="1" t="shared" si="47"/>
        <v>68.7504995917888</v>
      </c>
      <c r="J38" s="76">
        <f ca="1" t="shared" si="47"/>
        <v>61.7079872226909</v>
      </c>
      <c r="K38" s="76">
        <f ca="1" t="shared" si="47"/>
        <v>23.4395089065178</v>
      </c>
      <c r="L38" s="76">
        <f ca="1" t="shared" si="47"/>
        <v>110.26492079786</v>
      </c>
      <c r="M38" s="76">
        <f ca="1" t="shared" si="47"/>
        <v>55.5442283881137</v>
      </c>
      <c r="N38" s="76">
        <f ca="1" t="shared" si="47"/>
        <v>47.2768106338077</v>
      </c>
      <c r="O38" s="76">
        <f ca="1" t="shared" si="47"/>
        <v>94.3118983294575</v>
      </c>
      <c r="P38" s="76">
        <f ca="1" t="shared" si="47"/>
        <v>27.0544001562025</v>
      </c>
      <c r="Q38" s="76">
        <f ca="1" t="shared" si="47"/>
        <v>48.2783359677474</v>
      </c>
      <c r="R38" s="76">
        <f ca="1" t="shared" si="47"/>
        <v>51.3710896088651</v>
      </c>
      <c r="S38" s="76" t="str">
        <f ca="1" t="shared" si="47"/>
        <v/>
      </c>
      <c r="T38" s="76">
        <f ca="1" t="shared" si="47"/>
        <v>89.2477710751549</v>
      </c>
      <c r="U38" s="76">
        <f ca="1" t="shared" si="47"/>
        <v>46.6198344417056</v>
      </c>
      <c r="V38" s="76">
        <f ca="1" t="shared" si="37"/>
        <v>18.6865421882949</v>
      </c>
      <c r="W38" s="76">
        <f ca="1" t="shared" si="37"/>
        <v>25.7672668885542</v>
      </c>
      <c r="X38" s="76">
        <f ca="1" t="shared" si="37"/>
        <v>58.5876983303482</v>
      </c>
      <c r="Y38" s="76">
        <f ca="1" t="shared" si="37"/>
        <v>16.8611655014651</v>
      </c>
      <c r="Z38" s="76">
        <f ca="1" t="shared" si="37"/>
        <v>39.2918523063721</v>
      </c>
      <c r="AA38" s="76">
        <f ca="1" t="shared" si="37"/>
        <v>54.7338068136364</v>
      </c>
      <c r="AB38" s="76" t="str">
        <f ca="1" t="shared" si="37"/>
        <v/>
      </c>
      <c r="AC38" s="76">
        <f ca="1" t="shared" si="37"/>
        <v>38.675519454975</v>
      </c>
      <c r="AD38" s="76">
        <f ca="1" t="shared" si="37"/>
        <v>114.678214573833</v>
      </c>
      <c r="AE38" s="76" t="str">
        <f ca="1" t="shared" si="37"/>
        <v/>
      </c>
      <c r="AF38" s="76">
        <f ca="1" t="shared" si="37"/>
        <v>44.0482098473539</v>
      </c>
      <c r="AG38" s="76">
        <f ca="1" t="shared" ref="AG38" si="48">IFERROR(AG8*AG30/AG22,"")</f>
        <v>79.0521373083537</v>
      </c>
      <c r="AH38" s="76">
        <f ca="1" t="shared" si="37"/>
        <v>40.6373441308777</v>
      </c>
      <c r="AI38" s="76">
        <f ca="1" t="shared" si="37"/>
        <v>60.0448433855508</v>
      </c>
      <c r="AJ38" s="76">
        <f ca="1" t="shared" si="37"/>
        <v>32.7905151944865</v>
      </c>
      <c r="AK38" s="76" t="str">
        <f ca="1" t="shared" ref="AK38:AW38" si="49">IFERROR(AK8*AK30/AK22,"")</f>
        <v/>
      </c>
      <c r="AL38" s="76" t="str">
        <f ca="1" t="shared" si="49"/>
        <v/>
      </c>
      <c r="AM38" s="76" t="str">
        <f ca="1" t="shared" si="49"/>
        <v/>
      </c>
      <c r="AN38" s="76" t="str">
        <f ca="1" t="shared" si="49"/>
        <v/>
      </c>
      <c r="AO38" s="76" t="str">
        <f ca="1" t="shared" si="49"/>
        <v/>
      </c>
      <c r="AP38" s="76" t="str">
        <f ca="1" t="shared" si="49"/>
        <v/>
      </c>
      <c r="AQ38" s="76" t="str">
        <f ca="1" t="shared" si="49"/>
        <v/>
      </c>
      <c r="AR38" s="76" t="str">
        <f ca="1" t="shared" si="49"/>
        <v/>
      </c>
      <c r="AS38" s="76" t="str">
        <f ca="1" t="shared" si="49"/>
        <v/>
      </c>
      <c r="AT38" s="76" t="str">
        <f ca="1" t="shared" si="49"/>
        <v/>
      </c>
      <c r="AU38" s="76" t="str">
        <f ca="1" t="shared" si="49"/>
        <v/>
      </c>
      <c r="AV38" s="76" t="str">
        <f ca="1" t="shared" si="49"/>
        <v/>
      </c>
      <c r="AW38" s="76" t="str">
        <f ca="1" t="shared" si="49"/>
        <v/>
      </c>
    </row>
    <row r="39" spans="1:49">
      <c r="C39" t="str">
        <f t="shared" si="36"/>
        <v>TRALPG</v>
      </c>
      <c r="D39" s="76">
        <f ca="1" t="shared" si="37"/>
        <v>31.9893822386681</v>
      </c>
      <c r="E39" s="76">
        <f ca="1" t="shared" ref="E39:U39" si="50">IFERROR(E9*E31/E23,"")</f>
        <v>27.9950941198598</v>
      </c>
      <c r="F39" s="76">
        <f ca="1" t="shared" si="50"/>
        <v>34.9759541708395</v>
      </c>
      <c r="G39" s="76">
        <f ca="1" t="shared" si="50"/>
        <v>129.821368957098</v>
      </c>
      <c r="H39" s="76">
        <f ca="1" t="shared" si="50"/>
        <v>124.211285912155</v>
      </c>
      <c r="I39" s="76">
        <f ca="1" t="shared" si="50"/>
        <v>68.7504995917888</v>
      </c>
      <c r="J39" s="76" t="str">
        <f ca="1" t="shared" si="50"/>
        <v/>
      </c>
      <c r="K39" s="76">
        <f ca="1" t="shared" si="50"/>
        <v>23.4395089065178</v>
      </c>
      <c r="L39" s="76">
        <f ca="1" t="shared" si="50"/>
        <v>110.26492079786</v>
      </c>
      <c r="M39" s="76">
        <f ca="1" t="shared" si="50"/>
        <v>55.5442283881137</v>
      </c>
      <c r="N39" s="76">
        <f ca="1" t="shared" si="50"/>
        <v>47.2768106338077</v>
      </c>
      <c r="O39" s="76">
        <f ca="1" t="shared" si="50"/>
        <v>94.3118983294575</v>
      </c>
      <c r="P39" s="76">
        <f ca="1" t="shared" si="50"/>
        <v>27.0544001562025</v>
      </c>
      <c r="Q39" s="76">
        <f ca="1" t="shared" si="50"/>
        <v>48.2783359677474</v>
      </c>
      <c r="R39" s="76" t="str">
        <f ca="1" t="shared" si="50"/>
        <v/>
      </c>
      <c r="S39" s="76">
        <f ca="1" t="shared" si="50"/>
        <v>54.7913094435984</v>
      </c>
      <c r="T39" s="76">
        <f ca="1" t="shared" si="50"/>
        <v>89.2477710751548</v>
      </c>
      <c r="U39" s="76">
        <f ca="1" t="shared" si="50"/>
        <v>46.6198344417056</v>
      </c>
      <c r="V39" s="76">
        <f ca="1" t="shared" si="37"/>
        <v>18.6865421882949</v>
      </c>
      <c r="W39" s="76" t="str">
        <f ca="1" t="shared" si="37"/>
        <v/>
      </c>
      <c r="X39" s="76">
        <f ca="1" t="shared" si="37"/>
        <v>58.5876983303482</v>
      </c>
      <c r="Y39" s="76">
        <f ca="1" t="shared" si="37"/>
        <v>16.8611655014651</v>
      </c>
      <c r="Z39" s="76">
        <f ca="1" t="shared" si="37"/>
        <v>39.2918523063721</v>
      </c>
      <c r="AA39" s="76">
        <f ca="1" t="shared" si="37"/>
        <v>54.7338068136364</v>
      </c>
      <c r="AB39" s="76">
        <f ca="1" t="shared" si="37"/>
        <v>31.3906484479275</v>
      </c>
      <c r="AC39" s="76">
        <f ca="1" t="shared" si="37"/>
        <v>38.675519454975</v>
      </c>
      <c r="AD39" s="76" t="str">
        <f ca="1" t="shared" si="37"/>
        <v/>
      </c>
      <c r="AE39" s="76">
        <f ca="1" t="shared" si="37"/>
        <v>17.2591189112344</v>
      </c>
      <c r="AF39" s="76">
        <f ca="1" t="shared" si="37"/>
        <v>44.0482098473539</v>
      </c>
      <c r="AG39" s="76" t="str">
        <f ca="1" t="shared" ref="AG39" si="51">IFERROR(AG9*AG31/AG23,"")</f>
        <v/>
      </c>
      <c r="AH39" s="76">
        <f ca="1" t="shared" si="37"/>
        <v>40.6373441308777</v>
      </c>
      <c r="AI39" s="76">
        <f ca="1" t="shared" si="37"/>
        <v>60.0448433855509</v>
      </c>
      <c r="AJ39" s="76">
        <f ca="1" t="shared" si="37"/>
        <v>32.7905151944865</v>
      </c>
      <c r="AK39" s="76" t="str">
        <f ca="1" t="shared" ref="AK39:AW39" si="52">IFERROR(AK9*AK31/AK23,"")</f>
        <v/>
      </c>
      <c r="AL39" s="76" t="str">
        <f ca="1" t="shared" si="52"/>
        <v/>
      </c>
      <c r="AM39" s="76" t="str">
        <f ca="1" t="shared" si="52"/>
        <v/>
      </c>
      <c r="AN39" s="76" t="str">
        <f ca="1" t="shared" si="52"/>
        <v/>
      </c>
      <c r="AO39" s="76" t="str">
        <f ca="1" t="shared" si="52"/>
        <v/>
      </c>
      <c r="AP39" s="76" t="str">
        <f ca="1" t="shared" si="52"/>
        <v/>
      </c>
      <c r="AQ39" s="76" t="str">
        <f ca="1" t="shared" si="52"/>
        <v/>
      </c>
      <c r="AR39" s="76" t="str">
        <f ca="1" t="shared" si="52"/>
        <v/>
      </c>
      <c r="AS39" s="76" t="str">
        <f ca="1" t="shared" si="52"/>
        <v/>
      </c>
      <c r="AT39" s="76" t="str">
        <f ca="1" t="shared" si="52"/>
        <v/>
      </c>
      <c r="AU39" s="76" t="str">
        <f ca="1" t="shared" si="52"/>
        <v/>
      </c>
      <c r="AV39" s="76" t="str">
        <f ca="1" t="shared" si="52"/>
        <v/>
      </c>
      <c r="AW39" s="76" t="str">
        <f ca="1" t="shared" si="52"/>
        <v/>
      </c>
    </row>
    <row r="40" spans="1:49">
      <c r="C40" t="str">
        <f t="shared" si="36"/>
        <v>TRANGA</v>
      </c>
      <c r="D40" s="76">
        <f ca="1" t="shared" si="37"/>
        <v>31.9893822386681</v>
      </c>
      <c r="E40" s="76">
        <f ca="1" t="shared" ref="E40:U40" si="53">IFERROR(E10*E32/E24,"")</f>
        <v>27.9950941198598</v>
      </c>
      <c r="F40" s="76">
        <f ca="1" t="shared" si="53"/>
        <v>34.9759541708395</v>
      </c>
      <c r="G40" s="76" t="str">
        <f ca="1" t="shared" si="53"/>
        <v/>
      </c>
      <c r="H40" s="76">
        <f ca="1" t="shared" si="53"/>
        <v>124.211285912155</v>
      </c>
      <c r="I40" s="76" t="str">
        <f ca="1" t="shared" si="53"/>
        <v/>
      </c>
      <c r="J40" s="76">
        <f ca="1" t="shared" si="53"/>
        <v>61.7079872226909</v>
      </c>
      <c r="K40" s="76">
        <f ca="1" t="shared" si="53"/>
        <v>23.4395089065178</v>
      </c>
      <c r="L40" s="76" t="str">
        <f ca="1" t="shared" si="53"/>
        <v/>
      </c>
      <c r="M40" s="76" t="str">
        <f ca="1" t="shared" si="53"/>
        <v/>
      </c>
      <c r="N40" s="76" t="str">
        <f ca="1" t="shared" si="53"/>
        <v/>
      </c>
      <c r="O40" s="76" t="str">
        <f ca="1" t="shared" si="53"/>
        <v/>
      </c>
      <c r="P40" s="76" t="str">
        <f ca="1" t="shared" si="53"/>
        <v/>
      </c>
      <c r="Q40" s="76" t="str">
        <f ca="1" t="shared" si="53"/>
        <v/>
      </c>
      <c r="R40" s="76" t="str">
        <f ca="1" t="shared" si="53"/>
        <v/>
      </c>
      <c r="S40" s="76">
        <f ca="1" t="shared" si="53"/>
        <v>54.7913094435984</v>
      </c>
      <c r="T40" s="76" t="str">
        <f ca="1" t="shared" si="53"/>
        <v/>
      </c>
      <c r="U40" s="76" t="str">
        <f ca="1" t="shared" si="53"/>
        <v/>
      </c>
      <c r="V40" s="76">
        <f ca="1" t="shared" si="37"/>
        <v>18.6865421882949</v>
      </c>
      <c r="W40" s="76">
        <f ca="1" t="shared" si="37"/>
        <v>25.7672668885542</v>
      </c>
      <c r="X40" s="76" t="str">
        <f ca="1" t="shared" si="37"/>
        <v/>
      </c>
      <c r="Y40" s="76">
        <f ca="1" t="shared" si="37"/>
        <v>16.8611655014651</v>
      </c>
      <c r="Z40" s="76" t="str">
        <f ca="1" t="shared" si="37"/>
        <v/>
      </c>
      <c r="AA40" s="76" t="str">
        <f ca="1" t="shared" si="37"/>
        <v/>
      </c>
      <c r="AB40" s="76">
        <f ca="1" t="shared" si="37"/>
        <v>31.3906484479275</v>
      </c>
      <c r="AC40" s="76">
        <f ca="1" t="shared" si="37"/>
        <v>38.675519454975</v>
      </c>
      <c r="AD40" s="76" t="str">
        <f ca="1" t="shared" si="37"/>
        <v/>
      </c>
      <c r="AE40" s="76">
        <f ca="1" t="shared" si="37"/>
        <v>17.2591189112344</v>
      </c>
      <c r="AF40" s="76" t="str">
        <f ca="1" t="shared" si="37"/>
        <v/>
      </c>
      <c r="AG40" s="76" t="str">
        <f ca="1" t="shared" ref="AG40" si="54">IFERROR(AG10*AG32/AG24,"")</f>
        <v/>
      </c>
      <c r="AH40" s="76" t="str">
        <f ca="1" t="shared" si="37"/>
        <v/>
      </c>
      <c r="AI40" s="76" t="str">
        <f ca="1" t="shared" si="37"/>
        <v/>
      </c>
      <c r="AJ40" s="76" t="str">
        <f ca="1" t="shared" si="37"/>
        <v/>
      </c>
      <c r="AK40" s="76" t="str">
        <f ca="1" t="shared" ref="AK40:AW40" si="55">IFERROR(AK10*AK32/AK24,"")</f>
        <v/>
      </c>
      <c r="AL40" s="76" t="str">
        <f ca="1" t="shared" si="55"/>
        <v/>
      </c>
      <c r="AM40" s="76" t="str">
        <f ca="1" t="shared" si="55"/>
        <v/>
      </c>
      <c r="AN40" s="76" t="str">
        <f ca="1" t="shared" si="55"/>
        <v/>
      </c>
      <c r="AO40" s="76" t="str">
        <f ca="1" t="shared" si="55"/>
        <v/>
      </c>
      <c r="AP40" s="76" t="str">
        <f ca="1" t="shared" si="55"/>
        <v/>
      </c>
      <c r="AQ40" s="76" t="str">
        <f ca="1" t="shared" si="55"/>
        <v/>
      </c>
      <c r="AR40" s="76" t="str">
        <f ca="1" t="shared" si="55"/>
        <v/>
      </c>
      <c r="AS40" s="76" t="str">
        <f ca="1" t="shared" si="55"/>
        <v/>
      </c>
      <c r="AT40" s="76" t="str">
        <f ca="1" t="shared" si="55"/>
        <v/>
      </c>
      <c r="AU40" s="76" t="str">
        <f ca="1" t="shared" si="55"/>
        <v/>
      </c>
      <c r="AV40" s="76" t="str">
        <f ca="1" t="shared" si="55"/>
        <v/>
      </c>
      <c r="AW40" s="76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90" zoomScaleNormal="90" workbookViewId="0">
      <pane xSplit="7" ySplit="2" topLeftCell="H82" activePane="bottomRight" state="frozen"/>
      <selection/>
      <selection pane="topRight"/>
      <selection pane="bottomLeft"/>
      <selection pane="bottomRight" activeCell="O91" sqref="O91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21" t="s">
        <v>171</v>
      </c>
      <c r="B2" t="s">
        <v>172</v>
      </c>
      <c r="C2" s="52" t="s">
        <v>173</v>
      </c>
      <c r="D2" s="52" t="s">
        <v>174</v>
      </c>
      <c r="E2" s="52" t="s">
        <v>175</v>
      </c>
      <c r="F2" s="52" t="s">
        <v>172</v>
      </c>
      <c r="G2" s="52" t="s">
        <v>176</v>
      </c>
      <c r="H2" s="52" t="s">
        <v>177</v>
      </c>
      <c r="I2" s="52" t="s">
        <v>178</v>
      </c>
      <c r="J2" s="52" t="s">
        <v>179</v>
      </c>
      <c r="K2" s="52" t="s">
        <v>180</v>
      </c>
      <c r="L2" s="52" t="s">
        <v>181</v>
      </c>
      <c r="M2" s="52" t="s">
        <v>182</v>
      </c>
      <c r="N2" s="52" t="s">
        <v>183</v>
      </c>
      <c r="O2" s="52" t="s">
        <v>184</v>
      </c>
      <c r="P2" s="52" t="s">
        <v>185</v>
      </c>
      <c r="Q2" s="52" t="s">
        <v>186</v>
      </c>
      <c r="R2" s="52" t="s">
        <v>187</v>
      </c>
      <c r="S2" s="52" t="s">
        <v>188</v>
      </c>
      <c r="T2" s="52" t="s">
        <v>189</v>
      </c>
      <c r="U2" s="52" t="s">
        <v>190</v>
      </c>
      <c r="V2" s="52" t="s">
        <v>191</v>
      </c>
    </row>
    <row r="3" spans="1:26">
      <c r="A3">
        <v>1</v>
      </c>
      <c r="B3" t="str">
        <f>VLOOKUP(F3,'TRA balance'!$BA$5:$BB$14,2,FALSE)</f>
        <v>TRACOA</v>
      </c>
      <c r="C3" s="54" t="str">
        <f>LEFT(G3,2)</f>
        <v>TT</v>
      </c>
      <c r="D3" s="55" t="s">
        <v>192</v>
      </c>
      <c r="E3" s="55" t="s">
        <v>193</v>
      </c>
      <c r="F3" s="56" t="s">
        <v>55</v>
      </c>
      <c r="G3" s="54" t="s">
        <v>194</v>
      </c>
      <c r="H3" s="57">
        <v>0.8</v>
      </c>
      <c r="I3" s="57">
        <v>0.9</v>
      </c>
      <c r="J3" s="57">
        <v>1</v>
      </c>
      <c r="K3" s="87">
        <v>0.75</v>
      </c>
      <c r="L3" s="57">
        <v>1</v>
      </c>
      <c r="M3" s="57">
        <v>0.8</v>
      </c>
      <c r="N3" s="57">
        <v>0.8</v>
      </c>
      <c r="O3" s="57">
        <v>0.8</v>
      </c>
      <c r="P3" s="57">
        <v>0.07</v>
      </c>
      <c r="Q3" s="57">
        <v>0.8</v>
      </c>
      <c r="R3" s="57">
        <v>1</v>
      </c>
      <c r="S3" s="57">
        <v>0.8</v>
      </c>
      <c r="T3" s="57">
        <v>0.8</v>
      </c>
      <c r="U3" s="57">
        <v>0.8</v>
      </c>
      <c r="V3" s="57">
        <v>1</v>
      </c>
      <c r="Y3" s="88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4" t="str">
        <f t="shared" ref="C4:C67" si="0">LEFT(G4,2)</f>
        <v>TT</v>
      </c>
      <c r="D4" s="55" t="s">
        <v>192</v>
      </c>
      <c r="E4" s="55" t="s">
        <v>197</v>
      </c>
      <c r="F4" s="56" t="str">
        <f t="shared" ref="F4:F5" si="1">F3</f>
        <v>Coal</v>
      </c>
      <c r="G4" s="54" t="s">
        <v>198</v>
      </c>
      <c r="H4" s="57">
        <v>0.2</v>
      </c>
      <c r="I4" s="57">
        <v>0.1</v>
      </c>
      <c r="J4" s="57">
        <v>0</v>
      </c>
      <c r="K4" s="87">
        <v>0.25</v>
      </c>
      <c r="L4" s="57">
        <v>0</v>
      </c>
      <c r="M4" s="57">
        <v>0.2</v>
      </c>
      <c r="N4" s="57">
        <v>0.2</v>
      </c>
      <c r="O4" s="57">
        <v>0.2</v>
      </c>
      <c r="P4" s="57">
        <v>0.93</v>
      </c>
      <c r="Q4" s="57">
        <v>0.2</v>
      </c>
      <c r="R4" s="57">
        <v>0</v>
      </c>
      <c r="S4" s="57">
        <v>0.2</v>
      </c>
      <c r="T4" s="57">
        <v>0.2</v>
      </c>
      <c r="U4" s="57">
        <v>0.2</v>
      </c>
      <c r="V4" s="57">
        <v>0</v>
      </c>
      <c r="Y4" s="89" t="s">
        <v>39</v>
      </c>
      <c r="Z4" s="89" t="s">
        <v>190</v>
      </c>
    </row>
    <row r="5" spans="1:26">
      <c r="A5">
        <v>1</v>
      </c>
      <c r="B5" t="str">
        <f>VLOOKUP(F5,'TRA balance'!$BA$5:$BB$14,2,FALSE)</f>
        <v>TRACOA</v>
      </c>
      <c r="C5" s="58"/>
      <c r="D5" s="58"/>
      <c r="E5" s="59" t="s">
        <v>199</v>
      </c>
      <c r="F5" s="60" t="str">
        <f t="shared" si="1"/>
        <v>Coal</v>
      </c>
      <c r="G5" s="58"/>
      <c r="H5" s="61" t="str">
        <f t="shared" ref="H5:V5" si="2">IF(SUM(H3:H4)=1,"-","&lt;&gt;1!!")</f>
        <v>-</v>
      </c>
      <c r="I5" s="59" t="str">
        <f t="shared" si="2"/>
        <v>-</v>
      </c>
      <c r="J5" s="59" t="str">
        <f t="shared" si="2"/>
        <v>-</v>
      </c>
      <c r="K5" s="59" t="str">
        <f t="shared" si="2"/>
        <v>-</v>
      </c>
      <c r="L5" s="59" t="str">
        <f t="shared" si="2"/>
        <v>-</v>
      </c>
      <c r="M5" s="59" t="str">
        <f t="shared" si="2"/>
        <v>-</v>
      </c>
      <c r="N5" s="59" t="str">
        <f t="shared" si="2"/>
        <v>-</v>
      </c>
      <c r="O5" s="59" t="str">
        <f t="shared" si="2"/>
        <v>-</v>
      </c>
      <c r="P5" s="59" t="str">
        <f t="shared" si="2"/>
        <v>-</v>
      </c>
      <c r="Q5" s="59" t="str">
        <f t="shared" si="2"/>
        <v>-</v>
      </c>
      <c r="R5" s="59" t="str">
        <f t="shared" si="2"/>
        <v>-</v>
      </c>
      <c r="S5" s="59" t="str">
        <f t="shared" si="2"/>
        <v>-</v>
      </c>
      <c r="T5" s="59" t="str">
        <f t="shared" si="2"/>
        <v>-</v>
      </c>
      <c r="U5" s="59" t="str">
        <f t="shared" si="2"/>
        <v>-</v>
      </c>
      <c r="V5" s="90" t="str">
        <f t="shared" si="2"/>
        <v>-</v>
      </c>
      <c r="Y5" s="89" t="s">
        <v>4</v>
      </c>
      <c r="Z5" s="89" t="s">
        <v>177</v>
      </c>
    </row>
    <row r="6" spans="1:26">
      <c r="A6">
        <v>1</v>
      </c>
      <c r="B6" t="str">
        <f>VLOOKUP(F6,'TRA balance'!$BA$5:$BB$14,2,FALSE)</f>
        <v>TRADST</v>
      </c>
      <c r="C6" s="62">
        <v>1</v>
      </c>
      <c r="D6" s="63" t="s">
        <v>200</v>
      </c>
      <c r="E6" s="63" t="s">
        <v>201</v>
      </c>
      <c r="F6" s="64" t="s">
        <v>59</v>
      </c>
      <c r="G6" s="62"/>
      <c r="H6" s="91">
        <v>0.1</v>
      </c>
      <c r="I6" s="91">
        <v>0.02</v>
      </c>
      <c r="J6" s="91">
        <v>0.02</v>
      </c>
      <c r="K6" s="91">
        <v>0.1</v>
      </c>
      <c r="L6" s="91">
        <v>0.07</v>
      </c>
      <c r="M6" s="91">
        <v>0.2</v>
      </c>
      <c r="N6" s="91">
        <v>0.05</v>
      </c>
      <c r="O6" s="91">
        <v>0.25</v>
      </c>
      <c r="P6" s="92">
        <v>0.05</v>
      </c>
      <c r="Q6" s="91">
        <v>0.1</v>
      </c>
      <c r="R6" s="91">
        <v>0.15</v>
      </c>
      <c r="S6" s="91">
        <v>0.08</v>
      </c>
      <c r="T6" s="91">
        <v>0.11</v>
      </c>
      <c r="U6" s="91">
        <v>0.0244064218226165</v>
      </c>
      <c r="V6" s="91">
        <v>0.2</v>
      </c>
      <c r="Y6" s="89" t="s">
        <v>5</v>
      </c>
      <c r="Z6" s="89" t="s">
        <v>177</v>
      </c>
    </row>
    <row r="7" spans="1:26">
      <c r="A7">
        <v>1</v>
      </c>
      <c r="B7" t="str">
        <f>VLOOKUP(F7,'TRA balance'!$BA$5:$BB$14,2,FALSE)</f>
        <v>TRADST</v>
      </c>
      <c r="C7" s="54" t="str">
        <f t="shared" si="0"/>
        <v>TR</v>
      </c>
      <c r="D7" s="55" t="s">
        <v>200</v>
      </c>
      <c r="E7" s="66" t="s">
        <v>202</v>
      </c>
      <c r="F7" s="56" t="str">
        <f>F6</f>
        <v>Diesel</v>
      </c>
      <c r="G7" s="54" t="s">
        <v>203</v>
      </c>
      <c r="H7" s="57">
        <v>0.5</v>
      </c>
      <c r="I7" s="57">
        <v>0.3</v>
      </c>
      <c r="J7" s="57">
        <v>0.4</v>
      </c>
      <c r="K7" s="57">
        <v>0.2</v>
      </c>
      <c r="L7" s="57">
        <v>0.3</v>
      </c>
      <c r="M7" s="57">
        <v>0.51</v>
      </c>
      <c r="N7" s="57">
        <v>0.51</v>
      </c>
      <c r="O7" s="57">
        <v>0.4</v>
      </c>
      <c r="P7" s="57">
        <v>0.46</v>
      </c>
      <c r="Q7" s="57">
        <v>0.2</v>
      </c>
      <c r="R7" s="57">
        <v>0.7</v>
      </c>
      <c r="S7" s="57">
        <v>0.34</v>
      </c>
      <c r="T7" s="57">
        <v>0.39</v>
      </c>
      <c r="U7" s="57">
        <v>0.391737102078734</v>
      </c>
      <c r="V7" s="57">
        <v>0.8</v>
      </c>
      <c r="Y7" s="89" t="s">
        <v>6</v>
      </c>
      <c r="Z7" s="89" t="s">
        <v>178</v>
      </c>
    </row>
    <row r="8" spans="1:26">
      <c r="A8">
        <v>1</v>
      </c>
      <c r="B8" t="str">
        <f>VLOOKUP(F8,'TRA balance'!$BA$5:$BB$14,2,FALSE)</f>
        <v>TRADST</v>
      </c>
      <c r="C8" s="54" t="str">
        <f t="shared" si="0"/>
        <v>TR</v>
      </c>
      <c r="D8" s="55" t="s">
        <v>200</v>
      </c>
      <c r="E8" s="66" t="s">
        <v>204</v>
      </c>
      <c r="F8" s="56" t="str">
        <f t="shared" ref="F8:F13" si="3">F7</f>
        <v>Diesel</v>
      </c>
      <c r="G8" s="54" t="s">
        <v>205</v>
      </c>
      <c r="H8" s="57">
        <v>0.5</v>
      </c>
      <c r="I8" s="57">
        <v>0.7</v>
      </c>
      <c r="J8" s="57">
        <v>0.6</v>
      </c>
      <c r="K8" s="57">
        <v>0.2</v>
      </c>
      <c r="L8" s="57">
        <v>0.69</v>
      </c>
      <c r="M8" s="57">
        <v>0.49</v>
      </c>
      <c r="N8" s="57">
        <v>0.49</v>
      </c>
      <c r="O8" s="57">
        <v>0.35</v>
      </c>
      <c r="P8" s="57">
        <v>0.53</v>
      </c>
      <c r="Q8" s="57">
        <v>0.8</v>
      </c>
      <c r="R8" s="57">
        <v>0.3</v>
      </c>
      <c r="S8" s="57">
        <v>0.66</v>
      </c>
      <c r="T8" s="57">
        <v>0.61</v>
      </c>
      <c r="U8" s="57">
        <v>0.608262897921266</v>
      </c>
      <c r="V8" s="57">
        <v>0.2</v>
      </c>
      <c r="Y8" s="89" t="s">
        <v>7</v>
      </c>
      <c r="Z8" s="89" t="s">
        <v>191</v>
      </c>
    </row>
    <row r="9" spans="1:26">
      <c r="A9">
        <v>1</v>
      </c>
      <c r="B9" t="str">
        <f>VLOOKUP(F9,'TRA balance'!$BA$5:$BB$14,2,FALSE)</f>
        <v>TRADST</v>
      </c>
      <c r="C9" s="54" t="str">
        <f t="shared" si="0"/>
        <v>TR</v>
      </c>
      <c r="D9" s="55" t="s">
        <v>200</v>
      </c>
      <c r="E9" s="66" t="s">
        <v>206</v>
      </c>
      <c r="F9" s="56" t="str">
        <f t="shared" si="3"/>
        <v>Diesel</v>
      </c>
      <c r="G9" s="54" t="s">
        <v>207</v>
      </c>
      <c r="H9" s="57">
        <v>0</v>
      </c>
      <c r="I9" s="57">
        <v>0</v>
      </c>
      <c r="J9" s="57">
        <v>0</v>
      </c>
      <c r="K9" s="57">
        <v>0.6</v>
      </c>
      <c r="L9" s="57">
        <v>0.01</v>
      </c>
      <c r="M9" s="57">
        <v>0</v>
      </c>
      <c r="N9" s="57">
        <v>0</v>
      </c>
      <c r="O9" s="57">
        <v>0.25</v>
      </c>
      <c r="P9" s="57">
        <v>0.01</v>
      </c>
      <c r="Q9" s="57">
        <v>0</v>
      </c>
      <c r="R9" s="57">
        <v>0</v>
      </c>
      <c r="S9" s="57">
        <v>0</v>
      </c>
      <c r="T9" s="57">
        <v>0</v>
      </c>
      <c r="U9" s="57">
        <v>0</v>
      </c>
      <c r="V9" s="57">
        <v>0</v>
      </c>
      <c r="Y9" s="89" t="s">
        <v>8</v>
      </c>
      <c r="Z9" s="89" t="s">
        <v>183</v>
      </c>
    </row>
    <row r="10" spans="1:26">
      <c r="A10">
        <v>1</v>
      </c>
      <c r="B10" t="str">
        <f>VLOOKUP(F10,'TRA balance'!$BA$5:$BB$14,2,FALSE)</f>
        <v>TRADST</v>
      </c>
      <c r="C10" s="54" t="str">
        <f t="shared" si="0"/>
        <v>TR</v>
      </c>
      <c r="D10" s="55" t="s">
        <v>200</v>
      </c>
      <c r="E10" s="66" t="s">
        <v>208</v>
      </c>
      <c r="F10" s="56" t="str">
        <f t="shared" si="3"/>
        <v>Diesel</v>
      </c>
      <c r="G10" s="54" t="s">
        <v>209</v>
      </c>
      <c r="H10" s="57">
        <v>0</v>
      </c>
      <c r="I10" s="57">
        <v>0</v>
      </c>
      <c r="J10" s="57">
        <v>0</v>
      </c>
      <c r="K10" s="57">
        <v>0</v>
      </c>
      <c r="L10" s="57">
        <v>0</v>
      </c>
      <c r="M10" s="57">
        <v>0</v>
      </c>
      <c r="N10" s="57">
        <v>0</v>
      </c>
      <c r="O10" s="57">
        <v>0</v>
      </c>
      <c r="P10" s="57">
        <v>0</v>
      </c>
      <c r="Q10" s="57">
        <v>0</v>
      </c>
      <c r="R10" s="57">
        <v>0</v>
      </c>
      <c r="S10" s="57">
        <v>0</v>
      </c>
      <c r="T10" s="57">
        <v>0</v>
      </c>
      <c r="U10" s="57">
        <v>0</v>
      </c>
      <c r="V10" s="57">
        <v>0</v>
      </c>
      <c r="Y10" s="89" t="s">
        <v>9</v>
      </c>
      <c r="Z10" s="89" t="s">
        <v>191</v>
      </c>
    </row>
    <row r="11" spans="1:26">
      <c r="A11">
        <v>1</v>
      </c>
      <c r="B11" t="str">
        <f>VLOOKUP(F11,'TRA balance'!$BA$5:$BB$14,2,FALSE)</f>
        <v>TRADST</v>
      </c>
      <c r="C11" s="54" t="str">
        <f t="shared" si="0"/>
        <v/>
      </c>
      <c r="D11" s="55"/>
      <c r="E11" s="67" t="s">
        <v>210</v>
      </c>
      <c r="F11" s="56" t="str">
        <f t="shared" si="3"/>
        <v>Diesel</v>
      </c>
      <c r="G11" s="54"/>
      <c r="H11" s="61" t="str">
        <f>IF(SUM(H7:H10)=1,"-","&lt;&gt;1!!")</f>
        <v>-</v>
      </c>
      <c r="I11" s="61" t="str">
        <f t="shared" ref="I11:V11" si="4">IF(SUM(I7:I10)=1,"-","&lt;&gt;1!!")</f>
        <v>-</v>
      </c>
      <c r="J11" s="61" t="str">
        <f t="shared" si="4"/>
        <v>-</v>
      </c>
      <c r="K11" s="61" t="str">
        <f t="shared" si="4"/>
        <v>-</v>
      </c>
      <c r="L11" s="61" t="str">
        <f t="shared" si="4"/>
        <v>-</v>
      </c>
      <c r="M11" s="61" t="str">
        <f t="shared" si="4"/>
        <v>-</v>
      </c>
      <c r="N11" s="61" t="str">
        <f t="shared" si="4"/>
        <v>-</v>
      </c>
      <c r="O11" s="61" t="str">
        <f t="shared" si="4"/>
        <v>-</v>
      </c>
      <c r="P11" s="61" t="str">
        <f t="shared" si="4"/>
        <v>-</v>
      </c>
      <c r="Q11" s="61" t="str">
        <f t="shared" si="4"/>
        <v>-</v>
      </c>
      <c r="R11" s="61" t="str">
        <f t="shared" si="4"/>
        <v>-</v>
      </c>
      <c r="S11" s="61" t="str">
        <f t="shared" si="4"/>
        <v>-</v>
      </c>
      <c r="T11" s="61" t="str">
        <f t="shared" si="4"/>
        <v>-</v>
      </c>
      <c r="U11" s="61" t="str">
        <f t="shared" si="4"/>
        <v>-</v>
      </c>
      <c r="V11" s="61" t="str">
        <f t="shared" si="4"/>
        <v>-</v>
      </c>
      <c r="Y11" s="89" t="s">
        <v>10</v>
      </c>
      <c r="Z11" s="89" t="s">
        <v>181</v>
      </c>
    </row>
    <row r="12" spans="1:26">
      <c r="A12">
        <v>1</v>
      </c>
      <c r="B12" t="str">
        <f>VLOOKUP(F12,'TRA balance'!$BA$5:$BB$14,2,FALSE)</f>
        <v>TRADST</v>
      </c>
      <c r="C12" s="62">
        <v>2</v>
      </c>
      <c r="D12" s="63" t="s">
        <v>200</v>
      </c>
      <c r="E12" s="63" t="s">
        <v>211</v>
      </c>
      <c r="F12" s="64" t="str">
        <f t="shared" si="3"/>
        <v>Diesel</v>
      </c>
      <c r="G12" s="62"/>
      <c r="H12" s="68">
        <f>1-H6</f>
        <v>0.9</v>
      </c>
      <c r="I12" s="68">
        <f t="shared" ref="I12:V12" si="5">1-I6</f>
        <v>0.98</v>
      </c>
      <c r="J12" s="68">
        <f t="shared" si="5"/>
        <v>0.98</v>
      </c>
      <c r="K12" s="68">
        <f t="shared" si="5"/>
        <v>0.9</v>
      </c>
      <c r="L12" s="68">
        <f t="shared" si="5"/>
        <v>0.93</v>
      </c>
      <c r="M12" s="68">
        <f t="shared" si="5"/>
        <v>0.8</v>
      </c>
      <c r="N12" s="68">
        <f t="shared" si="5"/>
        <v>0.95</v>
      </c>
      <c r="O12" s="68">
        <f t="shared" si="5"/>
        <v>0.75</v>
      </c>
      <c r="P12" s="68">
        <f t="shared" si="5"/>
        <v>0.95</v>
      </c>
      <c r="Q12" s="68">
        <f t="shared" si="5"/>
        <v>0.9</v>
      </c>
      <c r="R12" s="68">
        <f t="shared" si="5"/>
        <v>0.85</v>
      </c>
      <c r="S12" s="68">
        <f t="shared" si="5"/>
        <v>0.92</v>
      </c>
      <c r="T12" s="68">
        <f t="shared" si="5"/>
        <v>0.89</v>
      </c>
      <c r="U12" s="68">
        <f t="shared" si="5"/>
        <v>0.975593578177383</v>
      </c>
      <c r="V12" s="68">
        <f t="shared" si="5"/>
        <v>0.8</v>
      </c>
      <c r="Y12" s="89" t="s">
        <v>11</v>
      </c>
      <c r="Z12" s="89" t="s">
        <v>180</v>
      </c>
    </row>
    <row r="13" spans="1:26">
      <c r="A13">
        <v>2</v>
      </c>
      <c r="B13" t="str">
        <f>VLOOKUP(F13,'TRA balance'!$BA$5:$BB$14,2,FALSE)</f>
        <v>TRADST</v>
      </c>
      <c r="C13" s="54" t="str">
        <f t="shared" si="0"/>
        <v>TR</v>
      </c>
      <c r="D13" s="55" t="s">
        <v>200</v>
      </c>
      <c r="E13" s="66" t="s">
        <v>212</v>
      </c>
      <c r="F13" s="56" t="str">
        <f t="shared" si="3"/>
        <v>Diesel</v>
      </c>
      <c r="G13" s="54" t="s">
        <v>213</v>
      </c>
      <c r="H13" s="57">
        <v>0.35</v>
      </c>
      <c r="I13" s="57">
        <v>0.15</v>
      </c>
      <c r="J13" s="57">
        <v>0.05</v>
      </c>
      <c r="K13" s="57">
        <v>0.35</v>
      </c>
      <c r="L13" s="57">
        <v>0.1</v>
      </c>
      <c r="M13" s="57">
        <v>0.1</v>
      </c>
      <c r="N13" s="57">
        <v>0.1</v>
      </c>
      <c r="O13" s="57">
        <v>0.25</v>
      </c>
      <c r="P13" s="57">
        <v>0.05</v>
      </c>
      <c r="Q13" s="57">
        <v>0.1</v>
      </c>
      <c r="R13" s="57">
        <v>0.1</v>
      </c>
      <c r="S13" s="57">
        <v>0.15</v>
      </c>
      <c r="T13" s="57">
        <v>0.22</v>
      </c>
      <c r="U13" s="57">
        <v>0.04</v>
      </c>
      <c r="V13" s="57">
        <v>0.05</v>
      </c>
      <c r="Y13" s="89" t="s">
        <v>12</v>
      </c>
      <c r="Z13" s="89" t="s">
        <v>182</v>
      </c>
    </row>
    <row r="14" spans="1:26">
      <c r="A14">
        <v>2</v>
      </c>
      <c r="B14" t="str">
        <f>VLOOKUP(F14,'TRA balance'!$BA$5:$BB$14,2,FALSE)</f>
        <v>TRADST</v>
      </c>
      <c r="C14" s="54" t="str">
        <f t="shared" si="0"/>
        <v>TR</v>
      </c>
      <c r="D14" s="55" t="s">
        <v>200</v>
      </c>
      <c r="E14" s="66" t="s">
        <v>214</v>
      </c>
      <c r="F14" s="56" t="str">
        <f t="shared" ref="F14:F20" si="6">F13</f>
        <v>Diesel</v>
      </c>
      <c r="G14" s="54" t="s">
        <v>215</v>
      </c>
      <c r="H14" s="57">
        <v>0.35</v>
      </c>
      <c r="I14" s="57">
        <v>0.35</v>
      </c>
      <c r="J14" s="57">
        <v>0.6</v>
      </c>
      <c r="K14" s="57">
        <v>0.35</v>
      </c>
      <c r="L14" s="57">
        <v>0.5</v>
      </c>
      <c r="M14" s="57">
        <v>0.5</v>
      </c>
      <c r="N14" s="57">
        <v>0.6</v>
      </c>
      <c r="O14" s="57">
        <v>0.3</v>
      </c>
      <c r="P14" s="57">
        <v>0.5</v>
      </c>
      <c r="Q14" s="57">
        <v>0.5</v>
      </c>
      <c r="R14" s="57">
        <v>0.45</v>
      </c>
      <c r="S14" s="57">
        <v>0.5</v>
      </c>
      <c r="T14" s="57">
        <v>0.38</v>
      </c>
      <c r="U14" s="57">
        <v>0.8</v>
      </c>
      <c r="V14" s="57">
        <v>0.5</v>
      </c>
      <c r="Y14" s="89" t="s">
        <v>13</v>
      </c>
      <c r="Z14" s="89" t="s">
        <v>182</v>
      </c>
    </row>
    <row r="15" spans="1:26">
      <c r="A15">
        <v>2</v>
      </c>
      <c r="B15" t="str">
        <f>VLOOKUP(F15,'TRA balance'!$BA$5:$BB$14,2,FALSE)</f>
        <v>TRADST</v>
      </c>
      <c r="C15" s="54" t="str">
        <f t="shared" si="0"/>
        <v>TR</v>
      </c>
      <c r="D15" s="55" t="s">
        <v>200</v>
      </c>
      <c r="E15" s="66" t="s">
        <v>216</v>
      </c>
      <c r="F15" s="56" t="str">
        <f t="shared" si="6"/>
        <v>Diesel</v>
      </c>
      <c r="G15" s="54" t="s">
        <v>217</v>
      </c>
      <c r="H15" s="57">
        <v>0.1</v>
      </c>
      <c r="I15" s="57">
        <v>0.3</v>
      </c>
      <c r="J15" s="57">
        <v>0.25</v>
      </c>
      <c r="K15" s="57">
        <v>0.2</v>
      </c>
      <c r="L15" s="57">
        <v>0.3</v>
      </c>
      <c r="M15" s="57">
        <v>0.25</v>
      </c>
      <c r="N15" s="57">
        <v>0.2</v>
      </c>
      <c r="O15" s="57">
        <v>0.2</v>
      </c>
      <c r="P15" s="57">
        <v>0.3</v>
      </c>
      <c r="Q15" s="57">
        <v>0.25</v>
      </c>
      <c r="R15" s="57">
        <v>0.3</v>
      </c>
      <c r="S15" s="57">
        <v>0.25</v>
      </c>
      <c r="T15" s="57">
        <v>0.2</v>
      </c>
      <c r="U15" s="57">
        <v>0.11</v>
      </c>
      <c r="V15" s="57">
        <v>0.3</v>
      </c>
      <c r="Y15" s="89" t="s">
        <v>14</v>
      </c>
      <c r="Z15" s="89" t="s">
        <v>191</v>
      </c>
    </row>
    <row r="16" spans="1:26">
      <c r="A16">
        <v>2</v>
      </c>
      <c r="B16" t="str">
        <f>VLOOKUP(F16,'TRA balance'!$BA$5:$BB$14,2,FALSE)</f>
        <v>TRADST</v>
      </c>
      <c r="C16" s="54" t="str">
        <f t="shared" si="0"/>
        <v>TR</v>
      </c>
      <c r="D16" s="55" t="s">
        <v>200</v>
      </c>
      <c r="E16" s="66" t="s">
        <v>218</v>
      </c>
      <c r="F16" s="56" t="str">
        <f t="shared" si="6"/>
        <v>Diesel</v>
      </c>
      <c r="G16" s="54" t="s">
        <v>219</v>
      </c>
      <c r="H16" s="57">
        <v>0.2</v>
      </c>
      <c r="I16" s="57">
        <v>0.2</v>
      </c>
      <c r="J16" s="57">
        <v>0.1</v>
      </c>
      <c r="K16" s="57">
        <v>0.1</v>
      </c>
      <c r="L16" s="57">
        <v>0.1</v>
      </c>
      <c r="M16" s="57">
        <v>0.15</v>
      </c>
      <c r="N16" s="57">
        <v>0.1</v>
      </c>
      <c r="O16" s="57">
        <v>0.25</v>
      </c>
      <c r="P16" s="57">
        <v>0.15</v>
      </c>
      <c r="Q16" s="57">
        <v>0.15</v>
      </c>
      <c r="R16" s="57">
        <v>0.15</v>
      </c>
      <c r="S16" s="57">
        <v>0.1</v>
      </c>
      <c r="T16" s="57">
        <v>0.2</v>
      </c>
      <c r="U16" s="57">
        <v>0.05</v>
      </c>
      <c r="V16" s="57">
        <v>0.15</v>
      </c>
      <c r="Y16" s="89" t="s">
        <v>15</v>
      </c>
      <c r="Z16" s="89" t="s">
        <v>191</v>
      </c>
    </row>
    <row r="17" spans="1:26">
      <c r="A17">
        <v>1</v>
      </c>
      <c r="B17" t="str">
        <f>VLOOKUP(F17,'TRA balance'!$BA$5:$BB$14,2,FALSE)</f>
        <v>TRADST</v>
      </c>
      <c r="C17" s="54" t="str">
        <f t="shared" si="0"/>
        <v/>
      </c>
      <c r="D17" s="55"/>
      <c r="E17" s="67" t="s">
        <v>220</v>
      </c>
      <c r="F17" s="56" t="str">
        <f t="shared" si="6"/>
        <v>Diesel</v>
      </c>
      <c r="G17" s="54"/>
      <c r="H17" s="61" t="str">
        <f>IF(SUM(H13:H16)=1,"-","&lt;&gt;1!!")</f>
        <v>-</v>
      </c>
      <c r="I17" s="61" t="str">
        <f t="shared" ref="I17:V17" si="7">IF(SUM(I13:I16)=1,"-","&lt;&gt;1!!")</f>
        <v>-</v>
      </c>
      <c r="J17" s="61" t="str">
        <f t="shared" si="7"/>
        <v>-</v>
      </c>
      <c r="K17" s="61" t="str">
        <f t="shared" si="7"/>
        <v>-</v>
      </c>
      <c r="L17" s="61" t="str">
        <f t="shared" si="7"/>
        <v>-</v>
      </c>
      <c r="M17" s="61" t="str">
        <f t="shared" si="7"/>
        <v>-</v>
      </c>
      <c r="N17" s="61" t="str">
        <f t="shared" si="7"/>
        <v>-</v>
      </c>
      <c r="O17" s="61" t="str">
        <f t="shared" si="7"/>
        <v>-</v>
      </c>
      <c r="P17" s="61" t="str">
        <f t="shared" si="7"/>
        <v>-</v>
      </c>
      <c r="Q17" s="61" t="str">
        <f t="shared" si="7"/>
        <v>-</v>
      </c>
      <c r="R17" s="61" t="str">
        <f t="shared" si="7"/>
        <v>-</v>
      </c>
      <c r="S17" s="61" t="str">
        <f t="shared" si="7"/>
        <v>-</v>
      </c>
      <c r="T17" s="61" t="str">
        <f t="shared" si="7"/>
        <v>-</v>
      </c>
      <c r="U17" s="61" t="str">
        <f t="shared" si="7"/>
        <v>-</v>
      </c>
      <c r="V17" s="61" t="str">
        <f t="shared" si="7"/>
        <v>-</v>
      </c>
      <c r="Y17" s="89" t="s">
        <v>16</v>
      </c>
      <c r="Z17" s="89" t="s">
        <v>191</v>
      </c>
    </row>
    <row r="18" spans="1:26">
      <c r="A18">
        <v>1</v>
      </c>
      <c r="B18" t="str">
        <f>VLOOKUP(F18,'TRA balance'!$BA$5:$BB$14,2,FALSE)</f>
        <v>TRADST</v>
      </c>
      <c r="C18" s="54" t="str">
        <f t="shared" si="0"/>
        <v>TT</v>
      </c>
      <c r="D18" s="55" t="s">
        <v>192</v>
      </c>
      <c r="E18" s="55" t="s">
        <v>193</v>
      </c>
      <c r="F18" s="56" t="str">
        <f t="shared" si="6"/>
        <v>Diesel</v>
      </c>
      <c r="G18" s="54" t="s">
        <v>194</v>
      </c>
      <c r="H18" s="57">
        <v>0.7</v>
      </c>
      <c r="I18" s="57">
        <v>0.7</v>
      </c>
      <c r="J18" s="57">
        <v>0.95</v>
      </c>
      <c r="K18" s="57">
        <v>0.6</v>
      </c>
      <c r="L18" s="57">
        <v>0.8</v>
      </c>
      <c r="M18" s="57">
        <v>0.9</v>
      </c>
      <c r="N18" s="57">
        <v>0.9</v>
      </c>
      <c r="O18" s="57">
        <v>0.5</v>
      </c>
      <c r="P18" s="57">
        <v>0.3</v>
      </c>
      <c r="Q18" s="57">
        <v>0.7</v>
      </c>
      <c r="R18" s="57">
        <v>0.75</v>
      </c>
      <c r="S18" s="57">
        <v>0.8</v>
      </c>
      <c r="T18" s="57">
        <v>0.9</v>
      </c>
      <c r="U18" s="57">
        <v>0.960321230917373</v>
      </c>
      <c r="V18" s="57">
        <v>0.9</v>
      </c>
      <c r="Y18" s="89" t="s">
        <v>17</v>
      </c>
      <c r="Z18" s="89" t="s">
        <v>182</v>
      </c>
    </row>
    <row r="19" spans="1:26">
      <c r="A19">
        <v>1</v>
      </c>
      <c r="B19" t="str">
        <f>VLOOKUP(F19,'TRA balance'!$BA$5:$BB$14,2,FALSE)</f>
        <v>TRADST</v>
      </c>
      <c r="C19" s="54" t="str">
        <f t="shared" si="0"/>
        <v>TT</v>
      </c>
      <c r="D19" s="55" t="s">
        <v>192</v>
      </c>
      <c r="E19" s="55" t="s">
        <v>197</v>
      </c>
      <c r="F19" s="56" t="str">
        <f t="shared" si="6"/>
        <v>Diesel</v>
      </c>
      <c r="G19" s="54" t="s">
        <v>198</v>
      </c>
      <c r="H19" s="57">
        <v>0.3</v>
      </c>
      <c r="I19" s="57">
        <v>0.3</v>
      </c>
      <c r="J19" s="57">
        <v>0.05</v>
      </c>
      <c r="K19" s="57">
        <v>0.4</v>
      </c>
      <c r="L19" s="57">
        <v>0.2</v>
      </c>
      <c r="M19" s="57">
        <v>0.1</v>
      </c>
      <c r="N19" s="57">
        <v>0.1</v>
      </c>
      <c r="O19" s="57">
        <v>0.5</v>
      </c>
      <c r="P19" s="57">
        <v>0.7</v>
      </c>
      <c r="Q19" s="57">
        <v>0.3</v>
      </c>
      <c r="R19" s="57">
        <v>0.25</v>
      </c>
      <c r="S19" s="57">
        <v>0.2</v>
      </c>
      <c r="T19" s="57">
        <v>0.1</v>
      </c>
      <c r="U19" s="57">
        <v>0.0396787690826272</v>
      </c>
      <c r="V19" s="57">
        <v>0.1</v>
      </c>
      <c r="Y19" s="89" t="s">
        <v>18</v>
      </c>
      <c r="Z19" s="89" t="s">
        <v>191</v>
      </c>
    </row>
    <row r="20" spans="1:26">
      <c r="A20">
        <v>1</v>
      </c>
      <c r="B20" t="str">
        <f>VLOOKUP(F20,'TRA balance'!$BA$5:$BB$14,2,FALSE)</f>
        <v>TRADST</v>
      </c>
      <c r="C20" s="58"/>
      <c r="D20" s="58"/>
      <c r="E20" s="59" t="s">
        <v>199</v>
      </c>
      <c r="F20" s="60" t="str">
        <f t="shared" si="6"/>
        <v>Diesel</v>
      </c>
      <c r="G20" s="58"/>
      <c r="H20" s="59" t="str">
        <f t="shared" ref="H20:V20" si="8">IF(SUM(H18:H19)=1,"-","&lt;&gt;1!!")</f>
        <v>-</v>
      </c>
      <c r="I20" s="59" t="str">
        <f t="shared" si="8"/>
        <v>-</v>
      </c>
      <c r="J20" s="59" t="str">
        <f t="shared" si="8"/>
        <v>-</v>
      </c>
      <c r="K20" s="59" t="str">
        <f t="shared" si="8"/>
        <v>-</v>
      </c>
      <c r="L20" s="59" t="str">
        <f t="shared" si="8"/>
        <v>-</v>
      </c>
      <c r="M20" s="59" t="str">
        <f t="shared" si="8"/>
        <v>-</v>
      </c>
      <c r="N20" s="59" t="str">
        <f t="shared" si="8"/>
        <v>-</v>
      </c>
      <c r="O20" s="59" t="str">
        <f t="shared" si="8"/>
        <v>-</v>
      </c>
      <c r="P20" s="59" t="str">
        <f t="shared" si="8"/>
        <v>-</v>
      </c>
      <c r="Q20" s="59" t="str">
        <f t="shared" si="8"/>
        <v>-</v>
      </c>
      <c r="R20" s="59" t="str">
        <f t="shared" si="8"/>
        <v>-</v>
      </c>
      <c r="S20" s="59" t="str">
        <f t="shared" si="8"/>
        <v>-</v>
      </c>
      <c r="T20" s="59" t="str">
        <f t="shared" si="8"/>
        <v>-</v>
      </c>
      <c r="U20" s="59" t="str">
        <f t="shared" si="8"/>
        <v>-</v>
      </c>
      <c r="V20" s="59" t="str">
        <f t="shared" si="8"/>
        <v>-</v>
      </c>
      <c r="Y20" s="89" t="s">
        <v>19</v>
      </c>
      <c r="Z20" s="89" t="s">
        <v>184</v>
      </c>
    </row>
    <row r="21" spans="1:26">
      <c r="A21">
        <v>1</v>
      </c>
      <c r="B21" t="str">
        <f>VLOOKUP(F21,'TRA balance'!$BA$5:$BB$14,2,FALSE)</f>
        <v>TRAGSL</v>
      </c>
      <c r="C21" s="62">
        <v>1</v>
      </c>
      <c r="D21" s="63" t="s">
        <v>200</v>
      </c>
      <c r="E21" s="63" t="s">
        <v>201</v>
      </c>
      <c r="F21" s="64" t="s">
        <v>67</v>
      </c>
      <c r="G21" s="62"/>
      <c r="H21" s="91">
        <v>1</v>
      </c>
      <c r="I21" s="91">
        <v>0.9</v>
      </c>
      <c r="J21" s="91">
        <v>0.96</v>
      </c>
      <c r="K21" s="93">
        <v>0.9</v>
      </c>
      <c r="L21" s="91">
        <v>0.9</v>
      </c>
      <c r="M21" s="91">
        <v>0.9</v>
      </c>
      <c r="N21" s="91">
        <v>0.7</v>
      </c>
      <c r="O21" s="91">
        <v>1</v>
      </c>
      <c r="P21" s="91">
        <v>0.9</v>
      </c>
      <c r="Q21" s="91">
        <v>0.7</v>
      </c>
      <c r="R21" s="91">
        <v>0.95</v>
      </c>
      <c r="S21" s="91">
        <v>1</v>
      </c>
      <c r="T21" s="91">
        <v>0.99</v>
      </c>
      <c r="U21" s="91">
        <v>0.8</v>
      </c>
      <c r="V21" s="91">
        <v>0.97</v>
      </c>
      <c r="Y21" s="89" t="s">
        <v>20</v>
      </c>
      <c r="Z21" s="89" t="s">
        <v>191</v>
      </c>
    </row>
    <row r="22" spans="1:26">
      <c r="A22">
        <v>1</v>
      </c>
      <c r="B22" t="str">
        <f>VLOOKUP(F22,'TRA balance'!$BA$5:$BB$14,2,FALSE)</f>
        <v>TRAGSL</v>
      </c>
      <c r="C22" s="54" t="str">
        <f t="shared" si="0"/>
        <v>TR</v>
      </c>
      <c r="D22" s="55" t="s">
        <v>200</v>
      </c>
      <c r="E22" s="66" t="s">
        <v>202</v>
      </c>
      <c r="F22" s="56" t="str">
        <f>F21</f>
        <v>Gasoline</v>
      </c>
      <c r="G22" s="54" t="s">
        <v>203</v>
      </c>
      <c r="H22" s="57">
        <v>0.45</v>
      </c>
      <c r="I22" s="57">
        <v>0.69</v>
      </c>
      <c r="J22" s="57">
        <v>0.6</v>
      </c>
      <c r="K22" s="57">
        <v>0.65</v>
      </c>
      <c r="L22" s="57">
        <v>0.67</v>
      </c>
      <c r="M22" s="57">
        <v>0.65</v>
      </c>
      <c r="N22" s="57">
        <v>0.65</v>
      </c>
      <c r="O22" s="57">
        <v>0.45</v>
      </c>
      <c r="P22" s="57">
        <v>0.7</v>
      </c>
      <c r="Q22" s="57">
        <v>0.55</v>
      </c>
      <c r="R22" s="57">
        <v>0.6</v>
      </c>
      <c r="S22" s="57">
        <v>0.45</v>
      </c>
      <c r="T22" s="57">
        <v>0.6</v>
      </c>
      <c r="U22" s="57">
        <v>0.583</v>
      </c>
      <c r="V22" s="57">
        <v>0.64</v>
      </c>
      <c r="Y22" s="89" t="s">
        <v>21</v>
      </c>
      <c r="Z22" s="89" t="s">
        <v>191</v>
      </c>
    </row>
    <row r="23" spans="1:26">
      <c r="A23">
        <v>1</v>
      </c>
      <c r="B23" t="str">
        <f>VLOOKUP(F23,'TRA balance'!$BA$5:$BB$14,2,FALSE)</f>
        <v>TRAGSL</v>
      </c>
      <c r="C23" s="54" t="str">
        <f t="shared" si="0"/>
        <v>TR</v>
      </c>
      <c r="D23" s="55" t="s">
        <v>200</v>
      </c>
      <c r="E23" s="66" t="s">
        <v>204</v>
      </c>
      <c r="F23" s="56" t="str">
        <f t="shared" ref="F23:F28" si="9">F22</f>
        <v>Gasoline</v>
      </c>
      <c r="G23" s="54" t="s">
        <v>205</v>
      </c>
      <c r="H23" s="57">
        <v>0.1</v>
      </c>
      <c r="I23" s="57">
        <v>0.29</v>
      </c>
      <c r="J23" s="57">
        <v>0.399</v>
      </c>
      <c r="K23" s="57">
        <v>0.25</v>
      </c>
      <c r="L23" s="57">
        <v>0.31</v>
      </c>
      <c r="M23" s="57">
        <v>0.33</v>
      </c>
      <c r="N23" s="57">
        <v>0.33</v>
      </c>
      <c r="O23" s="57">
        <v>0.05</v>
      </c>
      <c r="P23" s="57">
        <v>0.285</v>
      </c>
      <c r="Q23" s="57">
        <v>0.42</v>
      </c>
      <c r="R23" s="57">
        <v>0.33</v>
      </c>
      <c r="S23" s="57">
        <v>0.1</v>
      </c>
      <c r="T23" s="57">
        <v>0.38</v>
      </c>
      <c r="U23" s="57">
        <v>0.415</v>
      </c>
      <c r="V23" s="57">
        <v>0.35</v>
      </c>
      <c r="Y23" s="89" t="s">
        <v>22</v>
      </c>
      <c r="Z23" s="89" t="s">
        <v>185</v>
      </c>
    </row>
    <row r="24" spans="1:26">
      <c r="A24">
        <v>1</v>
      </c>
      <c r="B24" t="str">
        <f>VLOOKUP(F24,'TRA balance'!$BA$5:$BB$14,2,FALSE)</f>
        <v>TRAGSL</v>
      </c>
      <c r="C24" s="54" t="str">
        <f t="shared" si="0"/>
        <v>TR</v>
      </c>
      <c r="D24" s="55" t="s">
        <v>200</v>
      </c>
      <c r="E24" s="66" t="s">
        <v>206</v>
      </c>
      <c r="F24" s="56" t="str">
        <f t="shared" si="9"/>
        <v>Gasoline</v>
      </c>
      <c r="G24" s="54" t="s">
        <v>207</v>
      </c>
      <c r="H24" s="57">
        <v>0.1</v>
      </c>
      <c r="I24" s="57">
        <v>0</v>
      </c>
      <c r="J24" s="57">
        <v>0</v>
      </c>
      <c r="K24" s="57">
        <v>0</v>
      </c>
      <c r="L24" s="57">
        <v>0.005</v>
      </c>
      <c r="M24" s="57">
        <v>0.005</v>
      </c>
      <c r="N24" s="57">
        <v>0.005</v>
      </c>
      <c r="O24" s="57">
        <v>0.1</v>
      </c>
      <c r="P24" s="57">
        <v>0.005</v>
      </c>
      <c r="Q24" s="57">
        <v>0.01</v>
      </c>
      <c r="R24" s="57">
        <v>0.005</v>
      </c>
      <c r="S24" s="57">
        <v>0.1</v>
      </c>
      <c r="T24" s="57">
        <v>0.005</v>
      </c>
      <c r="U24" s="57">
        <v>0.001</v>
      </c>
      <c r="V24" s="57">
        <v>0.005</v>
      </c>
      <c r="Y24" s="89" t="s">
        <v>23</v>
      </c>
      <c r="Z24" s="89" t="s">
        <v>181</v>
      </c>
    </row>
    <row r="25" spans="1:26">
      <c r="A25">
        <v>1</v>
      </c>
      <c r="B25" t="str">
        <f>VLOOKUP(F25,'TRA balance'!$BA$5:$BB$14,2,FALSE)</f>
        <v>TRAGSL</v>
      </c>
      <c r="C25" s="54" t="str">
        <f t="shared" si="0"/>
        <v>TR</v>
      </c>
      <c r="D25" s="55" t="s">
        <v>200</v>
      </c>
      <c r="E25" s="66" t="s">
        <v>208</v>
      </c>
      <c r="F25" s="56" t="str">
        <f t="shared" si="9"/>
        <v>Gasoline</v>
      </c>
      <c r="G25" s="54" t="s">
        <v>209</v>
      </c>
      <c r="H25" s="57">
        <v>0.35</v>
      </c>
      <c r="I25" s="57">
        <v>0.02</v>
      </c>
      <c r="J25" s="57">
        <v>0.001</v>
      </c>
      <c r="K25" s="57">
        <v>0.1</v>
      </c>
      <c r="L25" s="57">
        <v>0.015</v>
      </c>
      <c r="M25" s="57">
        <v>0.015</v>
      </c>
      <c r="N25" s="57">
        <v>0.015</v>
      </c>
      <c r="O25" s="57">
        <v>0.4</v>
      </c>
      <c r="P25" s="57">
        <v>0.01</v>
      </c>
      <c r="Q25" s="57">
        <v>0.02</v>
      </c>
      <c r="R25" s="57">
        <v>0.065</v>
      </c>
      <c r="S25" s="57">
        <v>0.35</v>
      </c>
      <c r="T25" s="57">
        <v>0.015</v>
      </c>
      <c r="U25" s="57">
        <v>0.001</v>
      </c>
      <c r="V25" s="57">
        <v>0.005</v>
      </c>
      <c r="Y25" s="89" t="s">
        <v>24</v>
      </c>
      <c r="Z25" s="89" t="s">
        <v>186</v>
      </c>
    </row>
    <row r="26" spans="1:26">
      <c r="A26">
        <v>1</v>
      </c>
      <c r="B26" t="str">
        <f>VLOOKUP(F26,'TRA balance'!$BA$5:$BB$14,2,FALSE)</f>
        <v>TRAGSL</v>
      </c>
      <c r="C26" s="54" t="str">
        <f t="shared" si="0"/>
        <v/>
      </c>
      <c r="D26" s="55"/>
      <c r="E26" s="67" t="s">
        <v>210</v>
      </c>
      <c r="F26" s="56" t="str">
        <f t="shared" si="9"/>
        <v>Gasoline</v>
      </c>
      <c r="G26" s="54"/>
      <c r="H26" s="67" t="str">
        <f>IF(SUM(H22:H25)=1,"-","&lt;&gt;1!!")</f>
        <v>-</v>
      </c>
      <c r="I26" s="67" t="str">
        <f t="shared" ref="I26:V26" si="10">IF(SUM(I22:I25)=1,"-","&lt;&gt;1!!")</f>
        <v>-</v>
      </c>
      <c r="J26" s="67" t="str">
        <f t="shared" si="10"/>
        <v>-</v>
      </c>
      <c r="K26" s="67" t="str">
        <f t="shared" si="10"/>
        <v>-</v>
      </c>
      <c r="L26" s="67" t="str">
        <f t="shared" si="10"/>
        <v>-</v>
      </c>
      <c r="M26" s="67" t="str">
        <f t="shared" si="10"/>
        <v>-</v>
      </c>
      <c r="N26" s="67" t="str">
        <f t="shared" si="10"/>
        <v>-</v>
      </c>
      <c r="O26" s="67" t="str">
        <f t="shared" si="10"/>
        <v>-</v>
      </c>
      <c r="P26" s="67" t="str">
        <f t="shared" si="10"/>
        <v>-</v>
      </c>
      <c r="Q26" s="67" t="str">
        <f t="shared" si="10"/>
        <v>-</v>
      </c>
      <c r="R26" s="67" t="str">
        <f t="shared" si="10"/>
        <v>-</v>
      </c>
      <c r="S26" s="67" t="str">
        <f t="shared" si="10"/>
        <v>-</v>
      </c>
      <c r="T26" s="67" t="str">
        <f t="shared" si="10"/>
        <v>-</v>
      </c>
      <c r="U26" s="67" t="str">
        <f t="shared" si="10"/>
        <v>-</v>
      </c>
      <c r="V26" s="67" t="str">
        <f t="shared" si="10"/>
        <v>-</v>
      </c>
      <c r="Y26" s="89" t="s">
        <v>25</v>
      </c>
      <c r="Z26" s="89" t="s">
        <v>190</v>
      </c>
    </row>
    <row r="27" spans="1:26">
      <c r="A27">
        <v>1</v>
      </c>
      <c r="B27" t="str">
        <f>VLOOKUP(F27,'TRA balance'!$BA$5:$BB$14,2,FALSE)</f>
        <v>TRAGSL</v>
      </c>
      <c r="C27" s="62">
        <v>2</v>
      </c>
      <c r="D27" s="63" t="s">
        <v>200</v>
      </c>
      <c r="E27" s="63" t="s">
        <v>211</v>
      </c>
      <c r="F27" s="64" t="str">
        <f t="shared" si="9"/>
        <v>Gasoline</v>
      </c>
      <c r="G27" s="62"/>
      <c r="H27" s="68">
        <f>1-H21</f>
        <v>0</v>
      </c>
      <c r="I27" s="68">
        <f t="shared" ref="I27:V27" si="11">1-I21</f>
        <v>0.1</v>
      </c>
      <c r="J27" s="68">
        <f t="shared" si="11"/>
        <v>0.04</v>
      </c>
      <c r="K27" s="68">
        <f t="shared" si="11"/>
        <v>0.1</v>
      </c>
      <c r="L27" s="68">
        <f t="shared" si="11"/>
        <v>0.1</v>
      </c>
      <c r="M27" s="68">
        <f t="shared" si="11"/>
        <v>0.1</v>
      </c>
      <c r="N27" s="68">
        <f t="shared" si="11"/>
        <v>0.3</v>
      </c>
      <c r="O27" s="68">
        <f t="shared" si="11"/>
        <v>0</v>
      </c>
      <c r="P27" s="68">
        <f t="shared" si="11"/>
        <v>0.1</v>
      </c>
      <c r="Q27" s="68">
        <f t="shared" si="11"/>
        <v>0.3</v>
      </c>
      <c r="R27" s="68">
        <f t="shared" si="11"/>
        <v>0.05</v>
      </c>
      <c r="S27" s="68">
        <f t="shared" si="11"/>
        <v>0</v>
      </c>
      <c r="T27" s="68">
        <f t="shared" si="11"/>
        <v>0.01</v>
      </c>
      <c r="U27" s="68">
        <f t="shared" si="11"/>
        <v>0.2</v>
      </c>
      <c r="V27" s="68">
        <f t="shared" si="11"/>
        <v>0.03</v>
      </c>
      <c r="Y27" s="89" t="s">
        <v>26</v>
      </c>
      <c r="Z27" s="89" t="s">
        <v>191</v>
      </c>
    </row>
    <row r="28" spans="1:26">
      <c r="A28">
        <v>2</v>
      </c>
      <c r="B28" t="str">
        <f>VLOOKUP(F28,'TRA balance'!$BA$5:$BB$14,2,FALSE)</f>
        <v>TRAGSL</v>
      </c>
      <c r="C28" s="54" t="str">
        <f t="shared" si="0"/>
        <v>TR</v>
      </c>
      <c r="D28" s="55" t="s">
        <v>200</v>
      </c>
      <c r="E28" s="66" t="s">
        <v>212</v>
      </c>
      <c r="F28" s="56" t="str">
        <f t="shared" si="9"/>
        <v>Gasoline</v>
      </c>
      <c r="G28" s="54" t="s">
        <v>213</v>
      </c>
      <c r="H28" s="57">
        <v>0.05</v>
      </c>
      <c r="I28" s="57">
        <v>0.05</v>
      </c>
      <c r="J28" s="57">
        <v>0.05</v>
      </c>
      <c r="K28" s="57">
        <v>0.1</v>
      </c>
      <c r="L28" s="57">
        <v>0.12</v>
      </c>
      <c r="M28" s="57">
        <v>0.1</v>
      </c>
      <c r="N28" s="57">
        <v>0.05</v>
      </c>
      <c r="O28" s="57">
        <v>0</v>
      </c>
      <c r="P28" s="57">
        <v>0</v>
      </c>
      <c r="Q28" s="57">
        <v>0.1</v>
      </c>
      <c r="R28" s="57">
        <v>0.1</v>
      </c>
      <c r="S28" s="57">
        <v>0.15</v>
      </c>
      <c r="T28" s="57">
        <v>0.1</v>
      </c>
      <c r="U28" s="57">
        <v>0.005</v>
      </c>
      <c r="V28" s="57">
        <v>0.05</v>
      </c>
      <c r="Y28" s="89" t="s">
        <v>27</v>
      </c>
      <c r="Z28" s="89" t="s">
        <v>182</v>
      </c>
    </row>
    <row r="29" spans="1:26">
      <c r="A29">
        <v>2</v>
      </c>
      <c r="B29" t="str">
        <f>VLOOKUP(F29,'TRA balance'!$BA$5:$BB$14,2,FALSE)</f>
        <v>TRAGSL</v>
      </c>
      <c r="C29" s="54" t="str">
        <f t="shared" si="0"/>
        <v>TR</v>
      </c>
      <c r="D29" s="55" t="s">
        <v>200</v>
      </c>
      <c r="E29" s="66" t="s">
        <v>214</v>
      </c>
      <c r="F29" s="56" t="str">
        <f t="shared" ref="F29:F35" si="12">F28</f>
        <v>Gasoline</v>
      </c>
      <c r="G29" s="54" t="s">
        <v>215</v>
      </c>
      <c r="H29" s="57">
        <v>0</v>
      </c>
      <c r="I29" s="57">
        <v>0</v>
      </c>
      <c r="J29" s="57">
        <v>0</v>
      </c>
      <c r="K29" s="57">
        <v>0</v>
      </c>
      <c r="L29" s="57">
        <v>0</v>
      </c>
      <c r="M29" s="57">
        <v>0</v>
      </c>
      <c r="N29" s="57">
        <v>0</v>
      </c>
      <c r="O29" s="57">
        <v>0</v>
      </c>
      <c r="P29" s="57">
        <v>0</v>
      </c>
      <c r="Q29" s="57">
        <v>0</v>
      </c>
      <c r="R29" s="57">
        <v>0</v>
      </c>
      <c r="S29" s="57">
        <v>0</v>
      </c>
      <c r="T29" s="57">
        <v>0</v>
      </c>
      <c r="U29" s="57">
        <v>0</v>
      </c>
      <c r="V29" s="57">
        <v>0</v>
      </c>
      <c r="Y29" s="89" t="s">
        <v>28</v>
      </c>
      <c r="Z29" s="89" t="s">
        <v>188</v>
      </c>
    </row>
    <row r="30" spans="1:26">
      <c r="A30">
        <v>2</v>
      </c>
      <c r="B30" t="str">
        <f>VLOOKUP(F30,'TRA balance'!$BA$5:$BB$14,2,FALSE)</f>
        <v>TRAGSL</v>
      </c>
      <c r="C30" s="54" t="str">
        <f t="shared" si="0"/>
        <v>TR</v>
      </c>
      <c r="D30" s="55" t="s">
        <v>200</v>
      </c>
      <c r="E30" s="66" t="s">
        <v>216</v>
      </c>
      <c r="F30" s="56" t="str">
        <f t="shared" si="12"/>
        <v>Gasoline</v>
      </c>
      <c r="G30" s="54" t="s">
        <v>217</v>
      </c>
      <c r="H30" s="57">
        <v>0.4</v>
      </c>
      <c r="I30" s="57">
        <v>0</v>
      </c>
      <c r="J30" s="57">
        <v>0.05</v>
      </c>
      <c r="K30" s="57">
        <v>0.1</v>
      </c>
      <c r="L30" s="57">
        <v>0.3</v>
      </c>
      <c r="M30" s="57">
        <v>0.4</v>
      </c>
      <c r="N30" s="57">
        <v>0.4</v>
      </c>
      <c r="O30" s="57">
        <v>0.3</v>
      </c>
      <c r="P30" s="57">
        <v>0</v>
      </c>
      <c r="Q30" s="57">
        <v>0.35</v>
      </c>
      <c r="R30" s="57">
        <v>0.15</v>
      </c>
      <c r="S30" s="57">
        <v>0.35</v>
      </c>
      <c r="T30" s="57">
        <v>0.3</v>
      </c>
      <c r="U30" s="57">
        <v>0.3</v>
      </c>
      <c r="V30" s="57">
        <v>0</v>
      </c>
      <c r="Y30" s="89" t="s">
        <v>29</v>
      </c>
      <c r="Z30" s="89" t="s">
        <v>183</v>
      </c>
    </row>
    <row r="31" spans="1:26">
      <c r="A31">
        <v>2</v>
      </c>
      <c r="B31" t="str">
        <f>VLOOKUP(F31,'TRA balance'!$BA$5:$BB$14,2,FALSE)</f>
        <v>TRAGSL</v>
      </c>
      <c r="C31" s="54" t="str">
        <f t="shared" si="0"/>
        <v>TR</v>
      </c>
      <c r="D31" s="55" t="s">
        <v>200</v>
      </c>
      <c r="E31" s="66" t="s">
        <v>218</v>
      </c>
      <c r="F31" s="56" t="str">
        <f t="shared" si="12"/>
        <v>Gasoline</v>
      </c>
      <c r="G31" s="54" t="s">
        <v>219</v>
      </c>
      <c r="H31" s="94">
        <f>1-SUM(H28:H30)</f>
        <v>0.55</v>
      </c>
      <c r="I31" s="94">
        <f t="shared" ref="I31:V31" si="13">1-SUM(I28:I30)</f>
        <v>0.95</v>
      </c>
      <c r="J31" s="94">
        <f t="shared" si="13"/>
        <v>0.9</v>
      </c>
      <c r="K31" s="94">
        <f t="shared" si="13"/>
        <v>0.8</v>
      </c>
      <c r="L31" s="94">
        <f t="shared" si="13"/>
        <v>0.58</v>
      </c>
      <c r="M31" s="94">
        <f t="shared" si="13"/>
        <v>0.5</v>
      </c>
      <c r="N31" s="94">
        <f t="shared" si="13"/>
        <v>0.55</v>
      </c>
      <c r="O31" s="94">
        <f t="shared" si="13"/>
        <v>0.7</v>
      </c>
      <c r="P31" s="94">
        <f t="shared" si="13"/>
        <v>1</v>
      </c>
      <c r="Q31" s="94">
        <f t="shared" si="13"/>
        <v>0.55</v>
      </c>
      <c r="R31" s="94">
        <f t="shared" si="13"/>
        <v>0.75</v>
      </c>
      <c r="S31" s="94">
        <f t="shared" si="13"/>
        <v>0.5</v>
      </c>
      <c r="T31" s="94">
        <f t="shared" si="13"/>
        <v>0.6</v>
      </c>
      <c r="U31" s="94">
        <f t="shared" si="13"/>
        <v>0.695</v>
      </c>
      <c r="V31" s="94">
        <f t="shared" si="13"/>
        <v>0.95</v>
      </c>
      <c r="Y31" s="89" t="s">
        <v>30</v>
      </c>
      <c r="Z31" s="89" t="s">
        <v>186</v>
      </c>
    </row>
    <row r="32" spans="1:26">
      <c r="A32">
        <v>1</v>
      </c>
      <c r="B32" t="str">
        <f>VLOOKUP(F32,'TRA balance'!$BA$5:$BB$14,2,FALSE)</f>
        <v>TRAGSL</v>
      </c>
      <c r="C32" s="54" t="str">
        <f t="shared" si="0"/>
        <v/>
      </c>
      <c r="D32" s="55"/>
      <c r="E32" s="67" t="s">
        <v>220</v>
      </c>
      <c r="F32" s="56" t="str">
        <f t="shared" si="12"/>
        <v>Gasoline</v>
      </c>
      <c r="G32" s="54"/>
      <c r="H32" s="69" t="str">
        <f>IF(SUM(H28:H31)=1,"-","&lt;&gt;1!!")</f>
        <v>-</v>
      </c>
      <c r="I32" s="69" t="str">
        <f t="shared" ref="I32:V32" si="14">IF(SUM(I28:I31)=1,"-","&lt;&gt;1!!")</f>
        <v>-</v>
      </c>
      <c r="J32" s="69" t="str">
        <f t="shared" si="14"/>
        <v>-</v>
      </c>
      <c r="K32" s="69" t="str">
        <f t="shared" si="14"/>
        <v>-</v>
      </c>
      <c r="L32" s="69" t="str">
        <f t="shared" si="14"/>
        <v>-</v>
      </c>
      <c r="M32" s="69" t="str">
        <f t="shared" si="14"/>
        <v>-</v>
      </c>
      <c r="N32" s="69" t="str">
        <f t="shared" si="14"/>
        <v>-</v>
      </c>
      <c r="O32" s="69" t="str">
        <f t="shared" si="14"/>
        <v>-</v>
      </c>
      <c r="P32" s="69" t="str">
        <f t="shared" si="14"/>
        <v>-</v>
      </c>
      <c r="Q32" s="69" t="str">
        <f t="shared" si="14"/>
        <v>-</v>
      </c>
      <c r="R32" s="69" t="str">
        <f t="shared" si="14"/>
        <v>-</v>
      </c>
      <c r="S32" s="69" t="str">
        <f t="shared" si="14"/>
        <v>-</v>
      </c>
      <c r="T32" s="69" t="str">
        <f t="shared" si="14"/>
        <v>-</v>
      </c>
      <c r="U32" s="69" t="str">
        <f t="shared" si="14"/>
        <v>-</v>
      </c>
      <c r="V32" s="69" t="str">
        <f t="shared" si="14"/>
        <v>-</v>
      </c>
      <c r="Y32" s="89" t="s">
        <v>31</v>
      </c>
      <c r="Z32" s="89" t="s">
        <v>177</v>
      </c>
    </row>
    <row r="33" spans="1:26">
      <c r="A33">
        <v>1</v>
      </c>
      <c r="B33" t="str">
        <f>VLOOKUP(F33,'TRA balance'!$BA$5:$BB$14,2,FALSE)</f>
        <v>TRAGSL</v>
      </c>
      <c r="C33" s="54" t="str">
        <f t="shared" si="0"/>
        <v>TT</v>
      </c>
      <c r="D33" s="55" t="s">
        <v>192</v>
      </c>
      <c r="E33" s="55" t="s">
        <v>193</v>
      </c>
      <c r="F33" s="56" t="str">
        <f t="shared" si="12"/>
        <v>Gasoline</v>
      </c>
      <c r="G33" s="54" t="s">
        <v>194</v>
      </c>
      <c r="H33" s="95">
        <v>0.5</v>
      </c>
      <c r="I33" s="57">
        <v>0.5</v>
      </c>
      <c r="J33" s="57">
        <v>1</v>
      </c>
      <c r="K33" s="57">
        <v>0.5</v>
      </c>
      <c r="L33" s="57">
        <v>1</v>
      </c>
      <c r="M33" s="57">
        <v>1</v>
      </c>
      <c r="N33" s="95">
        <v>0.5</v>
      </c>
      <c r="O33" s="57">
        <v>1</v>
      </c>
      <c r="P33" s="57">
        <v>0.07</v>
      </c>
      <c r="Q33" s="57">
        <v>1</v>
      </c>
      <c r="R33" s="57">
        <v>0.98</v>
      </c>
      <c r="S33" s="57">
        <v>0.5</v>
      </c>
      <c r="T33" s="57">
        <v>0.5</v>
      </c>
      <c r="U33" s="57">
        <v>0.5</v>
      </c>
      <c r="V33" s="57">
        <v>1</v>
      </c>
      <c r="Y33" s="89" t="s">
        <v>32</v>
      </c>
      <c r="Z33" s="89" t="s">
        <v>191</v>
      </c>
    </row>
    <row r="34" spans="1:26">
      <c r="A34">
        <v>1</v>
      </c>
      <c r="B34" t="str">
        <f>VLOOKUP(F34,'TRA balance'!$BA$5:$BB$14,2,FALSE)</f>
        <v>TRAGSL</v>
      </c>
      <c r="C34" s="54" t="str">
        <f t="shared" si="0"/>
        <v>TT</v>
      </c>
      <c r="D34" s="55" t="s">
        <v>192</v>
      </c>
      <c r="E34" s="55" t="s">
        <v>197</v>
      </c>
      <c r="F34" s="56" t="str">
        <f t="shared" si="12"/>
        <v>Gasoline</v>
      </c>
      <c r="G34" s="54" t="s">
        <v>198</v>
      </c>
      <c r="H34" s="95">
        <v>0.5</v>
      </c>
      <c r="I34" s="57">
        <v>0.5</v>
      </c>
      <c r="J34" s="57">
        <v>0</v>
      </c>
      <c r="K34" s="57">
        <v>0.5</v>
      </c>
      <c r="L34" s="57">
        <v>0</v>
      </c>
      <c r="M34" s="57">
        <v>0</v>
      </c>
      <c r="N34" s="95">
        <v>0.5</v>
      </c>
      <c r="O34" s="57">
        <v>0</v>
      </c>
      <c r="P34" s="57">
        <v>0.93</v>
      </c>
      <c r="Q34" s="57">
        <v>0</v>
      </c>
      <c r="R34" s="57">
        <v>0.02</v>
      </c>
      <c r="S34" s="57">
        <v>0.5</v>
      </c>
      <c r="T34" s="57">
        <v>0.5</v>
      </c>
      <c r="U34" s="57">
        <v>0.5</v>
      </c>
      <c r="V34" s="57">
        <v>0</v>
      </c>
      <c r="Y34" s="89" t="s">
        <v>33</v>
      </c>
      <c r="Z34" s="89" t="s">
        <v>191</v>
      </c>
    </row>
    <row r="35" spans="1:26">
      <c r="A35">
        <v>1</v>
      </c>
      <c r="B35" t="str">
        <f>VLOOKUP(F35,'TRA balance'!$BA$5:$BB$14,2,FALSE)</f>
        <v>TRAGSL</v>
      </c>
      <c r="C35" s="58"/>
      <c r="D35" s="58"/>
      <c r="E35" s="59" t="s">
        <v>199</v>
      </c>
      <c r="F35" s="60" t="str">
        <f t="shared" si="12"/>
        <v>Gasoline</v>
      </c>
      <c r="G35" s="58"/>
      <c r="H35" s="59" t="str">
        <f t="shared" ref="H35:V35" si="15">IF(SUM(H33:H34)=1,"-","&lt;&gt;1!!")</f>
        <v>-</v>
      </c>
      <c r="I35" s="59" t="str">
        <f t="shared" si="15"/>
        <v>-</v>
      </c>
      <c r="J35" s="59" t="str">
        <f t="shared" si="15"/>
        <v>-</v>
      </c>
      <c r="K35" s="59" t="str">
        <f t="shared" si="15"/>
        <v>-</v>
      </c>
      <c r="L35" s="59" t="str">
        <f t="shared" si="15"/>
        <v>-</v>
      </c>
      <c r="M35" s="59" t="str">
        <f t="shared" si="15"/>
        <v>-</v>
      </c>
      <c r="N35" s="59" t="str">
        <f t="shared" si="15"/>
        <v>-</v>
      </c>
      <c r="O35" s="59" t="str">
        <f t="shared" si="15"/>
        <v>-</v>
      </c>
      <c r="P35" s="59" t="str">
        <f t="shared" si="15"/>
        <v>-</v>
      </c>
      <c r="Q35" s="59" t="str">
        <f t="shared" si="15"/>
        <v>-</v>
      </c>
      <c r="R35" s="59" t="str">
        <f t="shared" si="15"/>
        <v>-</v>
      </c>
      <c r="S35" s="59" t="str">
        <f t="shared" si="15"/>
        <v>-</v>
      </c>
      <c r="T35" s="59" t="str">
        <f t="shared" si="15"/>
        <v>-</v>
      </c>
      <c r="U35" s="59" t="str">
        <f t="shared" si="15"/>
        <v>-</v>
      </c>
      <c r="V35" s="59" t="str">
        <f t="shared" si="15"/>
        <v>-</v>
      </c>
      <c r="Y35" s="89" t="s">
        <v>34</v>
      </c>
      <c r="Z35" s="89" t="s">
        <v>191</v>
      </c>
    </row>
    <row r="36" spans="1:26">
      <c r="A36">
        <v>1</v>
      </c>
      <c r="B36" t="str">
        <f>VLOOKUP(F36,'TRA balance'!$BA$5:$BB$14,2,FALSE)</f>
        <v>TRAHFO</v>
      </c>
      <c r="C36" s="54" t="str">
        <f t="shared" si="0"/>
        <v>TT</v>
      </c>
      <c r="D36" s="55" t="s">
        <v>192</v>
      </c>
      <c r="E36" s="55" t="s">
        <v>193</v>
      </c>
      <c r="F36" s="56" t="s">
        <v>70</v>
      </c>
      <c r="G36" s="54" t="s">
        <v>194</v>
      </c>
      <c r="H36" s="95">
        <f>H18</f>
        <v>0.7</v>
      </c>
      <c r="I36" s="57">
        <v>1</v>
      </c>
      <c r="J36" s="95">
        <f>J18</f>
        <v>0.95</v>
      </c>
      <c r="K36" s="57">
        <v>0.6</v>
      </c>
      <c r="L36" s="57">
        <v>1</v>
      </c>
      <c r="M36" s="95">
        <f>M18</f>
        <v>0.9</v>
      </c>
      <c r="N36" s="57">
        <v>0.9</v>
      </c>
      <c r="O36" s="57">
        <v>0.5</v>
      </c>
      <c r="P36" s="57">
        <v>0.9</v>
      </c>
      <c r="Q36" s="95">
        <f>Q18</f>
        <v>0.7</v>
      </c>
      <c r="R36" s="57">
        <v>1</v>
      </c>
      <c r="S36" s="57">
        <v>0.9</v>
      </c>
      <c r="T36" s="57">
        <v>0.9</v>
      </c>
      <c r="U36" s="57">
        <v>0.9</v>
      </c>
      <c r="V36" s="95">
        <f>V18</f>
        <v>0.9</v>
      </c>
      <c r="Y36" s="89" t="s">
        <v>35</v>
      </c>
      <c r="Z36" s="89" t="s">
        <v>186</v>
      </c>
    </row>
    <row r="37" spans="1:26">
      <c r="A37">
        <v>1</v>
      </c>
      <c r="B37" t="str">
        <f>VLOOKUP(F37,'TRA balance'!$BA$5:$BB$14,2,FALSE)</f>
        <v>TRAHFO</v>
      </c>
      <c r="C37" s="54" t="str">
        <f t="shared" si="0"/>
        <v>TT</v>
      </c>
      <c r="D37" s="55" t="s">
        <v>192</v>
      </c>
      <c r="E37" s="55" t="s">
        <v>197</v>
      </c>
      <c r="F37" s="56" t="str">
        <f t="shared" ref="F37:F38" si="16">F36</f>
        <v>Heavy Fuel Oil</v>
      </c>
      <c r="G37" s="54" t="s">
        <v>198</v>
      </c>
      <c r="H37" s="95">
        <f>H19</f>
        <v>0.3</v>
      </c>
      <c r="I37" s="57">
        <v>0</v>
      </c>
      <c r="J37" s="95">
        <f>J19</f>
        <v>0.05</v>
      </c>
      <c r="K37" s="57">
        <v>0.4</v>
      </c>
      <c r="L37" s="57">
        <v>0</v>
      </c>
      <c r="M37" s="95">
        <f>M19</f>
        <v>0.1</v>
      </c>
      <c r="N37" s="57">
        <v>0.1</v>
      </c>
      <c r="O37" s="57">
        <v>0.5</v>
      </c>
      <c r="P37" s="57">
        <v>0.1</v>
      </c>
      <c r="Q37" s="95">
        <f>Q19</f>
        <v>0.3</v>
      </c>
      <c r="R37" s="57">
        <v>0</v>
      </c>
      <c r="S37" s="57">
        <v>0.1</v>
      </c>
      <c r="T37" s="57">
        <v>0.1</v>
      </c>
      <c r="U37" s="57">
        <v>0.1</v>
      </c>
      <c r="V37" s="95">
        <f>V19</f>
        <v>0.1</v>
      </c>
      <c r="Y37" s="89" t="s">
        <v>36</v>
      </c>
      <c r="Z37" s="89" t="s">
        <v>191</v>
      </c>
    </row>
    <row r="38" spans="1:26">
      <c r="A38">
        <v>1</v>
      </c>
      <c r="B38" t="str">
        <f>VLOOKUP(F38,'TRA balance'!$BA$5:$BB$14,2,FALSE)</f>
        <v>TRAHFO</v>
      </c>
      <c r="C38" s="58"/>
      <c r="D38" s="58"/>
      <c r="E38" s="59" t="s">
        <v>199</v>
      </c>
      <c r="F38" s="60" t="str">
        <f t="shared" si="16"/>
        <v>Heavy Fuel Oil</v>
      </c>
      <c r="G38" s="58"/>
      <c r="H38" s="59" t="str">
        <f t="shared" ref="H38:V38" si="17">IF(SUM(H36:H37)=1,"-","&lt;&gt;1!!")</f>
        <v>-</v>
      </c>
      <c r="I38" s="59" t="str">
        <f t="shared" si="17"/>
        <v>-</v>
      </c>
      <c r="J38" s="59" t="str">
        <f t="shared" si="17"/>
        <v>-</v>
      </c>
      <c r="K38" s="59" t="str">
        <f t="shared" si="17"/>
        <v>-</v>
      </c>
      <c r="L38" s="59" t="str">
        <f t="shared" si="17"/>
        <v>-</v>
      </c>
      <c r="M38" s="59" t="str">
        <f t="shared" si="17"/>
        <v>-</v>
      </c>
      <c r="N38" s="59" t="str">
        <f t="shared" si="17"/>
        <v>-</v>
      </c>
      <c r="O38" s="59" t="str">
        <f t="shared" si="17"/>
        <v>-</v>
      </c>
      <c r="P38" s="59" t="str">
        <f t="shared" si="17"/>
        <v>-</v>
      </c>
      <c r="Q38" s="59" t="str">
        <f t="shared" si="17"/>
        <v>-</v>
      </c>
      <c r="R38" s="59" t="str">
        <f t="shared" si="17"/>
        <v>-</v>
      </c>
      <c r="S38" s="59" t="str">
        <f t="shared" si="17"/>
        <v>-</v>
      </c>
      <c r="T38" s="59" t="str">
        <f t="shared" si="17"/>
        <v>-</v>
      </c>
      <c r="U38" s="59" t="str">
        <f t="shared" si="17"/>
        <v>-</v>
      </c>
      <c r="V38" s="59" t="str">
        <f t="shared" si="17"/>
        <v>-</v>
      </c>
      <c r="Y38" s="89" t="s">
        <v>37</v>
      </c>
      <c r="Z38" s="89" t="s">
        <v>183</v>
      </c>
    </row>
    <row r="39" spans="1:26">
      <c r="A39">
        <v>1</v>
      </c>
      <c r="B39" t="str">
        <f>VLOOKUP(F39,'TRA balance'!$BA$5:$BB$14,2,FALSE)</f>
        <v>TRALPG</v>
      </c>
      <c r="C39" s="62">
        <v>1</v>
      </c>
      <c r="D39" s="63" t="s">
        <v>200</v>
      </c>
      <c r="E39" s="63" t="s">
        <v>201</v>
      </c>
      <c r="F39" s="64" t="s">
        <v>73</v>
      </c>
      <c r="G39" s="62"/>
      <c r="H39" s="91">
        <v>0.6</v>
      </c>
      <c r="I39" s="91">
        <v>0.25</v>
      </c>
      <c r="J39" s="91">
        <v>0.9</v>
      </c>
      <c r="K39" s="91">
        <v>0.4</v>
      </c>
      <c r="L39" s="91">
        <v>0.5</v>
      </c>
      <c r="M39" s="91">
        <v>0.57</v>
      </c>
      <c r="N39" s="91">
        <v>0.57</v>
      </c>
      <c r="O39" s="91">
        <v>0.25</v>
      </c>
      <c r="P39" s="91">
        <v>0.57</v>
      </c>
      <c r="Q39" s="91">
        <v>0.6</v>
      </c>
      <c r="R39" s="91">
        <v>0.65</v>
      </c>
      <c r="S39" s="91">
        <v>0.7</v>
      </c>
      <c r="T39" s="91">
        <v>0.8</v>
      </c>
      <c r="U39" s="91">
        <v>0.719214717155623</v>
      </c>
      <c r="V39" s="91">
        <v>0.75</v>
      </c>
      <c r="Y39" s="89" t="s">
        <v>38</v>
      </c>
      <c r="Z39" s="89" t="s">
        <v>182</v>
      </c>
    </row>
    <row r="40" spans="1:26">
      <c r="A40">
        <v>1</v>
      </c>
      <c r="B40" t="str">
        <f>VLOOKUP(F40,'TRA balance'!$BA$5:$BB$14,2,FALSE)</f>
        <v>TRALPG</v>
      </c>
      <c r="C40" s="54" t="str">
        <f t="shared" si="0"/>
        <v>TR</v>
      </c>
      <c r="D40" s="55" t="s">
        <v>200</v>
      </c>
      <c r="E40" s="66" t="s">
        <v>202</v>
      </c>
      <c r="F40" s="56" t="str">
        <f>F39</f>
        <v>Liquified Petroleum Gases</v>
      </c>
      <c r="G40" s="54" t="s">
        <v>203</v>
      </c>
      <c r="H40" s="57">
        <v>0.7</v>
      </c>
      <c r="I40" s="57">
        <v>0.5</v>
      </c>
      <c r="J40" s="57">
        <v>0.626</v>
      </c>
      <c r="K40" s="57">
        <v>0.67</v>
      </c>
      <c r="L40" s="57">
        <v>0.67</v>
      </c>
      <c r="M40" s="57">
        <v>0.67</v>
      </c>
      <c r="N40" s="57">
        <v>0.67</v>
      </c>
      <c r="O40" s="57">
        <v>0.5</v>
      </c>
      <c r="P40" s="57">
        <v>0.67</v>
      </c>
      <c r="Q40" s="57">
        <v>0.7</v>
      </c>
      <c r="R40" s="57">
        <v>0.2</v>
      </c>
      <c r="S40" s="57">
        <v>0.67</v>
      </c>
      <c r="T40" s="57">
        <v>0.6</v>
      </c>
      <c r="U40" s="57">
        <v>0.349711576769288</v>
      </c>
      <c r="V40" s="57">
        <v>0.626</v>
      </c>
      <c r="Y40" s="89"/>
      <c r="Z40" s="89"/>
    </row>
    <row r="41" spans="1:26">
      <c r="A41">
        <v>1</v>
      </c>
      <c r="B41" t="str">
        <f>VLOOKUP(F41,'TRA balance'!$BA$5:$BB$14,2,FALSE)</f>
        <v>TRALPG</v>
      </c>
      <c r="C41" s="54" t="str">
        <f t="shared" si="0"/>
        <v>TR</v>
      </c>
      <c r="D41" s="55" t="s">
        <v>200</v>
      </c>
      <c r="E41" s="66" t="s">
        <v>204</v>
      </c>
      <c r="F41" s="56" t="str">
        <f t="shared" ref="F41:F44" si="18">F40</f>
        <v>Liquified Petroleum Gases</v>
      </c>
      <c r="G41" s="54" t="s">
        <v>205</v>
      </c>
      <c r="H41" s="57">
        <v>0.3</v>
      </c>
      <c r="I41" s="57">
        <v>0.5</v>
      </c>
      <c r="J41" s="57">
        <v>0.374</v>
      </c>
      <c r="K41" s="57">
        <v>0.33</v>
      </c>
      <c r="L41" s="57">
        <v>0.33</v>
      </c>
      <c r="M41" s="57">
        <v>0.33</v>
      </c>
      <c r="N41" s="57">
        <v>0.33</v>
      </c>
      <c r="O41" s="57">
        <v>0.5</v>
      </c>
      <c r="P41" s="57">
        <v>0.33</v>
      </c>
      <c r="Q41" s="57">
        <v>0.3</v>
      </c>
      <c r="R41" s="57">
        <v>0.8</v>
      </c>
      <c r="S41" s="57">
        <v>0.33</v>
      </c>
      <c r="T41" s="57">
        <v>0.4</v>
      </c>
      <c r="U41" s="57">
        <v>0.650288423230712</v>
      </c>
      <c r="V41" s="57">
        <v>0.374</v>
      </c>
      <c r="Y41" s="89"/>
      <c r="Z41" s="89"/>
    </row>
    <row r="42" spans="1:26">
      <c r="A42">
        <v>1</v>
      </c>
      <c r="B42" t="str">
        <f>VLOOKUP(F42,'TRA balance'!$BA$5:$BB$14,2,FALSE)</f>
        <v>TRALPG</v>
      </c>
      <c r="C42" s="54" t="str">
        <f t="shared" si="0"/>
        <v/>
      </c>
      <c r="D42" s="55"/>
      <c r="E42" s="67" t="s">
        <v>210</v>
      </c>
      <c r="F42" s="56" t="str">
        <f t="shared" si="18"/>
        <v>Liquified Petroleum Gases</v>
      </c>
      <c r="G42" s="54"/>
      <c r="H42" s="67" t="str">
        <f>IF(SUM(H40:H41)=1,"-","&lt;&gt;1!!")</f>
        <v>-</v>
      </c>
      <c r="I42" s="67" t="str">
        <f t="shared" ref="I42:V42" si="19">IF(SUM(I40:I41)=1,"-","&lt;&gt;1!!")</f>
        <v>-</v>
      </c>
      <c r="J42" s="67" t="str">
        <f t="shared" si="19"/>
        <v>-</v>
      </c>
      <c r="K42" s="67" t="str">
        <f t="shared" si="19"/>
        <v>-</v>
      </c>
      <c r="L42" s="67" t="str">
        <f t="shared" si="19"/>
        <v>-</v>
      </c>
      <c r="M42" s="67" t="str">
        <f t="shared" si="19"/>
        <v>-</v>
      </c>
      <c r="N42" s="67" t="str">
        <f t="shared" si="19"/>
        <v>-</v>
      </c>
      <c r="O42" s="67" t="str">
        <f t="shared" si="19"/>
        <v>-</v>
      </c>
      <c r="P42" s="67" t="str">
        <f t="shared" si="19"/>
        <v>-</v>
      </c>
      <c r="Q42" s="67" t="str">
        <f t="shared" si="19"/>
        <v>-</v>
      </c>
      <c r="R42" s="67" t="str">
        <f t="shared" si="19"/>
        <v>-</v>
      </c>
      <c r="S42" s="67" t="str">
        <f t="shared" si="19"/>
        <v>-</v>
      </c>
      <c r="T42" s="67" t="str">
        <f t="shared" si="19"/>
        <v>-</v>
      </c>
      <c r="U42" s="67" t="str">
        <f t="shared" si="19"/>
        <v>-</v>
      </c>
      <c r="V42" s="67" t="str">
        <f t="shared" si="19"/>
        <v>-</v>
      </c>
      <c r="Y42" s="89"/>
      <c r="Z42" s="89"/>
    </row>
    <row r="43" spans="1:26">
      <c r="A43">
        <v>1</v>
      </c>
      <c r="B43" t="str">
        <f>VLOOKUP(F43,'TRA balance'!$BA$5:$BB$14,2,FALSE)</f>
        <v>TRALPG</v>
      </c>
      <c r="C43" s="62">
        <v>2</v>
      </c>
      <c r="D43" s="63" t="s">
        <v>200</v>
      </c>
      <c r="E43" s="63" t="s">
        <v>211</v>
      </c>
      <c r="F43" s="64" t="str">
        <f t="shared" si="18"/>
        <v>Liquified Petroleum Gases</v>
      </c>
      <c r="G43" s="62"/>
      <c r="H43" s="68">
        <f t="shared" ref="H43:V43" si="20">1-H39</f>
        <v>0.4</v>
      </c>
      <c r="I43" s="68">
        <f t="shared" si="20"/>
        <v>0.75</v>
      </c>
      <c r="J43" s="68">
        <f t="shared" si="20"/>
        <v>0.1</v>
      </c>
      <c r="K43" s="68">
        <f t="shared" si="20"/>
        <v>0.6</v>
      </c>
      <c r="L43" s="68">
        <f t="shared" si="20"/>
        <v>0.5</v>
      </c>
      <c r="M43" s="68">
        <f t="shared" si="20"/>
        <v>0.43</v>
      </c>
      <c r="N43" s="68">
        <f t="shared" si="20"/>
        <v>0.43</v>
      </c>
      <c r="O43" s="68">
        <f t="shared" si="20"/>
        <v>0.75</v>
      </c>
      <c r="P43" s="68">
        <f t="shared" si="20"/>
        <v>0.43</v>
      </c>
      <c r="Q43" s="68">
        <f t="shared" si="20"/>
        <v>0.4</v>
      </c>
      <c r="R43" s="68">
        <f t="shared" si="20"/>
        <v>0.35</v>
      </c>
      <c r="S43" s="68">
        <f t="shared" si="20"/>
        <v>0.3</v>
      </c>
      <c r="T43" s="68">
        <f t="shared" si="20"/>
        <v>0.2</v>
      </c>
      <c r="U43" s="68">
        <f t="shared" si="20"/>
        <v>0.280785282844377</v>
      </c>
      <c r="V43" s="68">
        <f t="shared" si="20"/>
        <v>0.25</v>
      </c>
      <c r="Y43" s="89"/>
      <c r="Z43" s="89"/>
    </row>
    <row r="44" spans="1:26">
      <c r="A44">
        <v>2</v>
      </c>
      <c r="B44" t="str">
        <f>VLOOKUP(F44,'TRA balance'!$BA$5:$BB$14,2,FALSE)</f>
        <v>TRALPG</v>
      </c>
      <c r="C44" s="54" t="str">
        <f t="shared" si="0"/>
        <v>TR</v>
      </c>
      <c r="D44" s="55" t="s">
        <v>200</v>
      </c>
      <c r="E44" s="66" t="s">
        <v>212</v>
      </c>
      <c r="F44" s="56" t="str">
        <f t="shared" si="18"/>
        <v>Liquified Petroleum Gases</v>
      </c>
      <c r="G44" s="54" t="s">
        <v>213</v>
      </c>
      <c r="H44" s="57">
        <v>0.3</v>
      </c>
      <c r="I44" s="57">
        <v>0.8</v>
      </c>
      <c r="J44" s="57">
        <v>0</v>
      </c>
      <c r="K44" s="57">
        <v>0.8</v>
      </c>
      <c r="L44" s="57">
        <v>1</v>
      </c>
      <c r="M44" s="57">
        <v>0</v>
      </c>
      <c r="N44" s="57">
        <v>0</v>
      </c>
      <c r="O44" s="57">
        <v>0.8</v>
      </c>
      <c r="P44" s="57">
        <v>0</v>
      </c>
      <c r="Q44" s="57">
        <v>0.3</v>
      </c>
      <c r="R44" s="57">
        <v>0.8</v>
      </c>
      <c r="S44" s="57">
        <v>0.7</v>
      </c>
      <c r="T44" s="57">
        <v>0</v>
      </c>
      <c r="U44" s="57">
        <v>0.02</v>
      </c>
      <c r="V44" s="57">
        <v>0</v>
      </c>
      <c r="Y44" s="89"/>
      <c r="Z44" s="89"/>
    </row>
    <row r="45" spans="1:26">
      <c r="A45">
        <v>2</v>
      </c>
      <c r="B45" t="str">
        <f>VLOOKUP(F45,'TRA balance'!$BA$5:$BB$14,2,FALSE)</f>
        <v>TRALPG</v>
      </c>
      <c r="C45" s="54" t="str">
        <f t="shared" si="0"/>
        <v>TR</v>
      </c>
      <c r="D45" s="55" t="s">
        <v>200</v>
      </c>
      <c r="E45" s="66" t="s">
        <v>214</v>
      </c>
      <c r="F45" s="56" t="str">
        <f t="shared" ref="F45:F51" si="21">F44</f>
        <v>Liquified Petroleum Gases</v>
      </c>
      <c r="G45" s="54" t="s">
        <v>215</v>
      </c>
      <c r="H45" s="57">
        <v>0</v>
      </c>
      <c r="I45" s="57">
        <v>0</v>
      </c>
      <c r="J45" s="57">
        <v>0</v>
      </c>
      <c r="K45" s="57">
        <v>0</v>
      </c>
      <c r="L45" s="57">
        <v>0</v>
      </c>
      <c r="M45" s="57">
        <v>0</v>
      </c>
      <c r="N45" s="57">
        <v>0</v>
      </c>
      <c r="O45" s="57">
        <v>0</v>
      </c>
      <c r="P45" s="57">
        <v>0</v>
      </c>
      <c r="Q45" s="57">
        <v>0</v>
      </c>
      <c r="R45" s="57">
        <v>0</v>
      </c>
      <c r="S45" s="57">
        <v>0</v>
      </c>
      <c r="T45" s="57">
        <v>0</v>
      </c>
      <c r="U45" s="57">
        <v>0</v>
      </c>
      <c r="V45" s="57">
        <v>0</v>
      </c>
      <c r="Y45" s="89"/>
      <c r="Z45" s="89"/>
    </row>
    <row r="46" spans="1:26">
      <c r="A46">
        <v>2</v>
      </c>
      <c r="B46" t="str">
        <f>VLOOKUP(F46,'TRA balance'!$BA$5:$BB$14,2,FALSE)</f>
        <v>TRALPG</v>
      </c>
      <c r="C46" s="54" t="str">
        <f t="shared" si="0"/>
        <v>TR</v>
      </c>
      <c r="D46" s="55" t="s">
        <v>200</v>
      </c>
      <c r="E46" s="66" t="s">
        <v>216</v>
      </c>
      <c r="F46" s="56" t="str">
        <f t="shared" si="21"/>
        <v>Liquified Petroleum Gases</v>
      </c>
      <c r="G46" s="54" t="s">
        <v>217</v>
      </c>
      <c r="H46" s="57">
        <v>0</v>
      </c>
      <c r="I46" s="57">
        <v>0</v>
      </c>
      <c r="J46" s="57">
        <v>0</v>
      </c>
      <c r="K46" s="57">
        <v>0</v>
      </c>
      <c r="L46" s="57">
        <v>0</v>
      </c>
      <c r="M46" s="57">
        <v>0</v>
      </c>
      <c r="N46" s="57">
        <v>0</v>
      </c>
      <c r="O46" s="57">
        <v>0</v>
      </c>
      <c r="P46" s="57">
        <v>0</v>
      </c>
      <c r="Q46" s="57">
        <v>0</v>
      </c>
      <c r="R46" s="57">
        <v>0</v>
      </c>
      <c r="S46" s="57">
        <v>0</v>
      </c>
      <c r="T46" s="57">
        <v>0</v>
      </c>
      <c r="U46" s="57">
        <v>0</v>
      </c>
      <c r="V46" s="57">
        <v>0</v>
      </c>
      <c r="Y46" s="89"/>
      <c r="Z46" s="89"/>
    </row>
    <row r="47" spans="1:26">
      <c r="A47">
        <v>2</v>
      </c>
      <c r="B47" t="str">
        <f>VLOOKUP(F47,'TRA balance'!$BA$5:$BB$14,2,FALSE)</f>
        <v>TRALPG</v>
      </c>
      <c r="C47" s="54" t="str">
        <f t="shared" si="0"/>
        <v>TR</v>
      </c>
      <c r="D47" s="55" t="s">
        <v>200</v>
      </c>
      <c r="E47" s="66" t="s">
        <v>218</v>
      </c>
      <c r="F47" s="56" t="str">
        <f t="shared" si="21"/>
        <v>Liquified Petroleum Gases</v>
      </c>
      <c r="G47" s="54" t="s">
        <v>219</v>
      </c>
      <c r="H47" s="57">
        <f>1-SUM(H44:H46)</f>
        <v>0.7</v>
      </c>
      <c r="I47" s="57">
        <f t="shared" ref="I47:V47" si="22">1-SUM(I44:I46)</f>
        <v>0.2</v>
      </c>
      <c r="J47" s="57">
        <f t="shared" si="22"/>
        <v>1</v>
      </c>
      <c r="K47" s="57">
        <f t="shared" si="22"/>
        <v>0.2</v>
      </c>
      <c r="L47" s="57">
        <f t="shared" si="22"/>
        <v>0</v>
      </c>
      <c r="M47" s="57">
        <f t="shared" si="22"/>
        <v>1</v>
      </c>
      <c r="N47" s="57">
        <f t="shared" si="22"/>
        <v>1</v>
      </c>
      <c r="O47" s="57">
        <f t="shared" si="22"/>
        <v>0.2</v>
      </c>
      <c r="P47" s="57">
        <f t="shared" si="22"/>
        <v>1</v>
      </c>
      <c r="Q47" s="57">
        <f t="shared" si="22"/>
        <v>0.7</v>
      </c>
      <c r="R47" s="57">
        <f t="shared" si="22"/>
        <v>0.2</v>
      </c>
      <c r="S47" s="57">
        <f t="shared" si="22"/>
        <v>0.3</v>
      </c>
      <c r="T47" s="57">
        <f t="shared" si="22"/>
        <v>1</v>
      </c>
      <c r="U47" s="57">
        <f t="shared" si="22"/>
        <v>0.98</v>
      </c>
      <c r="V47" s="57">
        <f t="shared" si="22"/>
        <v>1</v>
      </c>
      <c r="Y47" s="89"/>
      <c r="Z47" s="89"/>
    </row>
    <row r="48" spans="1:26">
      <c r="A48">
        <v>1</v>
      </c>
      <c r="B48" t="str">
        <f>VLOOKUP(F48,'TRA balance'!$BA$5:$BB$14,2,FALSE)</f>
        <v>TRALPG</v>
      </c>
      <c r="C48" s="54" t="str">
        <f t="shared" si="0"/>
        <v/>
      </c>
      <c r="D48" s="55"/>
      <c r="E48" s="67" t="s">
        <v>220</v>
      </c>
      <c r="F48" s="56" t="str">
        <f t="shared" si="21"/>
        <v>Liquified Petroleum Gases</v>
      </c>
      <c r="G48" s="54"/>
      <c r="H48" s="69" t="str">
        <f>IF(SUM(H44:H47)=1,"-",SUM(H44:H47))</f>
        <v>-</v>
      </c>
      <c r="I48" s="69" t="str">
        <f t="shared" ref="I48:V48" si="23">IF(SUM(I44:I47)=1,"-",SUM(I44:I47))</f>
        <v>-</v>
      </c>
      <c r="J48" s="69" t="str">
        <f t="shared" si="23"/>
        <v>-</v>
      </c>
      <c r="K48" s="69" t="str">
        <f t="shared" si="23"/>
        <v>-</v>
      </c>
      <c r="L48" s="69" t="str">
        <f t="shared" si="23"/>
        <v>-</v>
      </c>
      <c r="M48" s="69" t="str">
        <f t="shared" si="23"/>
        <v>-</v>
      </c>
      <c r="N48" s="69" t="str">
        <f t="shared" si="23"/>
        <v>-</v>
      </c>
      <c r="O48" s="69" t="str">
        <f t="shared" si="23"/>
        <v>-</v>
      </c>
      <c r="P48" s="69" t="str">
        <f t="shared" si="23"/>
        <v>-</v>
      </c>
      <c r="Q48" s="69" t="str">
        <f t="shared" si="23"/>
        <v>-</v>
      </c>
      <c r="R48" s="69" t="str">
        <f t="shared" si="23"/>
        <v>-</v>
      </c>
      <c r="S48" s="69" t="str">
        <f t="shared" si="23"/>
        <v>-</v>
      </c>
      <c r="T48" s="69" t="str">
        <f t="shared" si="23"/>
        <v>-</v>
      </c>
      <c r="U48" s="69" t="str">
        <f t="shared" si="23"/>
        <v>-</v>
      </c>
      <c r="V48" s="69" t="str">
        <f t="shared" si="23"/>
        <v>-</v>
      </c>
      <c r="Y48" s="89"/>
      <c r="Z48" s="89"/>
    </row>
    <row r="49" spans="1:26">
      <c r="A49">
        <v>1</v>
      </c>
      <c r="B49" t="str">
        <f>VLOOKUP(F49,'TRA balance'!$BA$5:$BB$14,2,FALSE)</f>
        <v>TRALPG</v>
      </c>
      <c r="C49" s="54" t="str">
        <f t="shared" si="0"/>
        <v>TT</v>
      </c>
      <c r="D49" s="55" t="s">
        <v>192</v>
      </c>
      <c r="E49" s="55" t="s">
        <v>193</v>
      </c>
      <c r="F49" s="56" t="str">
        <f t="shared" si="21"/>
        <v>Liquified Petroleum Gases</v>
      </c>
      <c r="G49" s="54" t="s">
        <v>194</v>
      </c>
      <c r="H49" s="57">
        <v>1</v>
      </c>
      <c r="I49" s="57">
        <v>0.5</v>
      </c>
      <c r="J49" s="57">
        <v>1</v>
      </c>
      <c r="K49" s="57">
        <v>0.5</v>
      </c>
      <c r="L49" s="57">
        <v>1</v>
      </c>
      <c r="M49" s="57">
        <v>1</v>
      </c>
      <c r="N49" s="57">
        <v>1</v>
      </c>
      <c r="O49" s="95">
        <v>0.5</v>
      </c>
      <c r="P49" s="57">
        <v>0.07</v>
      </c>
      <c r="Q49" s="57">
        <v>1</v>
      </c>
      <c r="R49" s="57">
        <v>0.98</v>
      </c>
      <c r="S49" s="57">
        <v>0.5</v>
      </c>
      <c r="T49" s="57">
        <v>0.5</v>
      </c>
      <c r="U49" s="57">
        <v>0.5</v>
      </c>
      <c r="V49" s="57">
        <v>1</v>
      </c>
      <c r="Y49" s="89"/>
      <c r="Z49" s="89"/>
    </row>
    <row r="50" spans="1:26">
      <c r="A50">
        <v>1</v>
      </c>
      <c r="B50" t="str">
        <f>VLOOKUP(F50,'TRA balance'!$BA$5:$BB$14,2,FALSE)</f>
        <v>TRALPG</v>
      </c>
      <c r="C50" s="54" t="str">
        <f t="shared" si="0"/>
        <v>TT</v>
      </c>
      <c r="D50" s="55" t="s">
        <v>192</v>
      </c>
      <c r="E50" s="55" t="s">
        <v>197</v>
      </c>
      <c r="F50" s="56" t="str">
        <f t="shared" si="21"/>
        <v>Liquified Petroleum Gases</v>
      </c>
      <c r="G50" s="54" t="s">
        <v>198</v>
      </c>
      <c r="H50" s="57">
        <v>0</v>
      </c>
      <c r="I50" s="57">
        <v>0.5</v>
      </c>
      <c r="J50" s="57">
        <v>0</v>
      </c>
      <c r="K50" s="57">
        <v>0.5</v>
      </c>
      <c r="L50" s="57">
        <v>0</v>
      </c>
      <c r="M50" s="57">
        <v>0</v>
      </c>
      <c r="N50" s="57">
        <v>0</v>
      </c>
      <c r="O50" s="95">
        <v>0.5</v>
      </c>
      <c r="P50" s="57">
        <v>0.93</v>
      </c>
      <c r="Q50" s="57">
        <v>0</v>
      </c>
      <c r="R50" s="57">
        <v>0.02</v>
      </c>
      <c r="S50" s="57">
        <v>0.5</v>
      </c>
      <c r="T50" s="57">
        <v>0.5</v>
      </c>
      <c r="U50" s="57">
        <v>0.5</v>
      </c>
      <c r="V50" s="57">
        <v>0</v>
      </c>
      <c r="Y50" s="89"/>
      <c r="Z50" s="89"/>
    </row>
    <row r="51" spans="1:26">
      <c r="A51">
        <v>1</v>
      </c>
      <c r="B51" t="str">
        <f>VLOOKUP(F51,'TRA balance'!$BA$5:$BB$14,2,FALSE)</f>
        <v>TRALPG</v>
      </c>
      <c r="C51" s="58"/>
      <c r="D51" s="58"/>
      <c r="E51" s="59" t="s">
        <v>199</v>
      </c>
      <c r="F51" s="60" t="str">
        <f t="shared" si="21"/>
        <v>Liquified Petroleum Gases</v>
      </c>
      <c r="G51" s="58"/>
      <c r="H51" s="59" t="str">
        <f t="shared" ref="H51:V51" si="24">IF(SUM(H49:H50)=1,"-","&lt;&gt;1!!")</f>
        <v>-</v>
      </c>
      <c r="I51" s="59" t="str">
        <f t="shared" si="24"/>
        <v>-</v>
      </c>
      <c r="J51" s="59" t="str">
        <f t="shared" si="24"/>
        <v>-</v>
      </c>
      <c r="K51" s="59" t="str">
        <f t="shared" si="24"/>
        <v>-</v>
      </c>
      <c r="L51" s="59" t="str">
        <f t="shared" si="24"/>
        <v>-</v>
      </c>
      <c r="M51" s="59" t="str">
        <f t="shared" si="24"/>
        <v>-</v>
      </c>
      <c r="N51" s="59" t="str">
        <f t="shared" si="24"/>
        <v>-</v>
      </c>
      <c r="O51" s="59" t="str">
        <f t="shared" si="24"/>
        <v>-</v>
      </c>
      <c r="P51" s="59" t="str">
        <f t="shared" si="24"/>
        <v>-</v>
      </c>
      <c r="Q51" s="59" t="str">
        <f t="shared" si="24"/>
        <v>-</v>
      </c>
      <c r="R51" s="59" t="str">
        <f t="shared" si="24"/>
        <v>-</v>
      </c>
      <c r="S51" s="59" t="str">
        <f t="shared" si="24"/>
        <v>-</v>
      </c>
      <c r="T51" s="59" t="str">
        <f t="shared" si="24"/>
        <v>-</v>
      </c>
      <c r="U51" s="59" t="str">
        <f t="shared" si="24"/>
        <v>-</v>
      </c>
      <c r="V51" s="59" t="str">
        <f t="shared" si="24"/>
        <v>-</v>
      </c>
      <c r="Y51" s="89"/>
      <c r="Z51" s="89"/>
    </row>
    <row r="52" spans="1:26">
      <c r="A52">
        <v>1</v>
      </c>
      <c r="B52" t="str">
        <f>VLOOKUP(F52,'TRA balance'!$BA$5:$BB$14,2,FALSE)</f>
        <v>TRANGA</v>
      </c>
      <c r="C52" s="62">
        <v>1</v>
      </c>
      <c r="D52" s="63" t="s">
        <v>200</v>
      </c>
      <c r="E52" s="63" t="s">
        <v>201</v>
      </c>
      <c r="F52" s="64" t="s">
        <v>77</v>
      </c>
      <c r="G52" s="62"/>
      <c r="H52" s="91">
        <v>0.25</v>
      </c>
      <c r="I52" s="91">
        <v>0.25</v>
      </c>
      <c r="J52" s="91">
        <v>0.682</v>
      </c>
      <c r="K52" s="91">
        <v>0.4</v>
      </c>
      <c r="L52" s="91">
        <v>0.5</v>
      </c>
      <c r="M52" s="91">
        <v>0</v>
      </c>
      <c r="N52" s="91">
        <v>0.7</v>
      </c>
      <c r="O52" s="91">
        <v>0.25</v>
      </c>
      <c r="P52" s="91">
        <v>0.95</v>
      </c>
      <c r="Q52" s="96">
        <f>V52</f>
        <v>0.682</v>
      </c>
      <c r="R52" s="91">
        <v>0.55</v>
      </c>
      <c r="S52" s="91">
        <v>0.9</v>
      </c>
      <c r="T52" s="91">
        <v>1</v>
      </c>
      <c r="U52" s="91">
        <v>0.97916979455979</v>
      </c>
      <c r="V52" s="91">
        <v>0.682</v>
      </c>
      <c r="Y52" s="89"/>
      <c r="Z52" s="89"/>
    </row>
    <row r="53" spans="1:26">
      <c r="A53">
        <v>1</v>
      </c>
      <c r="B53" t="str">
        <f>VLOOKUP(F53,'TRA balance'!$BA$5:$BB$14,2,FALSE)</f>
        <v>TRANGA</v>
      </c>
      <c r="C53" s="54" t="str">
        <f t="shared" si="0"/>
        <v>TR</v>
      </c>
      <c r="D53" s="55" t="s">
        <v>200</v>
      </c>
      <c r="E53" s="66" t="s">
        <v>202</v>
      </c>
      <c r="F53" s="56" t="str">
        <f>F52</f>
        <v>Natural Gas</v>
      </c>
      <c r="G53" s="54" t="s">
        <v>203</v>
      </c>
      <c r="H53" s="57">
        <v>0.5</v>
      </c>
      <c r="I53" s="57">
        <v>0.5</v>
      </c>
      <c r="J53" s="57">
        <v>0.92</v>
      </c>
      <c r="K53" s="57">
        <v>0.67</v>
      </c>
      <c r="L53" s="57">
        <v>0.6</v>
      </c>
      <c r="M53" s="95">
        <f>V53</f>
        <v>0.92</v>
      </c>
      <c r="N53" s="57">
        <v>0.8</v>
      </c>
      <c r="O53" s="57">
        <v>0.5</v>
      </c>
      <c r="P53" s="57">
        <v>0.8</v>
      </c>
      <c r="Q53" s="95">
        <f>V53</f>
        <v>0.92</v>
      </c>
      <c r="R53" s="57">
        <v>0.2</v>
      </c>
      <c r="S53" s="57">
        <v>0.8</v>
      </c>
      <c r="T53" s="57">
        <v>0.6</v>
      </c>
      <c r="U53" s="57">
        <v>0.523697274532045</v>
      </c>
      <c r="V53" s="57">
        <v>0.92</v>
      </c>
      <c r="Y53" s="89"/>
      <c r="Z53" s="89"/>
    </row>
    <row r="54" spans="1:26">
      <c r="A54">
        <v>1</v>
      </c>
      <c r="B54" t="str">
        <f>VLOOKUP(F54,'TRA balance'!$BA$5:$BB$14,2,FALSE)</f>
        <v>TRANGA</v>
      </c>
      <c r="C54" s="54" t="str">
        <f t="shared" si="0"/>
        <v>TR</v>
      </c>
      <c r="D54" s="55" t="s">
        <v>200</v>
      </c>
      <c r="E54" s="66" t="s">
        <v>204</v>
      </c>
      <c r="F54" s="56" t="str">
        <f t="shared" ref="F54:F57" si="25">F53</f>
        <v>Natural Gas</v>
      </c>
      <c r="G54" s="54" t="s">
        <v>205</v>
      </c>
      <c r="H54" s="57">
        <v>0.5</v>
      </c>
      <c r="I54" s="57">
        <v>0.5</v>
      </c>
      <c r="J54" s="57">
        <v>0.08</v>
      </c>
      <c r="K54" s="57">
        <v>0.33</v>
      </c>
      <c r="L54" s="57">
        <v>0.4</v>
      </c>
      <c r="M54" s="95">
        <f t="shared" ref="M54" si="26">V54</f>
        <v>0.08</v>
      </c>
      <c r="N54" s="57">
        <v>0.2</v>
      </c>
      <c r="O54" s="57">
        <v>0.5</v>
      </c>
      <c r="P54" s="57">
        <v>0.2</v>
      </c>
      <c r="Q54" s="95">
        <f t="shared" ref="Q54" si="27">V54</f>
        <v>0.08</v>
      </c>
      <c r="R54" s="57">
        <v>0.8</v>
      </c>
      <c r="S54" s="57">
        <v>0.2</v>
      </c>
      <c r="T54" s="57">
        <v>0.4</v>
      </c>
      <c r="U54" s="57">
        <v>0.476302725467955</v>
      </c>
      <c r="V54" s="57">
        <v>0.08</v>
      </c>
      <c r="Y54" s="89"/>
      <c r="Z54" s="89"/>
    </row>
    <row r="55" spans="1:26">
      <c r="A55">
        <v>1</v>
      </c>
      <c r="B55" t="str">
        <f>VLOOKUP(F55,'TRA balance'!$BA$5:$BB$14,2,FALSE)</f>
        <v>TRANGA</v>
      </c>
      <c r="C55" s="54" t="str">
        <f t="shared" si="0"/>
        <v/>
      </c>
      <c r="D55" s="55"/>
      <c r="E55" s="67" t="s">
        <v>210</v>
      </c>
      <c r="F55" s="56" t="str">
        <f t="shared" si="25"/>
        <v>Natural Gas</v>
      </c>
      <c r="G55" s="54"/>
      <c r="H55" s="67" t="str">
        <f>IF(SUM(H53:H54)=1,"-","&lt;&gt;1!!")</f>
        <v>-</v>
      </c>
      <c r="I55" s="67" t="str">
        <f t="shared" ref="I55:V55" si="28">IF(SUM(I53:I54)=1,"-","&lt;&gt;1!!")</f>
        <v>-</v>
      </c>
      <c r="J55" s="67" t="str">
        <f t="shared" si="28"/>
        <v>-</v>
      </c>
      <c r="K55" s="67" t="str">
        <f t="shared" si="28"/>
        <v>-</v>
      </c>
      <c r="L55" s="67" t="str">
        <f t="shared" si="28"/>
        <v>-</v>
      </c>
      <c r="M55" s="67" t="str">
        <f t="shared" si="28"/>
        <v>-</v>
      </c>
      <c r="N55" s="67" t="str">
        <f t="shared" si="28"/>
        <v>-</v>
      </c>
      <c r="O55" s="67" t="str">
        <f t="shared" si="28"/>
        <v>-</v>
      </c>
      <c r="P55" s="67" t="str">
        <f t="shared" si="28"/>
        <v>-</v>
      </c>
      <c r="Q55" s="67" t="str">
        <f t="shared" si="28"/>
        <v>-</v>
      </c>
      <c r="R55" s="67" t="str">
        <f t="shared" si="28"/>
        <v>-</v>
      </c>
      <c r="S55" s="67" t="str">
        <f t="shared" si="28"/>
        <v>-</v>
      </c>
      <c r="T55" s="67" t="str">
        <f t="shared" si="28"/>
        <v>-</v>
      </c>
      <c r="U55" s="67" t="str">
        <f t="shared" si="28"/>
        <v>-</v>
      </c>
      <c r="V55" s="67" t="str">
        <f t="shared" si="28"/>
        <v>-</v>
      </c>
      <c r="Y55" s="89"/>
      <c r="Z55" s="89"/>
    </row>
    <row r="56" spans="1:26">
      <c r="A56">
        <v>1</v>
      </c>
      <c r="B56" t="str">
        <f>VLOOKUP(F56,'TRA balance'!$BA$5:$BB$14,2,FALSE)</f>
        <v>TRANGA</v>
      </c>
      <c r="C56" s="62">
        <v>2</v>
      </c>
      <c r="D56" s="63" t="s">
        <v>200</v>
      </c>
      <c r="E56" s="63" t="s">
        <v>211</v>
      </c>
      <c r="F56" s="64" t="str">
        <f t="shared" si="25"/>
        <v>Natural Gas</v>
      </c>
      <c r="G56" s="62"/>
      <c r="H56" s="68">
        <f t="shared" ref="H56:V56" si="29">1-H52</f>
        <v>0.75</v>
      </c>
      <c r="I56" s="68">
        <f t="shared" si="29"/>
        <v>0.75</v>
      </c>
      <c r="J56" s="68">
        <f t="shared" si="29"/>
        <v>0.318</v>
      </c>
      <c r="K56" s="68">
        <f t="shared" si="29"/>
        <v>0.6</v>
      </c>
      <c r="L56" s="68">
        <f t="shared" si="29"/>
        <v>0.5</v>
      </c>
      <c r="M56" s="68">
        <f t="shared" si="29"/>
        <v>1</v>
      </c>
      <c r="N56" s="68">
        <f t="shared" si="29"/>
        <v>0.3</v>
      </c>
      <c r="O56" s="68">
        <f t="shared" si="29"/>
        <v>0.75</v>
      </c>
      <c r="P56" s="68">
        <f t="shared" si="29"/>
        <v>0.05</v>
      </c>
      <c r="Q56" s="68">
        <f t="shared" si="29"/>
        <v>0.318</v>
      </c>
      <c r="R56" s="68">
        <f t="shared" si="29"/>
        <v>0.45</v>
      </c>
      <c r="S56" s="68">
        <f t="shared" si="29"/>
        <v>0.1</v>
      </c>
      <c r="T56" s="68">
        <f t="shared" si="29"/>
        <v>0</v>
      </c>
      <c r="U56" s="68">
        <f t="shared" si="29"/>
        <v>0.0208302054402097</v>
      </c>
      <c r="V56" s="68">
        <f t="shared" si="29"/>
        <v>0.318</v>
      </c>
      <c r="Y56" s="89"/>
      <c r="Z56" s="89"/>
    </row>
    <row r="57" spans="1:26">
      <c r="A57">
        <v>2</v>
      </c>
      <c r="B57" t="str">
        <f>VLOOKUP(F57,'TRA balance'!$BA$5:$BB$14,2,FALSE)</f>
        <v>TRANGA</v>
      </c>
      <c r="C57" s="54" t="str">
        <f t="shared" si="0"/>
        <v>TR</v>
      </c>
      <c r="D57" s="55" t="s">
        <v>200</v>
      </c>
      <c r="E57" s="66" t="s">
        <v>212</v>
      </c>
      <c r="F57" s="56" t="str">
        <f t="shared" si="25"/>
        <v>Natural Gas</v>
      </c>
      <c r="G57" s="54" t="s">
        <v>213</v>
      </c>
      <c r="H57" s="57">
        <v>0.8</v>
      </c>
      <c r="I57" s="57">
        <v>0.8</v>
      </c>
      <c r="J57" s="57">
        <v>1</v>
      </c>
      <c r="K57" s="57">
        <v>0.8</v>
      </c>
      <c r="L57" s="57">
        <v>0.6</v>
      </c>
      <c r="M57" s="95">
        <f>V57</f>
        <v>1</v>
      </c>
      <c r="N57" s="57">
        <v>0</v>
      </c>
      <c r="O57" s="57">
        <v>0.8</v>
      </c>
      <c r="P57" s="57">
        <v>0</v>
      </c>
      <c r="Q57" s="95">
        <f t="shared" ref="Q57" si="30">V57</f>
        <v>1</v>
      </c>
      <c r="R57" s="57">
        <v>0.8</v>
      </c>
      <c r="S57" s="57">
        <v>0.7</v>
      </c>
      <c r="T57" s="57">
        <v>0</v>
      </c>
      <c r="U57" s="57">
        <v>0.02</v>
      </c>
      <c r="V57" s="57">
        <v>1</v>
      </c>
      <c r="Y57" s="89"/>
      <c r="Z57" s="89"/>
    </row>
    <row r="58" spans="1:26">
      <c r="A58">
        <v>2</v>
      </c>
      <c r="B58" t="str">
        <f>VLOOKUP(F58,'TRA balance'!$BA$5:$BB$14,2,FALSE)</f>
        <v>TRANGA</v>
      </c>
      <c r="C58" s="54" t="str">
        <f t="shared" si="0"/>
        <v>TR</v>
      </c>
      <c r="D58" s="55" t="s">
        <v>200</v>
      </c>
      <c r="E58" s="66" t="s">
        <v>214</v>
      </c>
      <c r="F58" s="56" t="str">
        <f t="shared" ref="F58:F61" si="31">F57</f>
        <v>Natural Gas</v>
      </c>
      <c r="G58" s="54" t="s">
        <v>215</v>
      </c>
      <c r="H58" s="57">
        <v>0</v>
      </c>
      <c r="I58" s="57">
        <v>0</v>
      </c>
      <c r="J58" s="57">
        <v>0</v>
      </c>
      <c r="K58" s="57">
        <v>0</v>
      </c>
      <c r="L58" s="57">
        <v>0</v>
      </c>
      <c r="M58" s="57">
        <v>0</v>
      </c>
      <c r="N58" s="57">
        <v>0</v>
      </c>
      <c r="O58" s="57">
        <v>0</v>
      </c>
      <c r="P58" s="57">
        <v>0</v>
      </c>
      <c r="Q58" s="57">
        <v>0</v>
      </c>
      <c r="R58" s="57">
        <v>0</v>
      </c>
      <c r="S58" s="57">
        <v>0</v>
      </c>
      <c r="T58" s="57">
        <v>0</v>
      </c>
      <c r="U58" s="57">
        <v>0</v>
      </c>
      <c r="V58" s="57">
        <v>0</v>
      </c>
      <c r="Y58" s="89"/>
      <c r="Z58" s="89"/>
    </row>
    <row r="59" spans="1:26">
      <c r="A59">
        <v>2</v>
      </c>
      <c r="B59" t="str">
        <f>VLOOKUP(F59,'TRA balance'!$BA$5:$BB$14,2,FALSE)</f>
        <v>TRANGA</v>
      </c>
      <c r="C59" s="54" t="str">
        <f t="shared" si="0"/>
        <v>TR</v>
      </c>
      <c r="D59" s="55" t="s">
        <v>200</v>
      </c>
      <c r="E59" s="66" t="s">
        <v>216</v>
      </c>
      <c r="F59" s="56" t="str">
        <f t="shared" si="31"/>
        <v>Natural Gas</v>
      </c>
      <c r="G59" s="54" t="s">
        <v>217</v>
      </c>
      <c r="H59" s="57">
        <v>0</v>
      </c>
      <c r="I59" s="57">
        <v>0</v>
      </c>
      <c r="J59" s="57">
        <v>0</v>
      </c>
      <c r="K59" s="57">
        <v>0</v>
      </c>
      <c r="L59" s="57">
        <v>0</v>
      </c>
      <c r="M59" s="57">
        <v>0</v>
      </c>
      <c r="N59" s="57">
        <v>0</v>
      </c>
      <c r="O59" s="57">
        <v>0</v>
      </c>
      <c r="P59" s="57">
        <v>0</v>
      </c>
      <c r="Q59" s="57">
        <v>0</v>
      </c>
      <c r="R59" s="57">
        <v>0</v>
      </c>
      <c r="S59" s="57">
        <v>0</v>
      </c>
      <c r="T59" s="57">
        <v>0</v>
      </c>
      <c r="U59" s="57">
        <v>0</v>
      </c>
      <c r="V59" s="57">
        <v>0</v>
      </c>
      <c r="Y59" s="89"/>
      <c r="Z59" s="89"/>
    </row>
    <row r="60" spans="1:26">
      <c r="A60">
        <v>2</v>
      </c>
      <c r="B60" t="str">
        <f>VLOOKUP(F60,'TRA balance'!$BA$5:$BB$14,2,FALSE)</f>
        <v>TRANGA</v>
      </c>
      <c r="C60" s="54" t="str">
        <f t="shared" si="0"/>
        <v>TR</v>
      </c>
      <c r="D60" s="55" t="s">
        <v>200</v>
      </c>
      <c r="E60" s="66" t="s">
        <v>218</v>
      </c>
      <c r="F60" s="56" t="str">
        <f t="shared" si="31"/>
        <v>Natural Gas</v>
      </c>
      <c r="G60" s="54" t="s">
        <v>219</v>
      </c>
      <c r="H60" s="57">
        <f>1-SUM(H57:H59)</f>
        <v>0.2</v>
      </c>
      <c r="I60" s="57">
        <f t="shared" ref="I60" si="32">1-SUM(I57:I59)</f>
        <v>0.2</v>
      </c>
      <c r="J60" s="57">
        <f t="shared" ref="J60" si="33">1-SUM(J57:J59)</f>
        <v>0</v>
      </c>
      <c r="K60" s="57">
        <f t="shared" ref="K60" si="34">1-SUM(K57:K59)</f>
        <v>0.2</v>
      </c>
      <c r="L60" s="57">
        <f t="shared" ref="L60" si="35">1-SUM(L57:L59)</f>
        <v>0.4</v>
      </c>
      <c r="M60" s="57">
        <f t="shared" ref="M60" si="36">1-SUM(M57:M59)</f>
        <v>0</v>
      </c>
      <c r="N60" s="57">
        <f t="shared" ref="N60" si="37">1-SUM(N57:N59)</f>
        <v>1</v>
      </c>
      <c r="O60" s="57">
        <f t="shared" ref="O60" si="38">1-SUM(O57:O59)</f>
        <v>0.2</v>
      </c>
      <c r="P60" s="57">
        <f t="shared" ref="P60" si="39">1-SUM(P57:P59)</f>
        <v>1</v>
      </c>
      <c r="Q60" s="57">
        <f t="shared" ref="Q60" si="40">1-SUM(Q57:Q59)</f>
        <v>0</v>
      </c>
      <c r="R60" s="57">
        <f t="shared" ref="R60" si="41">1-SUM(R57:R59)</f>
        <v>0.2</v>
      </c>
      <c r="S60" s="57">
        <f t="shared" ref="S60" si="42">1-SUM(S57:S59)</f>
        <v>0.3</v>
      </c>
      <c r="T60" s="57">
        <f t="shared" ref="T60" si="43">1-SUM(T57:T59)</f>
        <v>1</v>
      </c>
      <c r="U60" s="57">
        <f t="shared" ref="U60" si="44">1-SUM(U57:U59)</f>
        <v>0.98</v>
      </c>
      <c r="V60" s="57">
        <f t="shared" ref="V60" si="45">1-SUM(V57:V59)</f>
        <v>0</v>
      </c>
      <c r="Y60" s="89"/>
      <c r="Z60" s="89"/>
    </row>
    <row r="61" spans="1:26">
      <c r="A61">
        <v>1</v>
      </c>
      <c r="B61" t="str">
        <f>VLOOKUP(F61,'TRA balance'!$BA$5:$BB$14,2,FALSE)</f>
        <v>TRANGA</v>
      </c>
      <c r="C61" s="58" t="str">
        <f t="shared" si="0"/>
        <v/>
      </c>
      <c r="D61" s="70"/>
      <c r="E61" s="59" t="s">
        <v>220</v>
      </c>
      <c r="F61" s="60" t="str">
        <f t="shared" si="31"/>
        <v>Natural Gas</v>
      </c>
      <c r="G61" s="58"/>
      <c r="H61" s="69" t="str">
        <f>IF(SUM(H57:H60)=1,"-",SUM(H57:H60))</f>
        <v>-</v>
      </c>
      <c r="I61" s="69" t="str">
        <f t="shared" ref="I61" si="46">IF(SUM(I57:I60)=1,"-",SUM(I57:I60))</f>
        <v>-</v>
      </c>
      <c r="J61" s="69" t="str">
        <f t="shared" ref="J61" si="47">IF(SUM(J57:J60)=1,"-",SUM(J57:J60))</f>
        <v>-</v>
      </c>
      <c r="K61" s="69" t="str">
        <f t="shared" ref="K61" si="48">IF(SUM(K57:K60)=1,"-",SUM(K57:K60))</f>
        <v>-</v>
      </c>
      <c r="L61" s="69" t="str">
        <f t="shared" ref="L61" si="49">IF(SUM(L57:L60)=1,"-",SUM(L57:L60))</f>
        <v>-</v>
      </c>
      <c r="M61" s="69" t="str">
        <f t="shared" ref="M61" si="50">IF(SUM(M57:M60)=1,"-",SUM(M57:M60))</f>
        <v>-</v>
      </c>
      <c r="N61" s="69" t="str">
        <f t="shared" ref="N61" si="51">IF(SUM(N57:N60)=1,"-",SUM(N57:N60))</f>
        <v>-</v>
      </c>
      <c r="O61" s="69" t="str">
        <f t="shared" ref="O61" si="52">IF(SUM(O57:O60)=1,"-",SUM(O57:O60))</f>
        <v>-</v>
      </c>
      <c r="P61" s="69" t="str">
        <f t="shared" ref="P61" si="53">IF(SUM(P57:P60)=1,"-",SUM(P57:P60))</f>
        <v>-</v>
      </c>
      <c r="Q61" s="69" t="str">
        <f t="shared" ref="Q61" si="54">IF(SUM(Q57:Q60)=1,"-",SUM(Q57:Q60))</f>
        <v>-</v>
      </c>
      <c r="R61" s="69" t="str">
        <f t="shared" ref="R61" si="55">IF(SUM(R57:R60)=1,"-",SUM(R57:R60))</f>
        <v>-</v>
      </c>
      <c r="S61" s="69" t="str">
        <f t="shared" ref="S61" si="56">IF(SUM(S57:S60)=1,"-",SUM(S57:S60))</f>
        <v>-</v>
      </c>
      <c r="T61" s="69" t="str">
        <f t="shared" ref="T61" si="57">IF(SUM(T57:T60)=1,"-",SUM(T57:T60))</f>
        <v>-</v>
      </c>
      <c r="U61" s="69" t="str">
        <f t="shared" ref="U61" si="58">IF(SUM(U57:U60)=1,"-",SUM(U57:U60))</f>
        <v>-</v>
      </c>
      <c r="V61" s="69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62">
        <v>1</v>
      </c>
      <c r="D62" s="63" t="s">
        <v>200</v>
      </c>
      <c r="E62" s="63" t="s">
        <v>201</v>
      </c>
      <c r="F62" s="64" t="s">
        <v>43</v>
      </c>
      <c r="G62" s="62"/>
      <c r="H62" s="97">
        <f>H6</f>
        <v>0.1</v>
      </c>
      <c r="I62" s="97">
        <f t="shared" ref="I62:V62" si="60">I6</f>
        <v>0.02</v>
      </c>
      <c r="J62" s="97">
        <f t="shared" si="60"/>
        <v>0.02</v>
      </c>
      <c r="K62" s="97">
        <f t="shared" si="60"/>
        <v>0.1</v>
      </c>
      <c r="L62" s="97">
        <f t="shared" si="60"/>
        <v>0.07</v>
      </c>
      <c r="M62" s="97">
        <f t="shared" si="60"/>
        <v>0.2</v>
      </c>
      <c r="N62" s="97">
        <f t="shared" si="60"/>
        <v>0.05</v>
      </c>
      <c r="O62" s="97">
        <f t="shared" si="60"/>
        <v>0.25</v>
      </c>
      <c r="P62" s="97">
        <f t="shared" si="60"/>
        <v>0.05</v>
      </c>
      <c r="Q62" s="97">
        <f t="shared" si="60"/>
        <v>0.1</v>
      </c>
      <c r="R62" s="97">
        <f t="shared" si="60"/>
        <v>0.15</v>
      </c>
      <c r="S62" s="97">
        <f t="shared" si="60"/>
        <v>0.08</v>
      </c>
      <c r="T62" s="97">
        <f t="shared" si="60"/>
        <v>0.11</v>
      </c>
      <c r="U62" s="97">
        <f t="shared" si="60"/>
        <v>0.0244064218226165</v>
      </c>
      <c r="V62" s="97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4" t="str">
        <f t="shared" si="0"/>
        <v>TR</v>
      </c>
      <c r="D63" s="55" t="s">
        <v>200</v>
      </c>
      <c r="E63" s="66" t="s">
        <v>202</v>
      </c>
      <c r="F63" s="56" t="str">
        <f>F62</f>
        <v>Bio Diesel</v>
      </c>
      <c r="G63" s="54" t="s">
        <v>203</v>
      </c>
      <c r="H63" s="97">
        <f t="shared" ref="H63:V63" si="61">H7</f>
        <v>0.5</v>
      </c>
      <c r="I63" s="97">
        <f t="shared" si="61"/>
        <v>0.3</v>
      </c>
      <c r="J63" s="97">
        <f t="shared" si="61"/>
        <v>0.4</v>
      </c>
      <c r="K63" s="97">
        <f t="shared" si="61"/>
        <v>0.2</v>
      </c>
      <c r="L63" s="97">
        <f t="shared" si="61"/>
        <v>0.3</v>
      </c>
      <c r="M63" s="97">
        <f t="shared" si="61"/>
        <v>0.51</v>
      </c>
      <c r="N63" s="97">
        <f t="shared" si="61"/>
        <v>0.51</v>
      </c>
      <c r="O63" s="97">
        <f t="shared" si="61"/>
        <v>0.4</v>
      </c>
      <c r="P63" s="97">
        <f t="shared" si="61"/>
        <v>0.46</v>
      </c>
      <c r="Q63" s="97">
        <f t="shared" si="61"/>
        <v>0.2</v>
      </c>
      <c r="R63" s="97">
        <f t="shared" si="61"/>
        <v>0.7</v>
      </c>
      <c r="S63" s="97">
        <f t="shared" si="61"/>
        <v>0.34</v>
      </c>
      <c r="T63" s="97">
        <f t="shared" si="61"/>
        <v>0.39</v>
      </c>
      <c r="U63" s="97">
        <f t="shared" si="61"/>
        <v>0.391737102078734</v>
      </c>
      <c r="V63" s="97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4" t="str">
        <f t="shared" si="0"/>
        <v>TR</v>
      </c>
      <c r="D64" s="55" t="s">
        <v>200</v>
      </c>
      <c r="E64" s="66" t="s">
        <v>204</v>
      </c>
      <c r="F64" s="56" t="str">
        <f t="shared" ref="F64:F69" si="62">F63</f>
        <v>Bio Diesel</v>
      </c>
      <c r="G64" s="54" t="s">
        <v>205</v>
      </c>
      <c r="H64" s="97">
        <f t="shared" ref="H64:V64" si="63">H8</f>
        <v>0.5</v>
      </c>
      <c r="I64" s="97">
        <f t="shared" si="63"/>
        <v>0.7</v>
      </c>
      <c r="J64" s="97">
        <f t="shared" si="63"/>
        <v>0.6</v>
      </c>
      <c r="K64" s="97">
        <f t="shared" si="63"/>
        <v>0.2</v>
      </c>
      <c r="L64" s="97">
        <f t="shared" si="63"/>
        <v>0.69</v>
      </c>
      <c r="M64" s="97">
        <f t="shared" si="63"/>
        <v>0.49</v>
      </c>
      <c r="N64" s="97">
        <f t="shared" si="63"/>
        <v>0.49</v>
      </c>
      <c r="O64" s="97">
        <f t="shared" si="63"/>
        <v>0.35</v>
      </c>
      <c r="P64" s="97">
        <f t="shared" si="63"/>
        <v>0.53</v>
      </c>
      <c r="Q64" s="97">
        <f t="shared" si="63"/>
        <v>0.8</v>
      </c>
      <c r="R64" s="97">
        <f t="shared" si="63"/>
        <v>0.3</v>
      </c>
      <c r="S64" s="97">
        <f t="shared" si="63"/>
        <v>0.66</v>
      </c>
      <c r="T64" s="97">
        <f t="shared" si="63"/>
        <v>0.61</v>
      </c>
      <c r="U64" s="97">
        <f t="shared" si="63"/>
        <v>0.608262897921266</v>
      </c>
      <c r="V64" s="97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4" t="str">
        <f t="shared" si="0"/>
        <v>TR</v>
      </c>
      <c r="D65" s="55" t="s">
        <v>200</v>
      </c>
      <c r="E65" s="66" t="s">
        <v>206</v>
      </c>
      <c r="F65" s="56" t="str">
        <f t="shared" si="62"/>
        <v>Bio Diesel</v>
      </c>
      <c r="G65" s="54" t="s">
        <v>207</v>
      </c>
      <c r="H65" s="97">
        <f t="shared" ref="H65:V65" si="64">H9</f>
        <v>0</v>
      </c>
      <c r="I65" s="97">
        <f t="shared" si="64"/>
        <v>0</v>
      </c>
      <c r="J65" s="97">
        <f t="shared" si="64"/>
        <v>0</v>
      </c>
      <c r="K65" s="97">
        <f t="shared" si="64"/>
        <v>0.6</v>
      </c>
      <c r="L65" s="97">
        <f t="shared" si="64"/>
        <v>0.01</v>
      </c>
      <c r="M65" s="97">
        <f t="shared" si="64"/>
        <v>0</v>
      </c>
      <c r="N65" s="97">
        <f t="shared" si="64"/>
        <v>0</v>
      </c>
      <c r="O65" s="97">
        <f t="shared" si="64"/>
        <v>0.25</v>
      </c>
      <c r="P65" s="97">
        <f t="shared" si="64"/>
        <v>0.01</v>
      </c>
      <c r="Q65" s="97">
        <f t="shared" si="64"/>
        <v>0</v>
      </c>
      <c r="R65" s="97">
        <f t="shared" si="64"/>
        <v>0</v>
      </c>
      <c r="S65" s="97">
        <f t="shared" si="64"/>
        <v>0</v>
      </c>
      <c r="T65" s="97">
        <f t="shared" si="64"/>
        <v>0</v>
      </c>
      <c r="U65" s="97">
        <f t="shared" si="64"/>
        <v>0</v>
      </c>
      <c r="V65" s="97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4" t="str">
        <f t="shared" si="0"/>
        <v>TR</v>
      </c>
      <c r="D66" s="55" t="s">
        <v>200</v>
      </c>
      <c r="E66" s="66" t="s">
        <v>208</v>
      </c>
      <c r="F66" s="56" t="str">
        <f t="shared" si="62"/>
        <v>Bio Diesel</v>
      </c>
      <c r="G66" s="54" t="s">
        <v>209</v>
      </c>
      <c r="H66" s="97">
        <f t="shared" ref="H66:V66" si="65">H10</f>
        <v>0</v>
      </c>
      <c r="I66" s="97">
        <f t="shared" si="65"/>
        <v>0</v>
      </c>
      <c r="J66" s="97">
        <f t="shared" si="65"/>
        <v>0</v>
      </c>
      <c r="K66" s="97">
        <f t="shared" si="65"/>
        <v>0</v>
      </c>
      <c r="L66" s="97">
        <f t="shared" si="65"/>
        <v>0</v>
      </c>
      <c r="M66" s="97">
        <f t="shared" si="65"/>
        <v>0</v>
      </c>
      <c r="N66" s="97">
        <f t="shared" si="65"/>
        <v>0</v>
      </c>
      <c r="O66" s="97">
        <f t="shared" si="65"/>
        <v>0</v>
      </c>
      <c r="P66" s="97">
        <f t="shared" si="65"/>
        <v>0</v>
      </c>
      <c r="Q66" s="97">
        <f t="shared" si="65"/>
        <v>0</v>
      </c>
      <c r="R66" s="97">
        <f t="shared" si="65"/>
        <v>0</v>
      </c>
      <c r="S66" s="97">
        <f t="shared" si="65"/>
        <v>0</v>
      </c>
      <c r="T66" s="97">
        <f t="shared" si="65"/>
        <v>0</v>
      </c>
      <c r="U66" s="97">
        <f t="shared" si="65"/>
        <v>0</v>
      </c>
      <c r="V66" s="97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4" t="str">
        <f t="shared" si="0"/>
        <v/>
      </c>
      <c r="D67" s="55"/>
      <c r="E67" s="67" t="s">
        <v>210</v>
      </c>
      <c r="F67" s="56" t="str">
        <f t="shared" si="62"/>
        <v>Bio Diesel</v>
      </c>
      <c r="G67" s="54"/>
      <c r="H67" s="67" t="str">
        <f>IF(SUM(H63:H66)=1,"-","&lt;&gt;1!!")</f>
        <v>-</v>
      </c>
      <c r="I67" s="67" t="str">
        <f t="shared" ref="I67:V67" si="66">IF(SUM(I63:I66)=1,"-","&lt;&gt;1!!")</f>
        <v>-</v>
      </c>
      <c r="J67" s="67" t="str">
        <f t="shared" si="66"/>
        <v>-</v>
      </c>
      <c r="K67" s="67" t="str">
        <f t="shared" si="66"/>
        <v>-</v>
      </c>
      <c r="L67" s="67" t="str">
        <f t="shared" si="66"/>
        <v>-</v>
      </c>
      <c r="M67" s="67" t="str">
        <f t="shared" si="66"/>
        <v>-</v>
      </c>
      <c r="N67" s="67" t="str">
        <f t="shared" si="66"/>
        <v>-</v>
      </c>
      <c r="O67" s="67" t="str">
        <f t="shared" si="66"/>
        <v>-</v>
      </c>
      <c r="P67" s="67" t="str">
        <f t="shared" si="66"/>
        <v>-</v>
      </c>
      <c r="Q67" s="67" t="str">
        <f t="shared" si="66"/>
        <v>-</v>
      </c>
      <c r="R67" s="67" t="str">
        <f t="shared" si="66"/>
        <v>-</v>
      </c>
      <c r="S67" s="67" t="str">
        <f t="shared" si="66"/>
        <v>-</v>
      </c>
      <c r="T67" s="67" t="str">
        <f t="shared" si="66"/>
        <v>-</v>
      </c>
      <c r="U67" s="67" t="str">
        <f t="shared" si="66"/>
        <v>-</v>
      </c>
      <c r="V67" s="67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2">
        <v>2</v>
      </c>
      <c r="D68" s="63" t="s">
        <v>200</v>
      </c>
      <c r="E68" s="63" t="s">
        <v>211</v>
      </c>
      <c r="F68" s="64" t="str">
        <f t="shared" si="62"/>
        <v>Bio Diesel</v>
      </c>
      <c r="G68" s="62"/>
      <c r="H68" s="68">
        <f>1-H62</f>
        <v>0.9</v>
      </c>
      <c r="I68" s="68">
        <f t="shared" ref="I68:V68" si="67">1-I62</f>
        <v>0.98</v>
      </c>
      <c r="J68" s="68">
        <f t="shared" si="67"/>
        <v>0.98</v>
      </c>
      <c r="K68" s="68">
        <f t="shared" si="67"/>
        <v>0.9</v>
      </c>
      <c r="L68" s="68">
        <f t="shared" si="67"/>
        <v>0.93</v>
      </c>
      <c r="M68" s="68">
        <f t="shared" si="67"/>
        <v>0.8</v>
      </c>
      <c r="N68" s="68">
        <f t="shared" si="67"/>
        <v>0.95</v>
      </c>
      <c r="O68" s="68">
        <f t="shared" si="67"/>
        <v>0.75</v>
      </c>
      <c r="P68" s="68">
        <f t="shared" si="67"/>
        <v>0.95</v>
      </c>
      <c r="Q68" s="68">
        <f t="shared" si="67"/>
        <v>0.9</v>
      </c>
      <c r="R68" s="68">
        <f t="shared" si="67"/>
        <v>0.85</v>
      </c>
      <c r="S68" s="68">
        <f t="shared" si="67"/>
        <v>0.92</v>
      </c>
      <c r="T68" s="68">
        <f t="shared" si="67"/>
        <v>0.89</v>
      </c>
      <c r="U68" s="68">
        <f t="shared" si="67"/>
        <v>0.975593578177383</v>
      </c>
      <c r="V68" s="68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4" t="str">
        <f t="shared" ref="C69:C102" si="68">LEFT(G69,2)</f>
        <v>TR</v>
      </c>
      <c r="D69" s="55" t="s">
        <v>200</v>
      </c>
      <c r="E69" s="66" t="s">
        <v>212</v>
      </c>
      <c r="F69" s="56" t="str">
        <f t="shared" si="62"/>
        <v>Bio Diesel</v>
      </c>
      <c r="G69" s="54" t="s">
        <v>213</v>
      </c>
      <c r="H69" s="97">
        <f t="shared" ref="H69:V69" si="69">H13</f>
        <v>0.35</v>
      </c>
      <c r="I69" s="97">
        <f t="shared" si="69"/>
        <v>0.15</v>
      </c>
      <c r="J69" s="97">
        <f t="shared" si="69"/>
        <v>0.05</v>
      </c>
      <c r="K69" s="97">
        <f t="shared" si="69"/>
        <v>0.35</v>
      </c>
      <c r="L69" s="97">
        <f t="shared" si="69"/>
        <v>0.1</v>
      </c>
      <c r="M69" s="97">
        <f t="shared" si="69"/>
        <v>0.1</v>
      </c>
      <c r="N69" s="97">
        <f t="shared" si="69"/>
        <v>0.1</v>
      </c>
      <c r="O69" s="97">
        <f t="shared" si="69"/>
        <v>0.25</v>
      </c>
      <c r="P69" s="97">
        <f t="shared" si="69"/>
        <v>0.05</v>
      </c>
      <c r="Q69" s="97">
        <f t="shared" si="69"/>
        <v>0.1</v>
      </c>
      <c r="R69" s="97">
        <f t="shared" si="69"/>
        <v>0.1</v>
      </c>
      <c r="S69" s="97">
        <f t="shared" si="69"/>
        <v>0.15</v>
      </c>
      <c r="T69" s="97">
        <f t="shared" si="69"/>
        <v>0.22</v>
      </c>
      <c r="U69" s="97">
        <f t="shared" si="69"/>
        <v>0.04</v>
      </c>
      <c r="V69" s="97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4" t="str">
        <f t="shared" si="68"/>
        <v>TR</v>
      </c>
      <c r="D70" s="55" t="s">
        <v>200</v>
      </c>
      <c r="E70" s="66" t="s">
        <v>214</v>
      </c>
      <c r="F70" s="56" t="str">
        <f t="shared" ref="F70:F76" si="70">F69</f>
        <v>Bio Diesel</v>
      </c>
      <c r="G70" s="54" t="s">
        <v>215</v>
      </c>
      <c r="H70" s="97">
        <f t="shared" ref="H70:V70" si="71">H14</f>
        <v>0.35</v>
      </c>
      <c r="I70" s="97">
        <f t="shared" si="71"/>
        <v>0.35</v>
      </c>
      <c r="J70" s="97">
        <f t="shared" si="71"/>
        <v>0.6</v>
      </c>
      <c r="K70" s="97">
        <f t="shared" si="71"/>
        <v>0.35</v>
      </c>
      <c r="L70" s="97">
        <f t="shared" si="71"/>
        <v>0.5</v>
      </c>
      <c r="M70" s="97">
        <f t="shared" si="71"/>
        <v>0.5</v>
      </c>
      <c r="N70" s="97">
        <f t="shared" si="71"/>
        <v>0.6</v>
      </c>
      <c r="O70" s="97">
        <f t="shared" si="71"/>
        <v>0.3</v>
      </c>
      <c r="P70" s="97">
        <f t="shared" si="71"/>
        <v>0.5</v>
      </c>
      <c r="Q70" s="97">
        <f t="shared" si="71"/>
        <v>0.5</v>
      </c>
      <c r="R70" s="97">
        <f t="shared" si="71"/>
        <v>0.45</v>
      </c>
      <c r="S70" s="97">
        <f t="shared" si="71"/>
        <v>0.5</v>
      </c>
      <c r="T70" s="97">
        <f t="shared" si="71"/>
        <v>0.38</v>
      </c>
      <c r="U70" s="97">
        <f t="shared" si="71"/>
        <v>0.8</v>
      </c>
      <c r="V70" s="97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4" t="str">
        <f t="shared" si="68"/>
        <v>TR</v>
      </c>
      <c r="D71" s="55" t="s">
        <v>200</v>
      </c>
      <c r="E71" s="66" t="s">
        <v>216</v>
      </c>
      <c r="F71" s="56" t="str">
        <f t="shared" si="70"/>
        <v>Bio Diesel</v>
      </c>
      <c r="G71" s="54" t="s">
        <v>217</v>
      </c>
      <c r="H71" s="97">
        <f t="shared" ref="H71:V71" si="72">H15</f>
        <v>0.1</v>
      </c>
      <c r="I71" s="97">
        <f t="shared" si="72"/>
        <v>0.3</v>
      </c>
      <c r="J71" s="97">
        <f t="shared" si="72"/>
        <v>0.25</v>
      </c>
      <c r="K71" s="97">
        <f t="shared" si="72"/>
        <v>0.2</v>
      </c>
      <c r="L71" s="97">
        <f t="shared" si="72"/>
        <v>0.3</v>
      </c>
      <c r="M71" s="97">
        <f t="shared" si="72"/>
        <v>0.25</v>
      </c>
      <c r="N71" s="97">
        <f t="shared" si="72"/>
        <v>0.2</v>
      </c>
      <c r="O71" s="97">
        <f t="shared" si="72"/>
        <v>0.2</v>
      </c>
      <c r="P71" s="97">
        <f t="shared" si="72"/>
        <v>0.3</v>
      </c>
      <c r="Q71" s="97">
        <f t="shared" si="72"/>
        <v>0.25</v>
      </c>
      <c r="R71" s="97">
        <f t="shared" si="72"/>
        <v>0.3</v>
      </c>
      <c r="S71" s="97">
        <f t="shared" si="72"/>
        <v>0.25</v>
      </c>
      <c r="T71" s="97">
        <f t="shared" si="72"/>
        <v>0.2</v>
      </c>
      <c r="U71" s="97">
        <f t="shared" si="72"/>
        <v>0.11</v>
      </c>
      <c r="V71" s="97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4" t="str">
        <f t="shared" si="68"/>
        <v>TR</v>
      </c>
      <c r="D72" s="55" t="s">
        <v>200</v>
      </c>
      <c r="E72" s="66" t="s">
        <v>218</v>
      </c>
      <c r="F72" s="56" t="str">
        <f t="shared" si="70"/>
        <v>Bio Diesel</v>
      </c>
      <c r="G72" s="54" t="s">
        <v>219</v>
      </c>
      <c r="H72" s="97">
        <f t="shared" ref="H72:V72" si="73">H16</f>
        <v>0.2</v>
      </c>
      <c r="I72" s="97">
        <f t="shared" si="73"/>
        <v>0.2</v>
      </c>
      <c r="J72" s="97">
        <f t="shared" si="73"/>
        <v>0.1</v>
      </c>
      <c r="K72" s="97">
        <f t="shared" si="73"/>
        <v>0.1</v>
      </c>
      <c r="L72" s="97">
        <f t="shared" si="73"/>
        <v>0.1</v>
      </c>
      <c r="M72" s="97">
        <f t="shared" si="73"/>
        <v>0.15</v>
      </c>
      <c r="N72" s="97">
        <f t="shared" si="73"/>
        <v>0.1</v>
      </c>
      <c r="O72" s="97">
        <f t="shared" si="73"/>
        <v>0.25</v>
      </c>
      <c r="P72" s="97">
        <f t="shared" si="73"/>
        <v>0.15</v>
      </c>
      <c r="Q72" s="97">
        <f t="shared" si="73"/>
        <v>0.15</v>
      </c>
      <c r="R72" s="97">
        <f t="shared" si="73"/>
        <v>0.15</v>
      </c>
      <c r="S72" s="97">
        <f t="shared" si="73"/>
        <v>0.1</v>
      </c>
      <c r="T72" s="97">
        <f t="shared" si="73"/>
        <v>0.2</v>
      </c>
      <c r="U72" s="97">
        <f t="shared" si="73"/>
        <v>0.05</v>
      </c>
      <c r="V72" s="97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4" t="str">
        <f t="shared" si="68"/>
        <v/>
      </c>
      <c r="D73" s="55"/>
      <c r="E73" s="67" t="s">
        <v>220</v>
      </c>
      <c r="F73" s="56" t="str">
        <f t="shared" si="70"/>
        <v>Bio Diesel</v>
      </c>
      <c r="G73" s="54"/>
      <c r="H73" s="69" t="str">
        <f>IF(SUM(H69:H72)=1,"-","&lt;&gt;1!!")</f>
        <v>-</v>
      </c>
      <c r="I73" s="69" t="str">
        <f t="shared" ref="I73:V73" si="74">IF(SUM(I69:I72)=1,"-","&lt;&gt;1!!")</f>
        <v>-</v>
      </c>
      <c r="J73" s="69" t="str">
        <f t="shared" si="74"/>
        <v>-</v>
      </c>
      <c r="K73" s="69" t="str">
        <f t="shared" si="74"/>
        <v>-</v>
      </c>
      <c r="L73" s="69" t="str">
        <f t="shared" si="74"/>
        <v>-</v>
      </c>
      <c r="M73" s="69" t="str">
        <f t="shared" si="74"/>
        <v>-</v>
      </c>
      <c r="N73" s="69" t="str">
        <f t="shared" si="74"/>
        <v>-</v>
      </c>
      <c r="O73" s="69" t="str">
        <f t="shared" si="74"/>
        <v>-</v>
      </c>
      <c r="P73" s="69" t="str">
        <f t="shared" si="74"/>
        <v>-</v>
      </c>
      <c r="Q73" s="69" t="str">
        <f t="shared" si="74"/>
        <v>-</v>
      </c>
      <c r="R73" s="69" t="str">
        <f t="shared" si="74"/>
        <v>-</v>
      </c>
      <c r="S73" s="69" t="str">
        <f t="shared" si="74"/>
        <v>-</v>
      </c>
      <c r="T73" s="69" t="str">
        <f t="shared" si="74"/>
        <v>-</v>
      </c>
      <c r="U73" s="69" t="str">
        <f t="shared" si="74"/>
        <v>-</v>
      </c>
      <c r="V73" s="69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4" t="str">
        <f t="shared" si="68"/>
        <v>TT</v>
      </c>
      <c r="D74" s="55" t="s">
        <v>192</v>
      </c>
      <c r="E74" s="55" t="s">
        <v>193</v>
      </c>
      <c r="F74" s="56" t="str">
        <f t="shared" si="70"/>
        <v>Bio Diesel</v>
      </c>
      <c r="G74" s="54" t="s">
        <v>194</v>
      </c>
      <c r="H74" s="97">
        <f t="shared" ref="H74:V74" si="75">H18</f>
        <v>0.7</v>
      </c>
      <c r="I74" s="97">
        <f t="shared" si="75"/>
        <v>0.7</v>
      </c>
      <c r="J74" s="97">
        <f t="shared" si="75"/>
        <v>0.95</v>
      </c>
      <c r="K74" s="97">
        <f t="shared" si="75"/>
        <v>0.6</v>
      </c>
      <c r="L74" s="97">
        <f t="shared" si="75"/>
        <v>0.8</v>
      </c>
      <c r="M74" s="97">
        <f t="shared" si="75"/>
        <v>0.9</v>
      </c>
      <c r="N74" s="97">
        <f t="shared" si="75"/>
        <v>0.9</v>
      </c>
      <c r="O74" s="97">
        <f t="shared" si="75"/>
        <v>0.5</v>
      </c>
      <c r="P74" s="97">
        <f t="shared" si="75"/>
        <v>0.3</v>
      </c>
      <c r="Q74" s="97">
        <f t="shared" si="75"/>
        <v>0.7</v>
      </c>
      <c r="R74" s="97">
        <f t="shared" si="75"/>
        <v>0.75</v>
      </c>
      <c r="S74" s="97">
        <f t="shared" si="75"/>
        <v>0.8</v>
      </c>
      <c r="T74" s="97">
        <f t="shared" si="75"/>
        <v>0.9</v>
      </c>
      <c r="U74" s="97">
        <f t="shared" si="75"/>
        <v>0.960321230917373</v>
      </c>
      <c r="V74" s="97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4" t="str">
        <f t="shared" si="68"/>
        <v>TT</v>
      </c>
      <c r="D75" s="55" t="s">
        <v>192</v>
      </c>
      <c r="E75" s="55" t="s">
        <v>197</v>
      </c>
      <c r="F75" s="56" t="str">
        <f t="shared" si="70"/>
        <v>Bio Diesel</v>
      </c>
      <c r="G75" s="54" t="s">
        <v>198</v>
      </c>
      <c r="H75" s="97">
        <f t="shared" ref="H75:V75" si="76">H19</f>
        <v>0.3</v>
      </c>
      <c r="I75" s="97">
        <f t="shared" si="76"/>
        <v>0.3</v>
      </c>
      <c r="J75" s="97">
        <f t="shared" si="76"/>
        <v>0.05</v>
      </c>
      <c r="K75" s="97">
        <f t="shared" si="76"/>
        <v>0.4</v>
      </c>
      <c r="L75" s="97">
        <f t="shared" si="76"/>
        <v>0.2</v>
      </c>
      <c r="M75" s="97">
        <f t="shared" si="76"/>
        <v>0.1</v>
      </c>
      <c r="N75" s="97">
        <f t="shared" si="76"/>
        <v>0.1</v>
      </c>
      <c r="O75" s="97">
        <f t="shared" si="76"/>
        <v>0.5</v>
      </c>
      <c r="P75" s="97">
        <f t="shared" si="76"/>
        <v>0.7</v>
      </c>
      <c r="Q75" s="97">
        <f t="shared" si="76"/>
        <v>0.3</v>
      </c>
      <c r="R75" s="97">
        <f t="shared" si="76"/>
        <v>0.25</v>
      </c>
      <c r="S75" s="97">
        <f t="shared" si="76"/>
        <v>0.2</v>
      </c>
      <c r="T75" s="97">
        <f t="shared" si="76"/>
        <v>0.1</v>
      </c>
      <c r="U75" s="97">
        <f t="shared" si="76"/>
        <v>0.0396787690826272</v>
      </c>
      <c r="V75" s="97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8"/>
      <c r="D76" s="58"/>
      <c r="E76" s="59" t="s">
        <v>199</v>
      </c>
      <c r="F76" s="60" t="str">
        <f t="shared" si="70"/>
        <v>Bio Diesel</v>
      </c>
      <c r="G76" s="58"/>
      <c r="H76" s="59" t="str">
        <f t="shared" ref="H76:V76" si="77">IF(SUM(H74:H75)=1,"-","&lt;&gt;1!!")</f>
        <v>-</v>
      </c>
      <c r="I76" s="59" t="str">
        <f t="shared" si="77"/>
        <v>-</v>
      </c>
      <c r="J76" s="59" t="str">
        <f t="shared" si="77"/>
        <v>-</v>
      </c>
      <c r="K76" s="59" t="str">
        <f t="shared" si="77"/>
        <v>-</v>
      </c>
      <c r="L76" s="59" t="str">
        <f t="shared" si="77"/>
        <v>-</v>
      </c>
      <c r="M76" s="59" t="str">
        <f t="shared" si="77"/>
        <v>-</v>
      </c>
      <c r="N76" s="59" t="str">
        <f t="shared" si="77"/>
        <v>-</v>
      </c>
      <c r="O76" s="59" t="str">
        <f t="shared" si="77"/>
        <v>-</v>
      </c>
      <c r="P76" s="59" t="str">
        <f t="shared" si="77"/>
        <v>-</v>
      </c>
      <c r="Q76" s="59" t="str">
        <f t="shared" si="77"/>
        <v>-</v>
      </c>
      <c r="R76" s="59" t="str">
        <f t="shared" si="77"/>
        <v>-</v>
      </c>
      <c r="S76" s="59" t="str">
        <f t="shared" si="77"/>
        <v>-</v>
      </c>
      <c r="T76" s="59" t="str">
        <f t="shared" si="77"/>
        <v>-</v>
      </c>
      <c r="U76" s="59" t="str">
        <f t="shared" si="77"/>
        <v>-</v>
      </c>
      <c r="V76" s="59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2">
        <v>1</v>
      </c>
      <c r="D77" s="63" t="s">
        <v>200</v>
      </c>
      <c r="E77" s="63" t="s">
        <v>201</v>
      </c>
      <c r="F77" s="64" t="s">
        <v>47</v>
      </c>
      <c r="G77" s="62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</row>
    <row r="78" spans="1:22">
      <c r="A78">
        <v>1</v>
      </c>
      <c r="B78" t="str">
        <f>VLOOKUP(F78,'TRA balance'!$BA$5:$BB$14,2,FALSE)</f>
        <v>TRABGS</v>
      </c>
      <c r="C78" s="54" t="str">
        <f t="shared" si="68"/>
        <v>TR</v>
      </c>
      <c r="D78" s="55" t="s">
        <v>200</v>
      </c>
      <c r="E78" s="66" t="s">
        <v>202</v>
      </c>
      <c r="F78" s="56" t="str">
        <f>F77</f>
        <v>Bio Gasoline</v>
      </c>
      <c r="G78" s="54" t="s">
        <v>203</v>
      </c>
      <c r="H78" s="93">
        <v>1</v>
      </c>
      <c r="I78" s="93">
        <v>1</v>
      </c>
      <c r="J78" s="93">
        <v>1</v>
      </c>
      <c r="K78" s="93">
        <v>1</v>
      </c>
      <c r="L78" s="93">
        <v>1</v>
      </c>
      <c r="M78" s="93">
        <v>1</v>
      </c>
      <c r="N78" s="93">
        <v>1</v>
      </c>
      <c r="O78" s="93">
        <v>1</v>
      </c>
      <c r="P78" s="93">
        <v>1</v>
      </c>
      <c r="Q78" s="93">
        <v>1</v>
      </c>
      <c r="R78" s="93">
        <v>1</v>
      </c>
      <c r="S78" s="93">
        <v>1</v>
      </c>
      <c r="T78" s="93">
        <v>1</v>
      </c>
      <c r="U78" s="93">
        <v>1</v>
      </c>
      <c r="V78" s="93">
        <v>1</v>
      </c>
    </row>
    <row r="79" spans="1:22">
      <c r="A79">
        <v>1</v>
      </c>
      <c r="B79" t="str">
        <f>VLOOKUP(F79,'TRA balance'!$BA$5:$BB$14,2,FALSE)</f>
        <v>TRABGS</v>
      </c>
      <c r="C79" s="54" t="str">
        <f t="shared" si="68"/>
        <v>TR</v>
      </c>
      <c r="D79" s="55" t="s">
        <v>200</v>
      </c>
      <c r="E79" s="66" t="s">
        <v>204</v>
      </c>
      <c r="F79" s="56" t="str">
        <f t="shared" ref="F79:F84" si="78">F78</f>
        <v>Bio Gasoline</v>
      </c>
      <c r="G79" s="54" t="s">
        <v>205</v>
      </c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</row>
    <row r="80" spans="1:22">
      <c r="A80">
        <v>1</v>
      </c>
      <c r="B80" t="str">
        <f>VLOOKUP(F80,'TRA balance'!$BA$5:$BB$14,2,FALSE)</f>
        <v>TRABGS</v>
      </c>
      <c r="C80" s="54" t="str">
        <f t="shared" si="68"/>
        <v>TR</v>
      </c>
      <c r="D80" s="55" t="s">
        <v>200</v>
      </c>
      <c r="E80" s="66" t="s">
        <v>206</v>
      </c>
      <c r="F80" s="56" t="str">
        <f t="shared" si="78"/>
        <v>Bio Gasoline</v>
      </c>
      <c r="G80" s="54" t="s">
        <v>207</v>
      </c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</row>
    <row r="81" spans="1:22">
      <c r="A81">
        <v>1</v>
      </c>
      <c r="B81" t="str">
        <f>VLOOKUP(F81,'TRA balance'!$BA$5:$BB$14,2,FALSE)</f>
        <v>TRABGS</v>
      </c>
      <c r="C81" s="54" t="str">
        <f t="shared" si="68"/>
        <v>TR</v>
      </c>
      <c r="D81" s="55" t="s">
        <v>200</v>
      </c>
      <c r="E81" s="66" t="s">
        <v>208</v>
      </c>
      <c r="F81" s="56" t="str">
        <f t="shared" si="78"/>
        <v>Bio Gasoline</v>
      </c>
      <c r="G81" s="54" t="s">
        <v>209</v>
      </c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</row>
    <row r="82" spans="1:22">
      <c r="A82">
        <v>1</v>
      </c>
      <c r="B82" t="str">
        <f>VLOOKUP(F82,'TRA balance'!$BA$5:$BB$14,2,FALSE)</f>
        <v>TRABGS</v>
      </c>
      <c r="C82" s="54" t="str">
        <f t="shared" si="68"/>
        <v/>
      </c>
      <c r="D82" s="55"/>
      <c r="E82" s="67" t="s">
        <v>210</v>
      </c>
      <c r="F82" s="56" t="str">
        <f t="shared" si="78"/>
        <v>Bio Gasoline</v>
      </c>
      <c r="G82" s="54"/>
      <c r="H82" s="67" t="str">
        <f>IF(SUM(H78:H81)=1,"-","&lt;&gt;1!!")</f>
        <v>-</v>
      </c>
      <c r="I82" s="67" t="str">
        <f t="shared" ref="I82:V82" si="79">IF(SUM(I78:I81)=1,"-","&lt;&gt;1!!")</f>
        <v>-</v>
      </c>
      <c r="J82" s="67" t="str">
        <f t="shared" si="79"/>
        <v>-</v>
      </c>
      <c r="K82" s="67" t="str">
        <f t="shared" si="79"/>
        <v>-</v>
      </c>
      <c r="L82" s="67" t="str">
        <f t="shared" si="79"/>
        <v>-</v>
      </c>
      <c r="M82" s="67" t="str">
        <f t="shared" si="79"/>
        <v>-</v>
      </c>
      <c r="N82" s="67" t="str">
        <f t="shared" si="79"/>
        <v>-</v>
      </c>
      <c r="O82" s="67" t="str">
        <f t="shared" si="79"/>
        <v>-</v>
      </c>
      <c r="P82" s="67" t="str">
        <f t="shared" si="79"/>
        <v>-</v>
      </c>
      <c r="Q82" s="67" t="str">
        <f t="shared" si="79"/>
        <v>-</v>
      </c>
      <c r="R82" s="67" t="str">
        <f t="shared" si="79"/>
        <v>-</v>
      </c>
      <c r="S82" s="67" t="str">
        <f t="shared" si="79"/>
        <v>-</v>
      </c>
      <c r="T82" s="67" t="str">
        <f t="shared" si="79"/>
        <v>-</v>
      </c>
      <c r="U82" s="67" t="str">
        <f t="shared" si="79"/>
        <v>-</v>
      </c>
      <c r="V82" s="67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2">
        <v>2</v>
      </c>
      <c r="D83" s="63" t="s">
        <v>200</v>
      </c>
      <c r="E83" s="63" t="s">
        <v>211</v>
      </c>
      <c r="F83" s="64" t="str">
        <f t="shared" si="78"/>
        <v>Bio Gasoline</v>
      </c>
      <c r="G83" s="62"/>
      <c r="H83" s="68">
        <f>1-H77</f>
        <v>1</v>
      </c>
      <c r="I83" s="68">
        <f t="shared" ref="I83:V83" si="80">1-I77</f>
        <v>1</v>
      </c>
      <c r="J83" s="68">
        <f t="shared" si="80"/>
        <v>1</v>
      </c>
      <c r="K83" s="68">
        <f t="shared" si="80"/>
        <v>1</v>
      </c>
      <c r="L83" s="68">
        <f t="shared" si="80"/>
        <v>1</v>
      </c>
      <c r="M83" s="68">
        <f t="shared" si="80"/>
        <v>1</v>
      </c>
      <c r="N83" s="68">
        <f t="shared" si="80"/>
        <v>1</v>
      </c>
      <c r="O83" s="68">
        <f t="shared" si="80"/>
        <v>1</v>
      </c>
      <c r="P83" s="68">
        <f t="shared" si="80"/>
        <v>1</v>
      </c>
      <c r="Q83" s="68">
        <f t="shared" si="80"/>
        <v>1</v>
      </c>
      <c r="R83" s="68">
        <f t="shared" si="80"/>
        <v>1</v>
      </c>
      <c r="S83" s="68">
        <f t="shared" si="80"/>
        <v>1</v>
      </c>
      <c r="T83" s="68">
        <f t="shared" si="80"/>
        <v>1</v>
      </c>
      <c r="U83" s="68">
        <f t="shared" si="80"/>
        <v>1</v>
      </c>
      <c r="V83" s="68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4" t="str">
        <f t="shared" si="68"/>
        <v>TR</v>
      </c>
      <c r="D84" s="55" t="s">
        <v>200</v>
      </c>
      <c r="E84" s="66" t="s">
        <v>212</v>
      </c>
      <c r="F84" s="56" t="str">
        <f t="shared" si="78"/>
        <v>Bio Gasoline</v>
      </c>
      <c r="G84" s="54" t="s">
        <v>213</v>
      </c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</row>
    <row r="85" spans="1:22">
      <c r="A85">
        <v>2</v>
      </c>
      <c r="B85" t="str">
        <f>VLOOKUP(F85,'TRA balance'!$BA$5:$BB$14,2,FALSE)</f>
        <v>TRABGS</v>
      </c>
      <c r="C85" s="54" t="str">
        <f t="shared" si="68"/>
        <v>TR</v>
      </c>
      <c r="D85" s="55" t="s">
        <v>200</v>
      </c>
      <c r="E85" s="66" t="s">
        <v>214</v>
      </c>
      <c r="F85" s="56" t="str">
        <f t="shared" ref="F85:F88" si="81">F84</f>
        <v>Bio Gasoline</v>
      </c>
      <c r="G85" s="54" t="s">
        <v>215</v>
      </c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</row>
    <row r="86" spans="1:22">
      <c r="A86">
        <v>2</v>
      </c>
      <c r="B86" t="str">
        <f>VLOOKUP(F86,'TRA balance'!$BA$5:$BB$14,2,FALSE)</f>
        <v>TRABGS</v>
      </c>
      <c r="C86" s="54" t="str">
        <f t="shared" si="68"/>
        <v>TR</v>
      </c>
      <c r="D86" s="55" t="s">
        <v>200</v>
      </c>
      <c r="E86" s="66" t="s">
        <v>216</v>
      </c>
      <c r="F86" s="56" t="str">
        <f t="shared" si="81"/>
        <v>Bio Gasoline</v>
      </c>
      <c r="G86" s="54" t="s">
        <v>217</v>
      </c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</row>
    <row r="87" spans="1:22">
      <c r="A87">
        <v>2</v>
      </c>
      <c r="B87" t="str">
        <f>VLOOKUP(F87,'TRA balance'!$BA$5:$BB$14,2,FALSE)</f>
        <v>TRABGS</v>
      </c>
      <c r="C87" s="54" t="str">
        <f t="shared" si="68"/>
        <v>TR</v>
      </c>
      <c r="D87" s="55" t="s">
        <v>200</v>
      </c>
      <c r="E87" s="66" t="s">
        <v>218</v>
      </c>
      <c r="F87" s="56" t="str">
        <f t="shared" si="81"/>
        <v>Bio Gasoline</v>
      </c>
      <c r="G87" s="54" t="s">
        <v>219</v>
      </c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</row>
    <row r="88" spans="1:22">
      <c r="A88">
        <v>1</v>
      </c>
      <c r="B88" t="str">
        <f>VLOOKUP(F88,'TRA balance'!$BA$5:$BB$14,2,FALSE)</f>
        <v>TRABGS</v>
      </c>
      <c r="C88" s="58" t="str">
        <f t="shared" si="68"/>
        <v/>
      </c>
      <c r="D88" s="70"/>
      <c r="E88" s="59" t="s">
        <v>220</v>
      </c>
      <c r="F88" s="60" t="str">
        <f t="shared" si="81"/>
        <v>Bio Gasoline</v>
      </c>
      <c r="G88" s="58"/>
      <c r="H88" s="71" t="str">
        <f>IF(SUM(H84:H87)=1,"-","&lt;&gt;1!!")</f>
        <v>&lt;&gt;1!!</v>
      </c>
      <c r="I88" s="71" t="str">
        <f t="shared" ref="I88:V88" si="82">IF(SUM(I84:I87)=1,"-","&lt;&gt;1!!")</f>
        <v>&lt;&gt;1!!</v>
      </c>
      <c r="J88" s="71" t="str">
        <f t="shared" si="82"/>
        <v>&lt;&gt;1!!</v>
      </c>
      <c r="K88" s="71" t="str">
        <f t="shared" si="82"/>
        <v>&lt;&gt;1!!</v>
      </c>
      <c r="L88" s="71" t="str">
        <f t="shared" si="82"/>
        <v>&lt;&gt;1!!</v>
      </c>
      <c r="M88" s="71" t="str">
        <f t="shared" si="82"/>
        <v>&lt;&gt;1!!</v>
      </c>
      <c r="N88" s="71" t="str">
        <f t="shared" si="82"/>
        <v>&lt;&gt;1!!</v>
      </c>
      <c r="O88" s="71" t="str">
        <f t="shared" si="82"/>
        <v>&lt;&gt;1!!</v>
      </c>
      <c r="P88" s="71" t="str">
        <f t="shared" si="82"/>
        <v>&lt;&gt;1!!</v>
      </c>
      <c r="Q88" s="71" t="str">
        <f t="shared" si="82"/>
        <v>&lt;&gt;1!!</v>
      </c>
      <c r="R88" s="71" t="str">
        <f t="shared" si="82"/>
        <v>&lt;&gt;1!!</v>
      </c>
      <c r="S88" s="71" t="str">
        <f t="shared" si="82"/>
        <v>&lt;&gt;1!!</v>
      </c>
      <c r="T88" s="71" t="str">
        <f t="shared" si="82"/>
        <v>&lt;&gt;1!!</v>
      </c>
      <c r="U88" s="71" t="str">
        <f t="shared" si="82"/>
        <v>&lt;&gt;1!!</v>
      </c>
      <c r="V88" s="71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2">
        <v>1</v>
      </c>
      <c r="D89" s="63" t="s">
        <v>200</v>
      </c>
      <c r="E89" s="63" t="s">
        <v>201</v>
      </c>
      <c r="F89" s="64" t="s">
        <v>63</v>
      </c>
      <c r="G89" s="62"/>
      <c r="H89" s="91">
        <v>0</v>
      </c>
      <c r="I89" s="91">
        <v>1</v>
      </c>
      <c r="J89" s="91">
        <v>1</v>
      </c>
      <c r="K89" s="91">
        <v>0.8</v>
      </c>
      <c r="L89" s="91">
        <v>0.5</v>
      </c>
      <c r="M89" s="91">
        <v>0</v>
      </c>
      <c r="N89" s="91">
        <v>0</v>
      </c>
      <c r="O89" s="91">
        <v>0</v>
      </c>
      <c r="P89" s="91">
        <v>1</v>
      </c>
      <c r="Q89" s="91">
        <v>0</v>
      </c>
      <c r="R89" s="91">
        <v>0.5</v>
      </c>
      <c r="S89" s="91">
        <v>1</v>
      </c>
      <c r="T89" s="91">
        <v>1</v>
      </c>
      <c r="U89" s="91">
        <v>1</v>
      </c>
      <c r="V89" s="91">
        <v>1</v>
      </c>
    </row>
    <row r="90" spans="1:22">
      <c r="A90">
        <v>1</v>
      </c>
      <c r="B90" t="str">
        <f>VLOOKUP(F90,'TRA balance'!$BA$5:$BB$14,2,FALSE)</f>
        <v>TRAELC</v>
      </c>
      <c r="C90" s="54" t="str">
        <f t="shared" si="68"/>
        <v>TR</v>
      </c>
      <c r="D90" s="55" t="s">
        <v>200</v>
      </c>
      <c r="E90" s="66" t="s">
        <v>202</v>
      </c>
      <c r="F90" s="56" t="str">
        <f>F89</f>
        <v>Electricity</v>
      </c>
      <c r="G90" s="54" t="s">
        <v>203</v>
      </c>
      <c r="H90" s="95">
        <f t="shared" ref="H90:H93" si="83">L90</f>
        <v>0.2</v>
      </c>
      <c r="I90" s="57">
        <v>0.2</v>
      </c>
      <c r="J90" s="57">
        <v>0.2</v>
      </c>
      <c r="K90" s="57">
        <v>0.2</v>
      </c>
      <c r="L90" s="57">
        <v>0.2</v>
      </c>
      <c r="M90" s="95">
        <f>V90</f>
        <v>0.2</v>
      </c>
      <c r="N90" s="95">
        <f>V90</f>
        <v>0.2</v>
      </c>
      <c r="O90" s="57">
        <v>0.2</v>
      </c>
      <c r="P90" s="57">
        <v>0.2</v>
      </c>
      <c r="Q90" s="57">
        <v>0.2</v>
      </c>
      <c r="R90" s="57">
        <v>0.2</v>
      </c>
      <c r="S90" s="57">
        <v>0.2</v>
      </c>
      <c r="T90" s="57">
        <v>0.2</v>
      </c>
      <c r="U90" s="57">
        <v>0.2</v>
      </c>
      <c r="V90" s="57">
        <v>0.2</v>
      </c>
    </row>
    <row r="91" spans="1:22">
      <c r="A91">
        <v>1</v>
      </c>
      <c r="B91" t="str">
        <f>VLOOKUP(F91,'TRA balance'!$BA$5:$BB$14,2,FALSE)</f>
        <v>TRAELC</v>
      </c>
      <c r="C91" s="54" t="str">
        <f t="shared" si="68"/>
        <v>TR</v>
      </c>
      <c r="D91" s="55" t="s">
        <v>200</v>
      </c>
      <c r="E91" s="66" t="s">
        <v>204</v>
      </c>
      <c r="F91" s="56" t="str">
        <f t="shared" ref="F91:F96" si="84">F90</f>
        <v>Electricity</v>
      </c>
      <c r="G91" s="54" t="s">
        <v>205</v>
      </c>
      <c r="H91" s="95">
        <f t="shared" si="83"/>
        <v>0.05</v>
      </c>
      <c r="I91" s="57">
        <v>0.05</v>
      </c>
      <c r="J91" s="57">
        <v>0.05</v>
      </c>
      <c r="K91" s="57">
        <v>0.05</v>
      </c>
      <c r="L91" s="57">
        <v>0.05</v>
      </c>
      <c r="M91" s="95">
        <f t="shared" ref="M91:M93" si="85">V91</f>
        <v>0.05</v>
      </c>
      <c r="N91" s="95">
        <f t="shared" ref="N91:N93" si="86">V91</f>
        <v>0.05</v>
      </c>
      <c r="O91" s="57">
        <v>0.05</v>
      </c>
      <c r="P91" s="57">
        <v>0.05</v>
      </c>
      <c r="Q91" s="57">
        <v>0.05</v>
      </c>
      <c r="R91" s="57">
        <v>0.05</v>
      </c>
      <c r="S91" s="57">
        <v>0.05</v>
      </c>
      <c r="T91" s="57">
        <v>0.05</v>
      </c>
      <c r="U91" s="57">
        <v>0.05</v>
      </c>
      <c r="V91" s="57">
        <v>0.05</v>
      </c>
    </row>
    <row r="92" spans="1:22">
      <c r="A92">
        <v>1</v>
      </c>
      <c r="B92" t="str">
        <f>VLOOKUP(F92,'TRA balance'!$BA$5:$BB$14,2,FALSE)</f>
        <v>TRAELC</v>
      </c>
      <c r="C92" s="54" t="str">
        <f t="shared" si="68"/>
        <v>TR</v>
      </c>
      <c r="D92" s="55" t="s">
        <v>200</v>
      </c>
      <c r="E92" s="66" t="s">
        <v>206</v>
      </c>
      <c r="F92" s="56" t="str">
        <f t="shared" si="84"/>
        <v>Electricity</v>
      </c>
      <c r="G92" s="54" t="s">
        <v>207</v>
      </c>
      <c r="H92" s="95">
        <f t="shared" si="83"/>
        <v>0</v>
      </c>
      <c r="I92" s="57">
        <v>0</v>
      </c>
      <c r="J92" s="57">
        <v>0</v>
      </c>
      <c r="K92" s="57">
        <v>0</v>
      </c>
      <c r="L92" s="57">
        <v>0</v>
      </c>
      <c r="M92" s="95">
        <f t="shared" si="85"/>
        <v>0</v>
      </c>
      <c r="N92" s="95">
        <f t="shared" si="86"/>
        <v>0</v>
      </c>
      <c r="O92" s="57">
        <v>0</v>
      </c>
      <c r="P92" s="57">
        <v>0</v>
      </c>
      <c r="Q92" s="57">
        <v>0</v>
      </c>
      <c r="R92" s="57">
        <v>0</v>
      </c>
      <c r="S92" s="57">
        <v>0</v>
      </c>
      <c r="T92" s="57">
        <v>0</v>
      </c>
      <c r="U92" s="57">
        <v>0</v>
      </c>
      <c r="V92" s="57">
        <v>0</v>
      </c>
    </row>
    <row r="93" spans="1:22">
      <c r="A93">
        <v>1</v>
      </c>
      <c r="B93" t="str">
        <f>VLOOKUP(F93,'TRA balance'!$BA$5:$BB$14,2,FALSE)</f>
        <v>TRAELC</v>
      </c>
      <c r="C93" s="54" t="str">
        <f t="shared" si="68"/>
        <v>TR</v>
      </c>
      <c r="D93" s="55" t="s">
        <v>200</v>
      </c>
      <c r="E93" s="66" t="s">
        <v>208</v>
      </c>
      <c r="F93" s="56" t="str">
        <f t="shared" si="84"/>
        <v>Electricity</v>
      </c>
      <c r="G93" s="54" t="s">
        <v>209</v>
      </c>
      <c r="H93" s="98">
        <f>1-SUM(H90:H92)</f>
        <v>0.75</v>
      </c>
      <c r="I93" s="98">
        <f t="shared" ref="I93:V93" si="87">1-SUM(I90:I92)</f>
        <v>0.75</v>
      </c>
      <c r="J93" s="98">
        <f t="shared" si="87"/>
        <v>0.75</v>
      </c>
      <c r="K93" s="98">
        <f t="shared" si="87"/>
        <v>0.75</v>
      </c>
      <c r="L93" s="98">
        <f t="shared" si="87"/>
        <v>0.75</v>
      </c>
      <c r="M93" s="98">
        <f t="shared" si="87"/>
        <v>0.75</v>
      </c>
      <c r="N93" s="98">
        <f t="shared" si="87"/>
        <v>0.75</v>
      </c>
      <c r="O93" s="98">
        <f t="shared" si="87"/>
        <v>0.75</v>
      </c>
      <c r="P93" s="98">
        <f t="shared" si="87"/>
        <v>0.75</v>
      </c>
      <c r="Q93" s="98">
        <f t="shared" si="87"/>
        <v>0.75</v>
      </c>
      <c r="R93" s="98">
        <f t="shared" si="87"/>
        <v>0.75</v>
      </c>
      <c r="S93" s="98">
        <f t="shared" si="87"/>
        <v>0.75</v>
      </c>
      <c r="T93" s="98">
        <f t="shared" si="87"/>
        <v>0.75</v>
      </c>
      <c r="U93" s="98">
        <f t="shared" si="87"/>
        <v>0.75</v>
      </c>
      <c r="V93" s="98">
        <f t="shared" si="87"/>
        <v>0.75</v>
      </c>
    </row>
    <row r="94" spans="1:22">
      <c r="A94">
        <v>1</v>
      </c>
      <c r="B94" t="str">
        <f>VLOOKUP(F94,'TRA balance'!$BA$5:$BB$14,2,FALSE)</f>
        <v>TRAELC</v>
      </c>
      <c r="C94" s="54" t="str">
        <f t="shared" si="68"/>
        <v/>
      </c>
      <c r="D94" s="55"/>
      <c r="E94" s="67" t="s">
        <v>210</v>
      </c>
      <c r="F94" s="56" t="str">
        <f t="shared" si="84"/>
        <v>Electricity</v>
      </c>
      <c r="G94" s="54"/>
      <c r="H94" s="67" t="str">
        <f>IF(SUM(H90:H93)=1,"-","&lt;&gt;1!!")</f>
        <v>-</v>
      </c>
      <c r="I94" s="67" t="str">
        <f t="shared" ref="I94:V94" si="88">IF(SUM(I90:I93)=1,"-","&lt;&gt;1!!")</f>
        <v>-</v>
      </c>
      <c r="J94" s="67" t="str">
        <f t="shared" si="88"/>
        <v>-</v>
      </c>
      <c r="K94" s="67" t="str">
        <f t="shared" si="88"/>
        <v>-</v>
      </c>
      <c r="L94" s="67" t="str">
        <f t="shared" si="88"/>
        <v>-</v>
      </c>
      <c r="M94" s="67" t="str">
        <f t="shared" si="88"/>
        <v>-</v>
      </c>
      <c r="N94" s="67" t="str">
        <f t="shared" si="88"/>
        <v>-</v>
      </c>
      <c r="O94" s="67" t="str">
        <f t="shared" si="88"/>
        <v>-</v>
      </c>
      <c r="P94" s="67" t="str">
        <f t="shared" si="88"/>
        <v>-</v>
      </c>
      <c r="Q94" s="67" t="str">
        <f t="shared" si="88"/>
        <v>-</v>
      </c>
      <c r="R94" s="67" t="str">
        <f t="shared" si="88"/>
        <v>-</v>
      </c>
      <c r="S94" s="67" t="str">
        <f t="shared" si="88"/>
        <v>-</v>
      </c>
      <c r="T94" s="67" t="str">
        <f t="shared" si="88"/>
        <v>-</v>
      </c>
      <c r="U94" s="67" t="str">
        <f t="shared" si="88"/>
        <v>-</v>
      </c>
      <c r="V94" s="67" t="str">
        <f t="shared" si="88"/>
        <v>-</v>
      </c>
    </row>
    <row r="95" spans="1:22">
      <c r="A95">
        <v>1</v>
      </c>
      <c r="B95" t="str">
        <f>VLOOKUP(F95,'TRA balance'!$BA$5:$BB$14,2,FALSE)</f>
        <v>TRAELC</v>
      </c>
      <c r="C95" s="62">
        <v>2</v>
      </c>
      <c r="D95" s="63" t="s">
        <v>200</v>
      </c>
      <c r="E95" s="63" t="s">
        <v>211</v>
      </c>
      <c r="F95" s="64" t="str">
        <f t="shared" si="84"/>
        <v>Electricity</v>
      </c>
      <c r="G95" s="62"/>
      <c r="H95" s="68">
        <f>1-H89</f>
        <v>1</v>
      </c>
      <c r="I95" s="68">
        <f t="shared" ref="I95:V95" si="89">1-I89</f>
        <v>0</v>
      </c>
      <c r="J95" s="68">
        <f t="shared" si="89"/>
        <v>0</v>
      </c>
      <c r="K95" s="68">
        <f t="shared" si="89"/>
        <v>0.2</v>
      </c>
      <c r="L95" s="68">
        <f t="shared" si="89"/>
        <v>0.5</v>
      </c>
      <c r="M95" s="68">
        <f t="shared" si="89"/>
        <v>1</v>
      </c>
      <c r="N95" s="68">
        <f t="shared" si="89"/>
        <v>1</v>
      </c>
      <c r="O95" s="68">
        <f t="shared" si="89"/>
        <v>1</v>
      </c>
      <c r="P95" s="68">
        <f t="shared" si="89"/>
        <v>0</v>
      </c>
      <c r="Q95" s="68">
        <f t="shared" si="89"/>
        <v>1</v>
      </c>
      <c r="R95" s="68">
        <f t="shared" si="89"/>
        <v>0.5</v>
      </c>
      <c r="S95" s="68">
        <f t="shared" si="89"/>
        <v>0</v>
      </c>
      <c r="T95" s="68">
        <f t="shared" si="89"/>
        <v>0</v>
      </c>
      <c r="U95" s="68">
        <f t="shared" si="89"/>
        <v>0</v>
      </c>
      <c r="V95" s="68">
        <f t="shared" si="89"/>
        <v>0</v>
      </c>
    </row>
    <row r="96" spans="1:22">
      <c r="A96">
        <v>2</v>
      </c>
      <c r="B96" t="str">
        <f>VLOOKUP(F96,'TRA balance'!$BA$5:$BB$14,2,FALSE)</f>
        <v>TRAELC</v>
      </c>
      <c r="C96" s="54" t="str">
        <f t="shared" si="68"/>
        <v>TR</v>
      </c>
      <c r="D96" s="55" t="s">
        <v>200</v>
      </c>
      <c r="E96" s="66" t="s">
        <v>212</v>
      </c>
      <c r="F96" s="56" t="str">
        <f t="shared" si="84"/>
        <v>Electricity</v>
      </c>
      <c r="G96" s="54" t="s">
        <v>213</v>
      </c>
      <c r="H96" s="95">
        <v>1</v>
      </c>
      <c r="I96" s="95">
        <v>1</v>
      </c>
      <c r="J96" s="95">
        <v>1</v>
      </c>
      <c r="K96" s="95">
        <v>0.5</v>
      </c>
      <c r="L96" s="57">
        <v>1</v>
      </c>
      <c r="M96" s="95">
        <v>1</v>
      </c>
      <c r="N96" s="95">
        <v>1</v>
      </c>
      <c r="O96" s="95">
        <v>1</v>
      </c>
      <c r="P96" s="95">
        <v>1</v>
      </c>
      <c r="Q96" s="95">
        <v>1</v>
      </c>
      <c r="R96" s="57">
        <v>1</v>
      </c>
      <c r="S96" s="95">
        <v>1</v>
      </c>
      <c r="T96" s="95">
        <v>1</v>
      </c>
      <c r="U96" s="95">
        <v>1</v>
      </c>
      <c r="V96" s="95">
        <v>1</v>
      </c>
    </row>
    <row r="97" spans="1:22">
      <c r="A97">
        <v>2</v>
      </c>
      <c r="B97" t="str">
        <f>VLOOKUP(F97,'TRA balance'!$BA$5:$BB$14,2,FALSE)</f>
        <v>TRAELC</v>
      </c>
      <c r="C97" s="54" t="str">
        <f t="shared" si="68"/>
        <v>TR</v>
      </c>
      <c r="D97" s="55" t="s">
        <v>200</v>
      </c>
      <c r="E97" s="66" t="s">
        <v>214</v>
      </c>
      <c r="F97" s="56" t="str">
        <f t="shared" ref="F97:F103" si="90">F96</f>
        <v>Electricity</v>
      </c>
      <c r="G97" s="54" t="s">
        <v>215</v>
      </c>
      <c r="H97" s="57">
        <v>0</v>
      </c>
      <c r="I97" s="57">
        <v>0</v>
      </c>
      <c r="J97" s="57">
        <v>0</v>
      </c>
      <c r="K97" s="57">
        <v>0</v>
      </c>
      <c r="L97" s="57">
        <v>0</v>
      </c>
      <c r="M97" s="57">
        <v>0</v>
      </c>
      <c r="N97" s="57">
        <v>0</v>
      </c>
      <c r="O97" s="57">
        <v>0</v>
      </c>
      <c r="P97" s="57">
        <v>0</v>
      </c>
      <c r="Q97" s="57">
        <v>0</v>
      </c>
      <c r="R97" s="57">
        <v>0</v>
      </c>
      <c r="S97" s="57">
        <v>0</v>
      </c>
      <c r="T97" s="57">
        <v>0</v>
      </c>
      <c r="U97" s="57">
        <v>0</v>
      </c>
      <c r="V97" s="57">
        <v>0</v>
      </c>
    </row>
    <row r="98" spans="1:22">
      <c r="A98">
        <v>2</v>
      </c>
      <c r="B98" t="str">
        <f>VLOOKUP(F98,'TRA balance'!$BA$5:$BB$14,2,FALSE)</f>
        <v>TRAELC</v>
      </c>
      <c r="C98" s="54" t="str">
        <f t="shared" si="68"/>
        <v>TR</v>
      </c>
      <c r="D98" s="55" t="s">
        <v>200</v>
      </c>
      <c r="E98" s="66" t="s">
        <v>216</v>
      </c>
      <c r="F98" s="56" t="str">
        <f t="shared" si="90"/>
        <v>Electricity</v>
      </c>
      <c r="G98" s="54" t="s">
        <v>217</v>
      </c>
      <c r="H98" s="57">
        <v>0</v>
      </c>
      <c r="I98" s="57">
        <v>0</v>
      </c>
      <c r="J98" s="57">
        <v>0</v>
      </c>
      <c r="K98" s="57">
        <v>0</v>
      </c>
      <c r="L98" s="57">
        <v>0</v>
      </c>
      <c r="M98" s="57">
        <v>0</v>
      </c>
      <c r="N98" s="57">
        <v>0</v>
      </c>
      <c r="O98" s="57">
        <v>0</v>
      </c>
      <c r="P98" s="57">
        <v>0</v>
      </c>
      <c r="Q98" s="57">
        <v>0</v>
      </c>
      <c r="R98" s="57">
        <v>0</v>
      </c>
      <c r="S98" s="57">
        <v>0</v>
      </c>
      <c r="T98" s="57">
        <v>0</v>
      </c>
      <c r="U98" s="57">
        <v>0</v>
      </c>
      <c r="V98" s="57">
        <v>0</v>
      </c>
    </row>
    <row r="99" spans="1:22">
      <c r="A99">
        <v>2</v>
      </c>
      <c r="B99" t="str">
        <f>VLOOKUP(F99,'TRA balance'!$BA$5:$BB$14,2,FALSE)</f>
        <v>TRAELC</v>
      </c>
      <c r="C99" s="54" t="str">
        <f t="shared" si="68"/>
        <v>TR</v>
      </c>
      <c r="D99" s="55" t="s">
        <v>200</v>
      </c>
      <c r="E99" s="66" t="s">
        <v>218</v>
      </c>
      <c r="F99" s="56" t="str">
        <f t="shared" si="90"/>
        <v>Electricity</v>
      </c>
      <c r="G99" s="54" t="s">
        <v>219</v>
      </c>
      <c r="H99" s="57">
        <v>0</v>
      </c>
      <c r="I99" s="57">
        <v>0</v>
      </c>
      <c r="J99" s="57">
        <v>0</v>
      </c>
      <c r="K99" s="57">
        <v>0.5</v>
      </c>
      <c r="L99" s="57">
        <v>0</v>
      </c>
      <c r="M99" s="57">
        <v>0</v>
      </c>
      <c r="N99" s="57">
        <v>0</v>
      </c>
      <c r="O99" s="57">
        <v>0</v>
      </c>
      <c r="P99" s="57">
        <v>0</v>
      </c>
      <c r="Q99" s="57">
        <v>0</v>
      </c>
      <c r="R99" s="57">
        <v>0</v>
      </c>
      <c r="S99" s="57">
        <v>0</v>
      </c>
      <c r="T99" s="57">
        <v>0</v>
      </c>
      <c r="U99" s="57">
        <v>0</v>
      </c>
      <c r="V99" s="57">
        <v>0</v>
      </c>
    </row>
    <row r="100" spans="1:22">
      <c r="A100">
        <v>1</v>
      </c>
      <c r="B100" t="str">
        <f>VLOOKUP(F100,'TRA balance'!$BA$5:$BB$14,2,FALSE)</f>
        <v>TRAELC</v>
      </c>
      <c r="C100" s="54" t="str">
        <f t="shared" si="68"/>
        <v/>
      </c>
      <c r="D100" s="55"/>
      <c r="E100" s="67" t="s">
        <v>220</v>
      </c>
      <c r="F100" s="56" t="str">
        <f t="shared" si="90"/>
        <v>Electricity</v>
      </c>
      <c r="G100" s="54"/>
      <c r="H100" s="69" t="str">
        <f>IF(SUM(H96:H99)=1,"-","&lt;&gt;1!!")</f>
        <v>-</v>
      </c>
      <c r="I100" s="69" t="str">
        <f t="shared" ref="I100:V100" si="91">IF(SUM(I96:I99)=1,"-","&lt;&gt;1!!")</f>
        <v>-</v>
      </c>
      <c r="J100" s="69" t="str">
        <f t="shared" si="91"/>
        <v>-</v>
      </c>
      <c r="K100" s="69" t="str">
        <f t="shared" si="91"/>
        <v>-</v>
      </c>
      <c r="L100" s="69" t="str">
        <f t="shared" si="91"/>
        <v>-</v>
      </c>
      <c r="M100" s="69" t="str">
        <f t="shared" si="91"/>
        <v>-</v>
      </c>
      <c r="N100" s="69" t="str">
        <f t="shared" si="91"/>
        <v>-</v>
      </c>
      <c r="O100" s="69" t="str">
        <f t="shared" si="91"/>
        <v>-</v>
      </c>
      <c r="P100" s="69" t="str">
        <f t="shared" si="91"/>
        <v>-</v>
      </c>
      <c r="Q100" s="69" t="str">
        <f t="shared" si="91"/>
        <v>-</v>
      </c>
      <c r="R100" s="69" t="str">
        <f t="shared" si="91"/>
        <v>-</v>
      </c>
      <c r="S100" s="69" t="str">
        <f t="shared" si="91"/>
        <v>-</v>
      </c>
      <c r="T100" s="69" t="str">
        <f t="shared" si="91"/>
        <v>-</v>
      </c>
      <c r="U100" s="69" t="str">
        <f t="shared" si="91"/>
        <v>-</v>
      </c>
      <c r="V100" s="69" t="str">
        <f t="shared" si="91"/>
        <v>-</v>
      </c>
    </row>
    <row r="101" spans="1:22">
      <c r="A101">
        <v>1</v>
      </c>
      <c r="B101" t="str">
        <f>VLOOKUP(F101,'TRA balance'!$BA$5:$BB$14,2,FALSE)</f>
        <v>TRAELC</v>
      </c>
      <c r="C101" s="54" t="str">
        <f t="shared" si="68"/>
        <v>TT</v>
      </c>
      <c r="D101" s="55" t="s">
        <v>192</v>
      </c>
      <c r="E101" s="55" t="s">
        <v>193</v>
      </c>
      <c r="F101" s="56" t="str">
        <f t="shared" si="90"/>
        <v>Electricity</v>
      </c>
      <c r="G101" s="54" t="s">
        <v>194</v>
      </c>
      <c r="H101" s="57">
        <v>0.3</v>
      </c>
      <c r="I101" s="57">
        <v>0.3</v>
      </c>
      <c r="J101" s="57">
        <v>0</v>
      </c>
      <c r="K101" s="57">
        <v>0.2</v>
      </c>
      <c r="L101" s="57">
        <v>0.05</v>
      </c>
      <c r="M101" s="57">
        <v>0.1</v>
      </c>
      <c r="N101" s="57">
        <v>0.2</v>
      </c>
      <c r="O101" s="57">
        <v>0.3</v>
      </c>
      <c r="P101" s="57">
        <v>0</v>
      </c>
      <c r="Q101" s="57">
        <v>0.1</v>
      </c>
      <c r="R101" s="57">
        <v>0.05</v>
      </c>
      <c r="S101" s="57">
        <v>0.05</v>
      </c>
      <c r="T101" s="57">
        <v>0.2</v>
      </c>
      <c r="U101" s="57">
        <v>0</v>
      </c>
      <c r="V101" s="57">
        <v>0</v>
      </c>
    </row>
    <row r="102" spans="1:22">
      <c r="A102">
        <v>1</v>
      </c>
      <c r="B102" t="str">
        <f>VLOOKUP(F102,'TRA balance'!$BA$5:$BB$14,2,FALSE)</f>
        <v>TRAELC</v>
      </c>
      <c r="C102" s="54" t="str">
        <f t="shared" si="68"/>
        <v>TT</v>
      </c>
      <c r="D102" s="55" t="s">
        <v>192</v>
      </c>
      <c r="E102" s="55" t="s">
        <v>197</v>
      </c>
      <c r="F102" s="56" t="str">
        <f t="shared" si="90"/>
        <v>Electricity</v>
      </c>
      <c r="G102" s="54" t="s">
        <v>198</v>
      </c>
      <c r="H102" s="57">
        <v>0.7</v>
      </c>
      <c r="I102" s="57">
        <v>0.7</v>
      </c>
      <c r="J102" s="57">
        <v>1</v>
      </c>
      <c r="K102" s="57">
        <v>0.8</v>
      </c>
      <c r="L102" s="57">
        <v>0.95</v>
      </c>
      <c r="M102" s="57">
        <v>0.9</v>
      </c>
      <c r="N102" s="57">
        <v>0.8</v>
      </c>
      <c r="O102" s="57">
        <v>0.7</v>
      </c>
      <c r="P102" s="57">
        <v>1</v>
      </c>
      <c r="Q102" s="57">
        <v>0.9</v>
      </c>
      <c r="R102" s="57">
        <v>0.95</v>
      </c>
      <c r="S102" s="57">
        <v>0.95</v>
      </c>
      <c r="T102" s="57">
        <v>0.8</v>
      </c>
      <c r="U102" s="57">
        <v>1</v>
      </c>
      <c r="V102" s="57">
        <v>1</v>
      </c>
    </row>
    <row r="103" spans="1:22">
      <c r="A103">
        <v>1</v>
      </c>
      <c r="B103" t="str">
        <f>VLOOKUP(F103,'TRA balance'!$BA$5:$BB$14,2,FALSE)</f>
        <v>TRAELC</v>
      </c>
      <c r="C103" s="58"/>
      <c r="D103" s="58"/>
      <c r="E103" s="59" t="s">
        <v>199</v>
      </c>
      <c r="F103" s="60" t="str">
        <f t="shared" si="90"/>
        <v>Electricity</v>
      </c>
      <c r="G103" s="58"/>
      <c r="H103" s="59" t="str">
        <f t="shared" ref="H103:V103" si="92">IF(SUM(H101:H102)=1,"-","&lt;&gt;1!!")</f>
        <v>-</v>
      </c>
      <c r="I103" s="59" t="str">
        <f t="shared" si="92"/>
        <v>-</v>
      </c>
      <c r="J103" s="59" t="str">
        <f t="shared" si="92"/>
        <v>-</v>
      </c>
      <c r="K103" s="59" t="str">
        <f t="shared" si="92"/>
        <v>-</v>
      </c>
      <c r="L103" s="59" t="str">
        <f t="shared" si="92"/>
        <v>-</v>
      </c>
      <c r="M103" s="59" t="str">
        <f t="shared" si="92"/>
        <v>-</v>
      </c>
      <c r="N103" s="59" t="str">
        <f t="shared" si="92"/>
        <v>-</v>
      </c>
      <c r="O103" s="59" t="str">
        <f t="shared" si="92"/>
        <v>-</v>
      </c>
      <c r="P103" s="59" t="str">
        <f t="shared" si="92"/>
        <v>-</v>
      </c>
      <c r="Q103" s="59" t="str">
        <f t="shared" si="92"/>
        <v>-</v>
      </c>
      <c r="R103" s="59" t="str">
        <f t="shared" si="92"/>
        <v>-</v>
      </c>
      <c r="S103" s="59" t="str">
        <f t="shared" si="92"/>
        <v>-</v>
      </c>
      <c r="T103" s="59" t="str">
        <f t="shared" si="92"/>
        <v>-</v>
      </c>
      <c r="U103" s="59" t="str">
        <f t="shared" si="92"/>
        <v>-</v>
      </c>
      <c r="V103" s="59" t="str">
        <f t="shared" si="92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5" t="s">
        <v>225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</row>
    <row r="4" spans="1:41">
      <c r="A4" t="s">
        <v>225</v>
      </c>
      <c r="B4">
        <v>2007</v>
      </c>
      <c r="C4" t="s">
        <v>4</v>
      </c>
      <c r="D4">
        <v>8.47157</v>
      </c>
      <c r="F4" s="77">
        <v>2005</v>
      </c>
      <c r="G4" s="76">
        <v>7.408</v>
      </c>
      <c r="H4" s="76">
        <v>5.235202</v>
      </c>
      <c r="I4" s="76">
        <v>11.011</v>
      </c>
      <c r="J4" s="76">
        <v>4.157</v>
      </c>
      <c r="K4" s="76">
        <v>2.691523</v>
      </c>
      <c r="L4" s="76">
        <v>12.26</v>
      </c>
      <c r="M4" s="76">
        <v>18.925913525</v>
      </c>
      <c r="N4" s="76">
        <v>21.325</v>
      </c>
      <c r="O4" s="76">
        <v>2.349781</v>
      </c>
      <c r="P4" s="76">
        <v>5.263</v>
      </c>
      <c r="Q4" s="76">
        <v>30.1</v>
      </c>
      <c r="R4" s="76">
        <v>46.09</v>
      </c>
      <c r="S4" s="76">
        <v>4.658129</v>
      </c>
      <c r="T4" s="76">
        <v>8.791</v>
      </c>
      <c r="U4" s="76">
        <v>0.187</v>
      </c>
      <c r="V4" s="76">
        <v>7.626</v>
      </c>
      <c r="W4" s="76">
        <v>1.662157</v>
      </c>
      <c r="X4" s="76">
        <v>34.873</v>
      </c>
      <c r="Y4" s="76">
        <v>57.091</v>
      </c>
      <c r="Z4" s="76">
        <v>18.345078</v>
      </c>
      <c r="AA4" s="76">
        <v>14.902664</v>
      </c>
      <c r="AB4" s="76">
        <v>165.333</v>
      </c>
      <c r="AC4" s="76">
        <v>2.029</v>
      </c>
      <c r="AD4" s="76">
        <v>12.339</v>
      </c>
      <c r="AE4" s="76">
        <v>43.529526</v>
      </c>
      <c r="AF4" s="76">
        <v>27.394</v>
      </c>
      <c r="AG4" s="76">
        <v>2.16</v>
      </c>
      <c r="AH4" s="76">
        <v>4.575</v>
      </c>
      <c r="AI4" s="76">
        <v>24.45</v>
      </c>
      <c r="AJ4" s="76">
        <v>8.539477</v>
      </c>
      <c r="AK4" s="76">
        <v>3.906</v>
      </c>
      <c r="AL4" s="76">
        <v>5.773</v>
      </c>
      <c r="AM4" s="76">
        <v>30.477058</v>
      </c>
      <c r="AN4" s="76">
        <v>5.831994</v>
      </c>
      <c r="AO4" s="76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7">
        <v>2006</v>
      </c>
      <c r="G5" s="76">
        <v>8.064428</v>
      </c>
      <c r="H5" s="76">
        <v>6.628242</v>
      </c>
      <c r="I5" s="76">
        <v>11.273</v>
      </c>
      <c r="J5" s="76">
        <v>4.205</v>
      </c>
      <c r="K5" s="76">
        <v>2.968249</v>
      </c>
      <c r="L5" s="76">
        <v>12.474</v>
      </c>
      <c r="M5" s="76">
        <v>19.892111395</v>
      </c>
      <c r="N5" s="76">
        <v>26.196</v>
      </c>
      <c r="O5" s="76">
        <v>2.421567</v>
      </c>
      <c r="P5" s="76">
        <v>5.443</v>
      </c>
      <c r="Q5" s="76">
        <v>30.4</v>
      </c>
      <c r="R5" s="76">
        <v>46.57</v>
      </c>
      <c r="S5" s="76">
        <v>4.916016</v>
      </c>
      <c r="T5" s="76">
        <v>7.943</v>
      </c>
      <c r="U5" s="76">
        <v>0.197</v>
      </c>
      <c r="V5" s="76">
        <v>8.572</v>
      </c>
      <c r="W5" s="76">
        <v>1.778861</v>
      </c>
      <c r="X5" s="76">
        <v>35.509</v>
      </c>
      <c r="Y5" s="76">
        <v>57.521</v>
      </c>
      <c r="Z5" s="76">
        <v>19.311973</v>
      </c>
      <c r="AA5" s="76">
        <v>15.721219</v>
      </c>
      <c r="AB5" s="76">
        <v>170.198</v>
      </c>
      <c r="AC5" s="76">
        <v>2.085</v>
      </c>
      <c r="AD5" s="76">
        <v>13.384</v>
      </c>
      <c r="AE5" s="76">
        <v>45.956477</v>
      </c>
      <c r="AF5" s="76">
        <v>28.821</v>
      </c>
      <c r="AG5" s="76">
        <v>2.29</v>
      </c>
      <c r="AH5" s="76">
        <v>4.89</v>
      </c>
      <c r="AI5" s="76">
        <v>25.343</v>
      </c>
      <c r="AJ5" s="76">
        <v>8.717287</v>
      </c>
      <c r="AK5" s="76">
        <v>3.946</v>
      </c>
      <c r="AL5" s="76">
        <v>6.141</v>
      </c>
      <c r="AM5" s="76">
        <v>30.817036</v>
      </c>
      <c r="AN5" s="76">
        <v>5.923311</v>
      </c>
      <c r="AO5" s="76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7">
        <v>2007</v>
      </c>
      <c r="G6" s="76">
        <v>8.47157</v>
      </c>
      <c r="H6" s="76">
        <v>7.03697</v>
      </c>
      <c r="I6" s="76">
        <v>11.519</v>
      </c>
      <c r="J6" s="76">
        <v>4.246</v>
      </c>
      <c r="K6" s="76">
        <v>3.016572</v>
      </c>
      <c r="L6" s="76">
        <v>12.72</v>
      </c>
      <c r="M6" s="76">
        <v>21.29675603</v>
      </c>
      <c r="N6" s="76">
        <v>31.96</v>
      </c>
      <c r="O6" s="76">
        <v>2.511127</v>
      </c>
      <c r="P6" s="76">
        <v>5.714</v>
      </c>
      <c r="Q6" s="76">
        <v>30.7</v>
      </c>
      <c r="R6" s="76">
        <v>41.184</v>
      </c>
      <c r="S6" s="76">
        <v>5.20953</v>
      </c>
      <c r="T6" s="76">
        <v>8.648</v>
      </c>
      <c r="U6" s="76">
        <v>0.208</v>
      </c>
      <c r="V6" s="76">
        <v>9.444</v>
      </c>
      <c r="W6" s="76">
        <v>1.882901</v>
      </c>
      <c r="X6" s="76">
        <v>35.898</v>
      </c>
      <c r="Y6" s="76">
        <v>57.624</v>
      </c>
      <c r="Z6" s="76">
        <v>20.7246</v>
      </c>
      <c r="AA6" s="76">
        <v>16.676895</v>
      </c>
      <c r="AB6" s="76">
        <v>172.118</v>
      </c>
      <c r="AC6" s="76">
        <v>2.155</v>
      </c>
      <c r="AD6" s="76">
        <v>14.589</v>
      </c>
      <c r="AE6" s="76">
        <v>51.461047</v>
      </c>
      <c r="AF6" s="76">
        <v>31.585</v>
      </c>
      <c r="AG6" s="76">
        <v>2.45</v>
      </c>
      <c r="AH6" s="76">
        <v>5.161</v>
      </c>
      <c r="AI6" s="76">
        <v>26.139</v>
      </c>
      <c r="AJ6" s="76">
        <v>8.81388</v>
      </c>
      <c r="AK6" s="76">
        <v>4.002584</v>
      </c>
      <c r="AL6" s="76">
        <v>6.472</v>
      </c>
      <c r="AM6" s="76">
        <v>31.105988</v>
      </c>
      <c r="AN6" s="76">
        <v>6.278944</v>
      </c>
      <c r="AO6" s="76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7">
        <v>2008</v>
      </c>
      <c r="G7" s="76">
        <v>8.868029</v>
      </c>
      <c r="H7" s="76">
        <v>7.59139</v>
      </c>
      <c r="I7" s="76">
        <v>11.804</v>
      </c>
      <c r="J7" s="76">
        <v>4.285</v>
      </c>
      <c r="K7" s="76">
        <v>3.155693</v>
      </c>
      <c r="L7" s="76">
        <v>12.958</v>
      </c>
      <c r="M7" s="76">
        <v>22.91713966</v>
      </c>
      <c r="N7" s="76">
        <v>38.389</v>
      </c>
      <c r="O7" s="76">
        <v>2.586836</v>
      </c>
      <c r="P7" s="76">
        <v>5.968</v>
      </c>
      <c r="Q7" s="76">
        <v>30.85</v>
      </c>
      <c r="R7" s="76">
        <v>41.321</v>
      </c>
      <c r="S7" s="76">
        <v>5.467944</v>
      </c>
      <c r="T7" s="76">
        <v>9.448427</v>
      </c>
      <c r="U7" s="76">
        <v>0.21</v>
      </c>
      <c r="V7" s="76">
        <v>10.606</v>
      </c>
      <c r="W7" s="76">
        <v>1.924281</v>
      </c>
      <c r="X7" s="76">
        <v>36.327</v>
      </c>
      <c r="Y7" s="76">
        <v>57.865</v>
      </c>
      <c r="Z7" s="76">
        <v>22.407678</v>
      </c>
      <c r="AA7" s="76">
        <v>17.9861436666667</v>
      </c>
      <c r="AB7" s="76">
        <v>174.916</v>
      </c>
      <c r="AC7" s="76">
        <v>2.198</v>
      </c>
      <c r="AD7" s="76">
        <v>16.08</v>
      </c>
      <c r="AE7" s="76">
        <v>52.06651</v>
      </c>
      <c r="AF7" s="76">
        <v>34.314</v>
      </c>
      <c r="AG7" s="76">
        <v>2.62</v>
      </c>
      <c r="AH7" s="76">
        <v>5.276</v>
      </c>
      <c r="AI7" s="76">
        <v>26.553</v>
      </c>
      <c r="AJ7" s="76">
        <v>8.833722</v>
      </c>
      <c r="AK7" s="76">
        <v>4.031205</v>
      </c>
      <c r="AL7" s="76">
        <v>6.797</v>
      </c>
      <c r="AM7" s="76">
        <v>31.252476</v>
      </c>
      <c r="AN7" s="76">
        <v>6.760351</v>
      </c>
      <c r="AO7" s="76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7">
        <v>2009</v>
      </c>
      <c r="G8" s="76">
        <v>9.461706</v>
      </c>
      <c r="H8" s="76">
        <v>7.815142</v>
      </c>
      <c r="I8" s="76">
        <v>12.023</v>
      </c>
      <c r="J8" s="76">
        <v>4.36</v>
      </c>
      <c r="K8" s="76">
        <v>3.145294</v>
      </c>
      <c r="L8" s="76">
        <v>13.114</v>
      </c>
      <c r="M8" s="76">
        <v>24.814742645</v>
      </c>
      <c r="N8" s="76">
        <v>48.451</v>
      </c>
      <c r="O8" s="76">
        <v>2.598927</v>
      </c>
      <c r="P8" s="76">
        <v>6.024</v>
      </c>
      <c r="Q8" s="76">
        <v>31.05</v>
      </c>
      <c r="R8" s="76">
        <v>41.738</v>
      </c>
      <c r="S8" s="76">
        <v>5.59296</v>
      </c>
      <c r="T8" s="76">
        <v>9.760719</v>
      </c>
      <c r="U8" s="76">
        <v>0.205</v>
      </c>
      <c r="V8" s="76">
        <v>11.744</v>
      </c>
      <c r="W8" s="76">
        <v>1.902429</v>
      </c>
      <c r="X8" s="76">
        <v>36.599</v>
      </c>
      <c r="Y8" s="76">
        <v>58.02</v>
      </c>
      <c r="Z8" s="76">
        <v>23.18686</v>
      </c>
      <c r="AA8" s="76">
        <v>18.8806603333333</v>
      </c>
      <c r="AB8" s="76">
        <v>172.896</v>
      </c>
      <c r="AC8" s="76">
        <v>2.243</v>
      </c>
      <c r="AD8" s="76">
        <v>16.495</v>
      </c>
      <c r="AE8" s="76">
        <v>54.62955</v>
      </c>
      <c r="AF8" s="76">
        <v>35.52662</v>
      </c>
      <c r="AG8" s="76">
        <v>2.83</v>
      </c>
      <c r="AH8" s="76">
        <v>5.411</v>
      </c>
      <c r="AI8" s="76">
        <v>26.44</v>
      </c>
      <c r="AJ8" s="76">
        <v>8.876604</v>
      </c>
      <c r="AK8" s="76">
        <v>4.051832</v>
      </c>
      <c r="AL8" s="76">
        <v>7.094</v>
      </c>
      <c r="AM8" s="76">
        <v>31.035791</v>
      </c>
      <c r="AN8" s="76">
        <v>6.905365</v>
      </c>
      <c r="AO8" s="76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7">
        <v>2010</v>
      </c>
      <c r="G9" s="76">
        <v>10.341404</v>
      </c>
      <c r="H9" s="76">
        <v>8.168099</v>
      </c>
      <c r="I9" s="76">
        <v>12.269305</v>
      </c>
      <c r="J9" s="76">
        <v>4.441</v>
      </c>
      <c r="K9" s="76">
        <v>2.881219</v>
      </c>
      <c r="L9" s="76">
        <v>13.352</v>
      </c>
      <c r="M9" s="76">
        <v>26.887691905</v>
      </c>
      <c r="N9" s="76">
        <v>61.634</v>
      </c>
      <c r="O9" s="76">
        <v>2.583932</v>
      </c>
      <c r="P9" s="76">
        <v>6.165</v>
      </c>
      <c r="Q9" s="76">
        <v>31.3</v>
      </c>
      <c r="R9" s="76">
        <v>42.302</v>
      </c>
      <c r="S9" s="76">
        <v>5.679873</v>
      </c>
      <c r="T9" s="76">
        <v>9.906063</v>
      </c>
      <c r="U9" s="76">
        <v>0.205</v>
      </c>
      <c r="V9" s="76">
        <v>13.268</v>
      </c>
      <c r="W9" s="76">
        <v>1.872715</v>
      </c>
      <c r="X9" s="76">
        <v>36.985</v>
      </c>
      <c r="Y9" s="76">
        <v>58.347</v>
      </c>
      <c r="Z9" s="76">
        <v>24.653384</v>
      </c>
      <c r="AA9" s="76">
        <v>19.947797</v>
      </c>
      <c r="AB9" s="76">
        <v>170.474</v>
      </c>
      <c r="AC9" s="76">
        <v>2.305</v>
      </c>
      <c r="AD9" s="76">
        <v>17.24</v>
      </c>
      <c r="AE9" s="76">
        <v>58.298106</v>
      </c>
      <c r="AF9" s="76">
        <v>36.955415</v>
      </c>
      <c r="AG9" s="76">
        <v>3.11</v>
      </c>
      <c r="AH9" s="76">
        <v>5.319069</v>
      </c>
      <c r="AI9" s="76">
        <v>26.627</v>
      </c>
      <c r="AJ9" s="76">
        <v>8.990283</v>
      </c>
      <c r="AK9" s="76">
        <v>4.119684</v>
      </c>
      <c r="AL9" s="76">
        <v>7.545</v>
      </c>
      <c r="AM9" s="76">
        <v>31.258197</v>
      </c>
      <c r="AN9" s="76">
        <v>7.17429</v>
      </c>
      <c r="AO9" s="76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7">
        <v>2011</v>
      </c>
      <c r="G10" s="76">
        <v>10.914955</v>
      </c>
      <c r="H10" s="76">
        <v>8.571843</v>
      </c>
      <c r="I10" s="76">
        <v>12.474</v>
      </c>
      <c r="J10" s="76">
        <v>4.513</v>
      </c>
      <c r="K10" s="76">
        <v>2.899613</v>
      </c>
      <c r="L10" s="76">
        <v>13.564</v>
      </c>
      <c r="M10" s="76">
        <v>28.94593271</v>
      </c>
      <c r="N10" s="76">
        <v>74.85</v>
      </c>
      <c r="O10" s="76">
        <v>2.592109</v>
      </c>
      <c r="P10" s="76">
        <v>6.332</v>
      </c>
      <c r="Q10" s="76">
        <v>31.55</v>
      </c>
      <c r="R10" s="76">
        <v>42.928</v>
      </c>
      <c r="S10" s="76">
        <v>5.673591</v>
      </c>
      <c r="T10" s="76">
        <v>9.996808</v>
      </c>
      <c r="U10" s="76">
        <v>0.206112</v>
      </c>
      <c r="V10" s="76">
        <v>15.027</v>
      </c>
      <c r="W10" s="76">
        <v>1.88781</v>
      </c>
      <c r="X10" s="76">
        <v>37.353</v>
      </c>
      <c r="Y10" s="76">
        <v>58.67</v>
      </c>
      <c r="Z10" s="76">
        <v>26.271432</v>
      </c>
      <c r="AA10" s="76">
        <v>22.121991</v>
      </c>
      <c r="AB10" s="76">
        <v>170.559</v>
      </c>
      <c r="AC10" s="76">
        <v>2.37</v>
      </c>
      <c r="AD10" s="76">
        <v>17.872</v>
      </c>
      <c r="AE10" s="76">
        <v>62.126663</v>
      </c>
      <c r="AF10" s="76">
        <v>39.165548</v>
      </c>
      <c r="AG10" s="76">
        <v>3.41</v>
      </c>
      <c r="AH10" s="76">
        <v>5.506922</v>
      </c>
      <c r="AI10" s="76">
        <v>26.799</v>
      </c>
      <c r="AJ10" s="76">
        <v>9.136496</v>
      </c>
      <c r="AK10" s="76">
        <v>4.209672</v>
      </c>
      <c r="AL10" s="76">
        <v>8.113</v>
      </c>
      <c r="AM10" s="76">
        <v>31.362716</v>
      </c>
      <c r="AN10" s="76">
        <v>7.327973</v>
      </c>
      <c r="AO10" s="76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7">
        <v>2012</v>
      </c>
      <c r="G11" s="76">
        <v>11.49777</v>
      </c>
      <c r="H11" s="76">
        <v>9.057691</v>
      </c>
      <c r="I11" s="76">
        <v>12.714235</v>
      </c>
      <c r="J11" s="76">
        <v>4.584</v>
      </c>
      <c r="K11" s="76">
        <v>2.973814</v>
      </c>
      <c r="L11" s="76">
        <v>13.664463</v>
      </c>
      <c r="M11" s="76">
        <v>31.12262194</v>
      </c>
      <c r="N11" s="76">
        <v>87.376</v>
      </c>
      <c r="O11" s="76">
        <v>2.519187</v>
      </c>
      <c r="P11" s="76">
        <v>6.525</v>
      </c>
      <c r="Q11" s="76">
        <v>31.6</v>
      </c>
      <c r="R11" s="76">
        <v>43.431</v>
      </c>
      <c r="S11" s="76">
        <v>5.642557</v>
      </c>
      <c r="T11" s="76">
        <v>10.279842</v>
      </c>
      <c r="U11" s="76">
        <v>0.21007</v>
      </c>
      <c r="V11" s="76">
        <v>16.896</v>
      </c>
      <c r="W11" s="76">
        <v>1.88255</v>
      </c>
      <c r="X11" s="76">
        <v>37.327612</v>
      </c>
      <c r="Y11" s="76">
        <v>59.421</v>
      </c>
      <c r="Z11" s="76">
        <v>27.72508</v>
      </c>
      <c r="AA11" s="76">
        <v>24.065127</v>
      </c>
      <c r="AB11" s="76">
        <v>165.123628</v>
      </c>
      <c r="AC11" s="76">
        <v>2.433</v>
      </c>
      <c r="AD11" s="76">
        <v>18.744</v>
      </c>
      <c r="AE11" s="76">
        <v>66.4188436666666</v>
      </c>
      <c r="AF11" s="76">
        <v>41.230575</v>
      </c>
      <c r="AG11" s="76">
        <v>3.689</v>
      </c>
      <c r="AH11" s="76">
        <v>5.733314</v>
      </c>
      <c r="AI11" s="76">
        <v>26.745</v>
      </c>
      <c r="AJ11" s="76">
        <v>9.24719</v>
      </c>
      <c r="AK11" s="76">
        <v>4.300036</v>
      </c>
      <c r="AL11" s="76">
        <v>8.649</v>
      </c>
      <c r="AM11" s="76">
        <v>31.482</v>
      </c>
      <c r="AN11" s="76">
        <v>7.592379</v>
      </c>
      <c r="AO11" s="76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7">
        <v>2013</v>
      </c>
      <c r="G12" s="76">
        <v>12.123381</v>
      </c>
      <c r="H12" s="76">
        <v>9.519968</v>
      </c>
      <c r="I12" s="76">
        <v>13.000021</v>
      </c>
      <c r="J12" s="76">
        <v>4.641308</v>
      </c>
      <c r="K12" s="76">
        <v>3.072085</v>
      </c>
      <c r="L12" s="76">
        <v>13.956542</v>
      </c>
      <c r="M12" s="76">
        <v>33.091826185</v>
      </c>
      <c r="N12" s="76">
        <v>101.3608</v>
      </c>
      <c r="O12" s="76">
        <v>2.520221</v>
      </c>
      <c r="P12" s="76">
        <v>6.702876</v>
      </c>
      <c r="Q12" s="76">
        <v>31.65</v>
      </c>
      <c r="R12" s="76">
        <v>43.85123</v>
      </c>
      <c r="S12" s="76">
        <v>5.598769</v>
      </c>
      <c r="T12" s="76">
        <v>10.644618</v>
      </c>
      <c r="U12" s="76">
        <v>0.213113</v>
      </c>
      <c r="V12" s="76">
        <v>18.918</v>
      </c>
      <c r="W12" s="76">
        <v>1.910165</v>
      </c>
      <c r="X12" s="76">
        <v>37.21903</v>
      </c>
      <c r="Y12" s="76">
        <v>60.035848</v>
      </c>
      <c r="Z12" s="76">
        <v>28.922757</v>
      </c>
      <c r="AA12" s="76">
        <v>25.967972</v>
      </c>
      <c r="AB12" s="76">
        <v>166.295633</v>
      </c>
      <c r="AC12" s="76">
        <v>2.487353</v>
      </c>
      <c r="AD12" s="76">
        <v>19.34212</v>
      </c>
      <c r="AE12" s="76">
        <v>69.5489703333333</v>
      </c>
      <c r="AF12" s="76">
        <v>44.002445</v>
      </c>
      <c r="AG12" s="76">
        <v>3.8675</v>
      </c>
      <c r="AH12" s="76">
        <v>5.967222</v>
      </c>
      <c r="AI12" s="76">
        <v>26.504538</v>
      </c>
      <c r="AJ12" s="76">
        <v>9.351216</v>
      </c>
      <c r="AK12" s="76">
        <v>4.366895</v>
      </c>
      <c r="AL12" s="76">
        <v>9.283923</v>
      </c>
      <c r="AM12" s="76">
        <v>32.103</v>
      </c>
      <c r="AN12" s="76">
        <v>7.834418</v>
      </c>
      <c r="AO12" s="76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7">
        <v>2014</v>
      </c>
      <c r="G13" s="76">
        <v>12.821766</v>
      </c>
      <c r="H13" s="76">
        <v>10.067513</v>
      </c>
      <c r="I13" s="76">
        <v>13.29726</v>
      </c>
      <c r="J13" s="76">
        <v>4.694921</v>
      </c>
      <c r="K13" s="76">
        <v>2.516467</v>
      </c>
      <c r="L13" s="76">
        <v>14.076907</v>
      </c>
      <c r="M13" s="76">
        <v>34.67623183</v>
      </c>
      <c r="N13" s="76">
        <v>117.481913</v>
      </c>
      <c r="O13" s="76">
        <v>2.551457</v>
      </c>
      <c r="P13" s="76">
        <v>6.889208</v>
      </c>
      <c r="Q13" s="76">
        <v>31.8</v>
      </c>
      <c r="R13" s="76">
        <v>44.403124</v>
      </c>
      <c r="S13" s="76">
        <v>5.580695</v>
      </c>
      <c r="T13" s="76">
        <v>11.027188</v>
      </c>
      <c r="U13" s="76">
        <v>0.217454</v>
      </c>
      <c r="V13" s="76">
        <v>20.442</v>
      </c>
      <c r="W13" s="76">
        <v>1.943868</v>
      </c>
      <c r="X13" s="76">
        <v>37.346703</v>
      </c>
      <c r="Y13" s="76">
        <v>60.66807</v>
      </c>
      <c r="Z13" s="76">
        <v>30.518966</v>
      </c>
      <c r="AA13" s="76">
        <v>27.695111</v>
      </c>
      <c r="AB13" s="76">
        <v>168.257315</v>
      </c>
      <c r="AC13" s="76">
        <v>2.539552</v>
      </c>
      <c r="AD13" s="76">
        <v>19.978589</v>
      </c>
      <c r="AE13" s="76">
        <v>74.737974</v>
      </c>
      <c r="AF13" s="76">
        <v>46.326386</v>
      </c>
      <c r="AG13" s="76">
        <v>4.11</v>
      </c>
      <c r="AH13" s="76">
        <v>6.188332</v>
      </c>
      <c r="AI13" s="76">
        <v>26.525512</v>
      </c>
      <c r="AJ13" s="76">
        <v>9.502558</v>
      </c>
      <c r="AK13" s="76">
        <v>4.430375</v>
      </c>
      <c r="AL13" s="76">
        <v>9.857915</v>
      </c>
      <c r="AM13" s="76">
        <v>32.612782</v>
      </c>
      <c r="AN13" s="76">
        <v>7.852561</v>
      </c>
      <c r="AO13" s="76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7">
        <v>2015</v>
      </c>
      <c r="G14" s="76">
        <v>13.794338</v>
      </c>
      <c r="H14" s="76">
        <v>10.632235</v>
      </c>
      <c r="I14" s="76">
        <v>13.549449</v>
      </c>
      <c r="J14" s="76">
        <v>4.748048</v>
      </c>
      <c r="K14" s="76">
        <v>2.599711</v>
      </c>
      <c r="L14" s="76">
        <v>14.304275</v>
      </c>
      <c r="M14" s="76">
        <v>35.471423</v>
      </c>
      <c r="N14" s="76">
        <v>135.804833</v>
      </c>
      <c r="O14" s="76">
        <v>2.587488</v>
      </c>
      <c r="P14" s="76">
        <v>7.196288</v>
      </c>
      <c r="Q14" s="76">
        <v>32</v>
      </c>
      <c r="R14" s="76">
        <v>45.071209</v>
      </c>
      <c r="S14" s="76">
        <v>5.5926</v>
      </c>
      <c r="T14" s="76">
        <v>11.512075</v>
      </c>
      <c r="U14" s="76">
        <v>0.226321</v>
      </c>
      <c r="V14" s="76">
        <v>22.468</v>
      </c>
      <c r="W14" s="76">
        <v>1.98513</v>
      </c>
      <c r="X14" s="76">
        <v>37.626613</v>
      </c>
      <c r="Y14" s="76">
        <v>60.987883</v>
      </c>
      <c r="Z14" s="76">
        <v>31.461389</v>
      </c>
      <c r="AA14" s="76">
        <v>29.563625</v>
      </c>
      <c r="AB14" s="76">
        <v>171.327125</v>
      </c>
      <c r="AC14" s="76">
        <v>2.59239</v>
      </c>
      <c r="AD14" s="76">
        <v>20.688174</v>
      </c>
      <c r="AE14" s="76">
        <v>78.497225</v>
      </c>
      <c r="AF14" s="76">
        <v>47.290321</v>
      </c>
      <c r="AG14" s="76">
        <v>4.4</v>
      </c>
      <c r="AH14" s="76">
        <v>6.383756</v>
      </c>
      <c r="AI14" s="76">
        <v>26.948705</v>
      </c>
      <c r="AJ14" s="76">
        <v>9.674064</v>
      </c>
      <c r="AK14" s="76">
        <v>4.503865</v>
      </c>
      <c r="AL14" s="76">
        <v>10.589337</v>
      </c>
      <c r="AM14" s="76">
        <v>33.542448</v>
      </c>
      <c r="AN14" s="76">
        <v>7.929813</v>
      </c>
      <c r="AO14" s="76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5" t="s">
        <v>227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</row>
    <row r="16" spans="1:41">
      <c r="A16" t="s">
        <v>225</v>
      </c>
      <c r="B16">
        <v>2008</v>
      </c>
      <c r="C16" t="s">
        <v>5</v>
      </c>
      <c r="D16">
        <v>7.59139</v>
      </c>
      <c r="F16" s="77">
        <v>2005</v>
      </c>
      <c r="G16" s="76">
        <v>2.868</v>
      </c>
      <c r="H16" s="76">
        <v>3.34293</v>
      </c>
      <c r="I16" s="76">
        <v>2.601</v>
      </c>
      <c r="J16" s="76">
        <v>0.367</v>
      </c>
      <c r="K16" s="76">
        <v>0.352157</v>
      </c>
      <c r="L16" s="76">
        <v>1.77607</v>
      </c>
      <c r="M16" s="76">
        <v>4.112682</v>
      </c>
      <c r="N16" s="76">
        <v>10.272</v>
      </c>
      <c r="O16" s="76">
        <v>0.236282</v>
      </c>
      <c r="P16" s="76">
        <v>0.736</v>
      </c>
      <c r="Q16" s="76">
        <v>6.198</v>
      </c>
      <c r="R16" s="76">
        <v>3.133</v>
      </c>
      <c r="S16" s="76">
        <v>1.335312</v>
      </c>
      <c r="T16" s="76">
        <v>1.334</v>
      </c>
      <c r="U16" s="76">
        <v>0.027</v>
      </c>
      <c r="V16" s="76">
        <v>2.706</v>
      </c>
      <c r="W16" s="76">
        <v>0.286548</v>
      </c>
      <c r="X16" s="76">
        <v>4.468</v>
      </c>
      <c r="Y16" s="76">
        <v>18.596</v>
      </c>
      <c r="Z16" s="76">
        <v>8.246373</v>
      </c>
      <c r="AA16" s="76">
        <v>5.001988</v>
      </c>
      <c r="AB16" s="76">
        <v>112.824</v>
      </c>
      <c r="AC16" s="76">
        <v>0.494</v>
      </c>
      <c r="AD16" s="76">
        <v>2.481</v>
      </c>
      <c r="AE16" s="76">
        <v>18.875892935287</v>
      </c>
      <c r="AF16" s="76">
        <v>6.006</v>
      </c>
      <c r="AG16" s="76">
        <v>1.42</v>
      </c>
      <c r="AH16" s="76">
        <v>2.297</v>
      </c>
      <c r="AI16" s="76">
        <v>6.231</v>
      </c>
      <c r="AJ16" s="76">
        <v>1.04069</v>
      </c>
      <c r="AK16" s="76">
        <v>0.336</v>
      </c>
      <c r="AL16" s="76">
        <v>2.654</v>
      </c>
      <c r="AM16" s="76">
        <v>3.916765</v>
      </c>
      <c r="AN16" s="76">
        <v>1.295623</v>
      </c>
      <c r="AO16" s="76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7">
        <v>2006</v>
      </c>
      <c r="G17" s="76">
        <v>2.997643</v>
      </c>
      <c r="H17" s="76">
        <v>3.513242</v>
      </c>
      <c r="I17" s="76">
        <v>2.706</v>
      </c>
      <c r="J17" s="76">
        <v>0.374</v>
      </c>
      <c r="K17" s="76">
        <v>0.380948</v>
      </c>
      <c r="L17" s="76">
        <v>1.78794</v>
      </c>
      <c r="M17" s="76">
        <v>4.192272</v>
      </c>
      <c r="N17" s="76">
        <v>10.778</v>
      </c>
      <c r="O17" s="76">
        <v>0.246275</v>
      </c>
      <c r="P17" s="76">
        <v>0.799</v>
      </c>
      <c r="Q17" s="76">
        <v>6.261</v>
      </c>
      <c r="R17" s="76">
        <v>3.172</v>
      </c>
      <c r="S17" s="76">
        <v>1.365827</v>
      </c>
      <c r="T17" s="76">
        <v>1.262</v>
      </c>
      <c r="U17" s="76">
        <v>0.03</v>
      </c>
      <c r="V17" s="76">
        <v>2.948</v>
      </c>
      <c r="W17" s="76">
        <v>0.318604</v>
      </c>
      <c r="X17" s="76">
        <v>4.627</v>
      </c>
      <c r="Y17" s="76">
        <v>18.338</v>
      </c>
      <c r="Z17" s="76">
        <v>8.785122</v>
      </c>
      <c r="AA17" s="76">
        <v>5.231131</v>
      </c>
      <c r="AB17" s="76">
        <v>118.21</v>
      </c>
      <c r="AC17" s="76">
        <v>0.515</v>
      </c>
      <c r="AD17" s="76">
        <v>2.58</v>
      </c>
      <c r="AE17" s="76">
        <v>19.3214828752403</v>
      </c>
      <c r="AF17" s="76">
        <v>6.135</v>
      </c>
      <c r="AG17" s="76">
        <v>1.44</v>
      </c>
      <c r="AH17" s="76">
        <v>2.482</v>
      </c>
      <c r="AI17" s="76">
        <v>6.51</v>
      </c>
      <c r="AJ17" s="76">
        <v>1.102925</v>
      </c>
      <c r="AK17" s="76">
        <v>0.343</v>
      </c>
      <c r="AL17" s="76">
        <v>2.939</v>
      </c>
      <c r="AM17" s="76">
        <v>4.117987</v>
      </c>
      <c r="AN17" s="76">
        <v>1.363143</v>
      </c>
      <c r="AO17" s="76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7">
        <v>2007</v>
      </c>
      <c r="G18" s="76">
        <v>3.19973</v>
      </c>
      <c r="H18" s="76">
        <v>3.858375</v>
      </c>
      <c r="I18" s="76">
        <v>2.801</v>
      </c>
      <c r="J18" s="76">
        <v>0.382</v>
      </c>
      <c r="K18" s="76">
        <v>0.386738</v>
      </c>
      <c r="L18" s="76">
        <v>1.828794</v>
      </c>
      <c r="M18" s="76">
        <v>4.345826</v>
      </c>
      <c r="N18" s="76">
        <v>11.624</v>
      </c>
      <c r="O18" s="76">
        <v>0.253791</v>
      </c>
      <c r="P18" s="76">
        <v>0.896</v>
      </c>
      <c r="Q18" s="76">
        <v>6.333</v>
      </c>
      <c r="R18" s="76">
        <v>2.837</v>
      </c>
      <c r="S18" s="76">
        <v>1.404047</v>
      </c>
      <c r="T18" s="76">
        <v>1.37</v>
      </c>
      <c r="U18" s="76">
        <v>0.033</v>
      </c>
      <c r="V18" s="76">
        <v>3.642</v>
      </c>
      <c r="W18" s="76">
        <v>0.345874</v>
      </c>
      <c r="X18" s="76">
        <v>4.736</v>
      </c>
      <c r="Y18" s="76">
        <v>18.091</v>
      </c>
      <c r="Z18" s="76">
        <v>9.504061</v>
      </c>
      <c r="AA18" s="76">
        <v>5.535</v>
      </c>
      <c r="AB18" s="76">
        <v>122.523</v>
      </c>
      <c r="AC18" s="76">
        <v>0.538</v>
      </c>
      <c r="AD18" s="76">
        <v>2.719</v>
      </c>
      <c r="AE18" s="76">
        <v>21.2918117254902</v>
      </c>
      <c r="AF18" s="76">
        <v>6.433</v>
      </c>
      <c r="AG18" s="76">
        <v>1.54</v>
      </c>
      <c r="AH18" s="76">
        <v>2.642</v>
      </c>
      <c r="AI18" s="76">
        <v>6.762</v>
      </c>
      <c r="AJ18" s="76">
        <v>1.155745</v>
      </c>
      <c r="AK18" s="76">
        <v>0.354126</v>
      </c>
      <c r="AL18" s="76">
        <v>3.181</v>
      </c>
      <c r="AM18" s="76">
        <v>4.247988</v>
      </c>
      <c r="AN18" s="76">
        <v>1.400923</v>
      </c>
      <c r="AO18" s="76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7">
        <v>2008</v>
      </c>
      <c r="G19" s="76">
        <v>3.549565</v>
      </c>
      <c r="H19" s="76">
        <v>4.389597</v>
      </c>
      <c r="I19" s="76">
        <v>2.925</v>
      </c>
      <c r="J19" s="76">
        <v>0.391</v>
      </c>
      <c r="K19" s="76">
        <v>0.391948</v>
      </c>
      <c r="L19" s="76">
        <v>1.868128</v>
      </c>
      <c r="M19" s="76">
        <v>4.592854</v>
      </c>
      <c r="N19" s="76">
        <v>12.607</v>
      </c>
      <c r="O19" s="76">
        <v>0.277383</v>
      </c>
      <c r="P19" s="76">
        <v>0.99</v>
      </c>
      <c r="Q19" s="76">
        <v>6.362</v>
      </c>
      <c r="R19" s="76">
        <v>2.859</v>
      </c>
      <c r="S19" s="76">
        <v>1.441711</v>
      </c>
      <c r="T19" s="76">
        <v>1.484886</v>
      </c>
      <c r="U19" s="76">
        <v>0.034</v>
      </c>
      <c r="V19" s="76">
        <v>3.954</v>
      </c>
      <c r="W19" s="76">
        <v>0.351307</v>
      </c>
      <c r="X19" s="76">
        <v>4.838</v>
      </c>
      <c r="Y19" s="76">
        <v>17.663</v>
      </c>
      <c r="Z19" s="76">
        <v>10.341381</v>
      </c>
      <c r="AA19" s="76">
        <v>5.81052266666667</v>
      </c>
      <c r="AB19" s="76">
        <v>123.625</v>
      </c>
      <c r="AC19" s="76">
        <v>0.546</v>
      </c>
      <c r="AD19" s="76">
        <v>2.926</v>
      </c>
      <c r="AE19" s="76">
        <v>21.861615</v>
      </c>
      <c r="AF19" s="76">
        <v>6.656</v>
      </c>
      <c r="AG19" s="76">
        <v>1.61</v>
      </c>
      <c r="AH19" s="76">
        <v>2.741</v>
      </c>
      <c r="AI19" s="76">
        <v>6.817</v>
      </c>
      <c r="AJ19" s="76">
        <v>1.158004</v>
      </c>
      <c r="AK19" s="76">
        <v>0.354031</v>
      </c>
      <c r="AL19" s="76">
        <v>3.394</v>
      </c>
      <c r="AM19" s="76">
        <v>4.285206</v>
      </c>
      <c r="AN19" s="76">
        <v>1.514458</v>
      </c>
      <c r="AO19" s="76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7">
        <v>2009</v>
      </c>
      <c r="G20" s="76">
        <v>3.794453</v>
      </c>
      <c r="H20" s="76">
        <v>4.561514</v>
      </c>
      <c r="I20" s="76">
        <v>3.027</v>
      </c>
      <c r="J20" s="76">
        <v>0.398</v>
      </c>
      <c r="K20" s="76">
        <v>0.375458</v>
      </c>
      <c r="L20" s="76">
        <v>1.874934</v>
      </c>
      <c r="M20" s="76">
        <v>4.852564</v>
      </c>
      <c r="N20" s="76">
        <v>14.355</v>
      </c>
      <c r="O20" s="76">
        <v>0.272631</v>
      </c>
      <c r="P20" s="76">
        <v>1.004</v>
      </c>
      <c r="Q20" s="76">
        <v>6.388</v>
      </c>
      <c r="R20" s="76">
        <v>2.893</v>
      </c>
      <c r="S20" s="76">
        <v>1.457754</v>
      </c>
      <c r="T20" s="76">
        <v>1.513243</v>
      </c>
      <c r="U20" s="76">
        <v>0.036</v>
      </c>
      <c r="V20" s="76">
        <v>4.433</v>
      </c>
      <c r="W20" s="76">
        <v>0.34394</v>
      </c>
      <c r="X20" s="76">
        <v>4.889</v>
      </c>
      <c r="Y20" s="76">
        <v>17.305</v>
      </c>
      <c r="Z20" s="76">
        <v>10.729044</v>
      </c>
      <c r="AA20" s="76">
        <v>6.02452733333333</v>
      </c>
      <c r="AB20" s="76">
        <v>126.56</v>
      </c>
      <c r="AC20" s="76">
        <v>0.547</v>
      </c>
      <c r="AD20" s="76">
        <v>3.025</v>
      </c>
      <c r="AE20" s="76">
        <v>22.335358</v>
      </c>
      <c r="AF20" s="76">
        <v>6.648754</v>
      </c>
      <c r="AG20" s="76">
        <v>1.68</v>
      </c>
      <c r="AH20" s="76">
        <v>2.81</v>
      </c>
      <c r="AI20" s="76">
        <v>6.759</v>
      </c>
      <c r="AJ20" s="76">
        <v>1.138281</v>
      </c>
      <c r="AK20" s="76">
        <v>0.355861</v>
      </c>
      <c r="AL20" s="76">
        <v>3.517</v>
      </c>
      <c r="AM20" s="76">
        <v>4.181519</v>
      </c>
      <c r="AN20" s="76">
        <v>1.48852</v>
      </c>
      <c r="AO20" s="76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7">
        <v>2010</v>
      </c>
      <c r="G21" s="76">
        <v>3.992844</v>
      </c>
      <c r="H21" s="76">
        <v>4.686781</v>
      </c>
      <c r="I21" s="76">
        <v>3.132</v>
      </c>
      <c r="J21" s="76">
        <v>0.406</v>
      </c>
      <c r="K21" s="76">
        <v>0.309352</v>
      </c>
      <c r="L21" s="76">
        <v>1.879314</v>
      </c>
      <c r="M21" s="76">
        <v>5.222702</v>
      </c>
      <c r="N21" s="76">
        <v>16.384</v>
      </c>
      <c r="O21" s="76">
        <v>0.262581</v>
      </c>
      <c r="P21" s="76">
        <v>1.003</v>
      </c>
      <c r="Q21" s="76">
        <v>6.444</v>
      </c>
      <c r="R21" s="76">
        <v>2.96</v>
      </c>
      <c r="S21" s="76">
        <v>1.470172</v>
      </c>
      <c r="T21" s="76">
        <v>1.534962</v>
      </c>
      <c r="U21" s="76">
        <v>0.038</v>
      </c>
      <c r="V21" s="76">
        <v>4.682</v>
      </c>
      <c r="W21" s="76">
        <v>0.327096</v>
      </c>
      <c r="X21" s="76">
        <v>4.946</v>
      </c>
      <c r="Y21" s="76">
        <v>17.014</v>
      </c>
      <c r="Z21" s="76">
        <v>11.491416</v>
      </c>
      <c r="AA21" s="76">
        <v>6.311517</v>
      </c>
      <c r="AB21" s="76">
        <v>129.471</v>
      </c>
      <c r="AC21" s="76">
        <v>0.551</v>
      </c>
      <c r="AD21" s="76">
        <v>3.219</v>
      </c>
      <c r="AE21" s="76">
        <v>22.976014</v>
      </c>
      <c r="AF21" s="76">
        <v>6.750035</v>
      </c>
      <c r="AG21" s="76">
        <v>1.76</v>
      </c>
      <c r="AH21" s="76">
        <v>2.837535</v>
      </c>
      <c r="AI21" s="76">
        <v>6.719</v>
      </c>
      <c r="AJ21" s="76">
        <v>1.129334</v>
      </c>
      <c r="AK21" s="76">
        <v>0.363489</v>
      </c>
      <c r="AL21" s="76">
        <v>3.721</v>
      </c>
      <c r="AM21" s="76">
        <v>4.220455</v>
      </c>
      <c r="AN21" s="76">
        <v>1.510638</v>
      </c>
      <c r="AO21" s="76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7">
        <v>2011</v>
      </c>
      <c r="G22" s="76">
        <v>4.157757</v>
      </c>
      <c r="H22" s="76">
        <v>4.81957</v>
      </c>
      <c r="I22" s="76">
        <v>2.716</v>
      </c>
      <c r="J22" s="76">
        <v>0.417</v>
      </c>
      <c r="K22" s="76">
        <v>0.316301</v>
      </c>
      <c r="L22" s="76">
        <v>1.883684</v>
      </c>
      <c r="M22" s="76">
        <v>5.763624</v>
      </c>
      <c r="N22" s="76">
        <v>18.713</v>
      </c>
      <c r="O22" s="76">
        <v>0.259476</v>
      </c>
      <c r="P22" s="76">
        <v>1.011</v>
      </c>
      <c r="Q22" s="76">
        <v>6.517</v>
      </c>
      <c r="R22" s="76">
        <v>3.056</v>
      </c>
      <c r="S22" s="76">
        <v>1.469881</v>
      </c>
      <c r="T22" s="76">
        <v>1.578129</v>
      </c>
      <c r="U22" s="76">
        <v>0.032181</v>
      </c>
      <c r="V22" s="76">
        <v>5.086</v>
      </c>
      <c r="W22" s="76">
        <v>0.320966</v>
      </c>
      <c r="X22" s="76">
        <v>5.001</v>
      </c>
      <c r="Y22" s="76">
        <v>16.843</v>
      </c>
      <c r="Z22" s="76">
        <v>12.212654</v>
      </c>
      <c r="AA22" s="76">
        <v>6.77765366666667</v>
      </c>
      <c r="AB22" s="76">
        <v>131.954</v>
      </c>
      <c r="AC22" s="76">
        <v>0.56</v>
      </c>
      <c r="AD22" s="76">
        <v>3.381</v>
      </c>
      <c r="AE22" s="76">
        <v>23.795397</v>
      </c>
      <c r="AF22" s="76">
        <v>6.888314</v>
      </c>
      <c r="AG22" s="76">
        <v>1.87</v>
      </c>
      <c r="AH22" s="76">
        <v>2.897565</v>
      </c>
      <c r="AI22" s="76">
        <v>6.67</v>
      </c>
      <c r="AJ22" s="76">
        <v>1.137864</v>
      </c>
      <c r="AK22" s="76">
        <v>0.377275</v>
      </c>
      <c r="AL22" s="76">
        <v>3.949</v>
      </c>
      <c r="AM22" s="76">
        <v>4.269641</v>
      </c>
      <c r="AN22" s="76">
        <v>1.521045</v>
      </c>
      <c r="AO22" s="76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7">
        <v>2012</v>
      </c>
      <c r="G23" s="76">
        <v>4.421008</v>
      </c>
      <c r="H23" s="76">
        <v>4.941314</v>
      </c>
      <c r="I23" s="76">
        <v>3.318121</v>
      </c>
      <c r="J23" s="76">
        <v>0.426</v>
      </c>
      <c r="K23" s="76">
        <v>0.325703</v>
      </c>
      <c r="L23" s="76">
        <v>1.873987</v>
      </c>
      <c r="M23" s="76">
        <v>6.20807</v>
      </c>
      <c r="N23" s="76">
        <v>21.844</v>
      </c>
      <c r="O23" s="76">
        <v>0.245563</v>
      </c>
      <c r="P23" s="76">
        <v>1.00585</v>
      </c>
      <c r="Q23" s="76">
        <v>6.538</v>
      </c>
      <c r="R23" s="76">
        <v>3.107</v>
      </c>
      <c r="S23" s="76">
        <v>1.46318</v>
      </c>
      <c r="T23" s="76">
        <v>1.623437</v>
      </c>
      <c r="U23" s="76">
        <v>0.032422</v>
      </c>
      <c r="V23" s="76">
        <v>5.726</v>
      </c>
      <c r="W23" s="76">
        <v>0.309219</v>
      </c>
      <c r="X23" s="76">
        <v>4.969</v>
      </c>
      <c r="Y23" s="76">
        <v>16.705</v>
      </c>
      <c r="Z23" s="76">
        <v>12.920811</v>
      </c>
      <c r="AA23" s="76">
        <v>7.30348533333333</v>
      </c>
      <c r="AB23" s="76">
        <v>141.371459</v>
      </c>
      <c r="AC23" s="76">
        <v>0.571</v>
      </c>
      <c r="AD23" s="76">
        <v>3.429</v>
      </c>
      <c r="AE23" s="76">
        <v>24.846936</v>
      </c>
      <c r="AF23" s="76">
        <v>7.389739</v>
      </c>
      <c r="AG23" s="76">
        <v>2.013889</v>
      </c>
      <c r="AH23" s="76">
        <v>2.966369</v>
      </c>
      <c r="AI23" s="76">
        <v>6.543</v>
      </c>
      <c r="AJ23" s="76">
        <v>1.132714</v>
      </c>
      <c r="AK23" s="76">
        <v>0.390668</v>
      </c>
      <c r="AL23" s="76">
        <v>4.178</v>
      </c>
      <c r="AM23" s="76">
        <v>4.279</v>
      </c>
      <c r="AN23" s="76">
        <v>1.944263</v>
      </c>
      <c r="AO23" s="76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7">
        <v>2013</v>
      </c>
      <c r="G24" s="76">
        <v>4.619493</v>
      </c>
      <c r="H24" s="76">
        <v>5.113792</v>
      </c>
      <c r="I24" s="76">
        <v>3.435843</v>
      </c>
      <c r="J24" s="76">
        <v>0.434331</v>
      </c>
      <c r="K24" s="76">
        <v>0.337232</v>
      </c>
      <c r="L24" s="76">
        <v>1.894508</v>
      </c>
      <c r="M24" s="76">
        <v>6.679247</v>
      </c>
      <c r="N24" s="76">
        <v>25.3402</v>
      </c>
      <c r="O24" s="76">
        <v>0.247094</v>
      </c>
      <c r="P24" s="76">
        <v>1.016496</v>
      </c>
      <c r="Q24" s="76">
        <v>6.55</v>
      </c>
      <c r="R24" s="76">
        <v>3.163469</v>
      </c>
      <c r="S24" s="76">
        <v>1.455183</v>
      </c>
      <c r="T24" s="76">
        <v>1.639114</v>
      </c>
      <c r="U24" s="76">
        <v>0.032836</v>
      </c>
      <c r="V24" s="76">
        <v>5.908</v>
      </c>
      <c r="W24" s="76">
        <v>0.317849</v>
      </c>
      <c r="X24" s="76">
        <v>4.914967</v>
      </c>
      <c r="Y24" s="76">
        <v>16.583218</v>
      </c>
      <c r="Z24" s="76">
        <v>13.35392</v>
      </c>
      <c r="AA24" s="76">
        <v>7.59378</v>
      </c>
      <c r="AB24" s="76">
        <v>143.623173</v>
      </c>
      <c r="AC24" s="76">
        <v>0.578531</v>
      </c>
      <c r="AD24" s="76">
        <v>3.508</v>
      </c>
      <c r="AE24" s="76">
        <v>25.916251</v>
      </c>
      <c r="AF24" s="76">
        <v>7.367783</v>
      </c>
      <c r="AG24" s="76">
        <v>2.0825</v>
      </c>
      <c r="AH24" s="76">
        <v>3.045466</v>
      </c>
      <c r="AI24" s="76">
        <v>6.403266</v>
      </c>
      <c r="AJ24" s="76">
        <v>1.127339</v>
      </c>
      <c r="AK24" s="76">
        <v>0.399322</v>
      </c>
      <c r="AL24" s="76">
        <v>4.366881</v>
      </c>
      <c r="AM24" s="76">
        <v>4.364718</v>
      </c>
      <c r="AN24" s="76">
        <v>2.061507</v>
      </c>
      <c r="AO24" s="76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7">
        <v>2014</v>
      </c>
      <c r="G25" s="76">
        <v>4.833927</v>
      </c>
      <c r="H25" s="76">
        <v>5.323998</v>
      </c>
      <c r="I25" s="76">
        <v>3.556059</v>
      </c>
      <c r="J25" s="76">
        <v>0.4445</v>
      </c>
      <c r="K25" s="76">
        <v>0.295866</v>
      </c>
      <c r="L25" s="76">
        <v>1.90259</v>
      </c>
      <c r="M25" s="76">
        <v>7.111102</v>
      </c>
      <c r="N25" s="76">
        <v>28.499163</v>
      </c>
      <c r="O25" s="76">
        <v>0.252704</v>
      </c>
      <c r="P25" s="76">
        <v>1.038844</v>
      </c>
      <c r="Q25" s="76">
        <v>6.608</v>
      </c>
      <c r="R25" s="76">
        <v>3.244457</v>
      </c>
      <c r="S25" s="76">
        <v>1.431663</v>
      </c>
      <c r="T25" s="76">
        <v>1.730313</v>
      </c>
      <c r="U25" s="76">
        <v>0.033664</v>
      </c>
      <c r="V25" s="76">
        <v>6.068</v>
      </c>
      <c r="W25" s="76">
        <v>0.317378</v>
      </c>
      <c r="X25" s="76">
        <v>4.913953</v>
      </c>
      <c r="Y25" s="76">
        <v>16.520396</v>
      </c>
      <c r="Z25" s="76">
        <v>14.08419</v>
      </c>
      <c r="AA25" s="76">
        <v>7.831396</v>
      </c>
      <c r="AB25" s="76">
        <v>148.373844</v>
      </c>
      <c r="AC25" s="76">
        <v>0.584838</v>
      </c>
      <c r="AD25" s="76">
        <v>3.469014</v>
      </c>
      <c r="AE25" s="76">
        <v>27.174536</v>
      </c>
      <c r="AF25" s="76">
        <v>7.58462</v>
      </c>
      <c r="AG25" s="76">
        <v>2.13</v>
      </c>
      <c r="AH25" s="76">
        <v>3.130862</v>
      </c>
      <c r="AI25" s="76">
        <v>6.336843</v>
      </c>
      <c r="AJ25" s="76">
        <v>1.137973</v>
      </c>
      <c r="AK25" s="76">
        <v>0.410118</v>
      </c>
      <c r="AL25" s="76">
        <v>4.515402</v>
      </c>
      <c r="AM25" s="76">
        <v>4.500576</v>
      </c>
      <c r="AN25" s="76">
        <v>2.001558</v>
      </c>
      <c r="AO25" s="76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7">
        <v>2015</v>
      </c>
      <c r="G26" s="76">
        <v>5.269472</v>
      </c>
      <c r="H26" s="76">
        <v>5.506777</v>
      </c>
      <c r="I26" s="76">
        <v>3.651103</v>
      </c>
      <c r="J26" s="76">
        <v>0.453702</v>
      </c>
      <c r="K26" s="76">
        <v>0.307147</v>
      </c>
      <c r="L26" s="76">
        <v>1.939395</v>
      </c>
      <c r="M26" s="76">
        <v>7.271901</v>
      </c>
      <c r="N26" s="76">
        <v>27.039668</v>
      </c>
      <c r="O26" s="76">
        <v>0.262987</v>
      </c>
      <c r="P26" s="76">
        <v>1.072013</v>
      </c>
      <c r="Q26" s="76">
        <v>6.652</v>
      </c>
      <c r="R26" s="76">
        <v>3.355885</v>
      </c>
      <c r="S26" s="76">
        <v>1.206896</v>
      </c>
      <c r="T26" s="76">
        <v>1.838336</v>
      </c>
      <c r="U26" s="76">
        <v>0.035426</v>
      </c>
      <c r="V26" s="76">
        <v>6.392</v>
      </c>
      <c r="W26" s="76">
        <v>0.330541</v>
      </c>
      <c r="X26" s="76">
        <v>4.939838</v>
      </c>
      <c r="Y26" s="76">
        <v>16.416448</v>
      </c>
      <c r="Z26" s="76">
        <v>14.757721</v>
      </c>
      <c r="AA26" s="76">
        <v>8.138328</v>
      </c>
      <c r="AB26" s="76">
        <v>153.435383</v>
      </c>
      <c r="AC26" s="76">
        <v>0.590872</v>
      </c>
      <c r="AD26" s="76">
        <v>3.562199</v>
      </c>
      <c r="AE26" s="76">
        <v>28.039458</v>
      </c>
      <c r="AF26" s="76">
        <v>7.567046</v>
      </c>
      <c r="AG26" s="76">
        <v>2.2</v>
      </c>
      <c r="AH26" s="76">
        <v>3.216656</v>
      </c>
      <c r="AI26" s="76">
        <v>6.385971</v>
      </c>
      <c r="AJ26" s="76">
        <v>1.151717</v>
      </c>
      <c r="AK26" s="76">
        <v>0.420613</v>
      </c>
      <c r="AL26" s="76">
        <v>4.771619</v>
      </c>
      <c r="AM26" s="76">
        <v>4.677162</v>
      </c>
      <c r="AN26" s="76">
        <v>1.885667</v>
      </c>
      <c r="AO26" s="76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79"/>
      <c r="G32" s="80" t="str">
        <f>'TRA balance'!E4</f>
        <v>Africa_North</v>
      </c>
      <c r="H32" s="80" t="str">
        <f>'TRA balance'!F4</f>
        <v>Africa_Other</v>
      </c>
      <c r="I32" s="80" t="str">
        <f>'TRA balance'!G4</f>
        <v>Australia</v>
      </c>
      <c r="J32" s="80" t="str">
        <f>'TRA balance'!H4</f>
        <v>Austria</v>
      </c>
      <c r="K32" s="80" t="str">
        <f>'TRA balance'!I4</f>
        <v>Baltics</v>
      </c>
      <c r="L32" s="80" t="str">
        <f>'TRA balance'!J4</f>
        <v>BeNeLux</v>
      </c>
      <c r="M32" s="80" t="str">
        <f>'TRA balance'!K4</f>
        <v>Brazil</v>
      </c>
      <c r="N32" s="80" t="str">
        <f>'TRA balance'!L4</f>
        <v>China</v>
      </c>
      <c r="O32" s="80" t="str">
        <f>'TRA balance'!M4</f>
        <v>CroSloven</v>
      </c>
      <c r="P32" s="80" t="str">
        <f>'TRA balance'!N4</f>
        <v>CzechSlovak</v>
      </c>
      <c r="Q32" s="80" t="str">
        <f>'TRA balance'!O4</f>
        <v>France</v>
      </c>
      <c r="R32" s="80" t="str">
        <f>'TRA balance'!P4</f>
        <v>Germany</v>
      </c>
      <c r="S32" s="80" t="str">
        <f>'TRA balance'!Q4</f>
        <v>GreeceCyp</v>
      </c>
      <c r="T32" s="80" t="str">
        <f>'TRA balance'!R4</f>
        <v>HunRomBul</v>
      </c>
      <c r="U32" s="80" t="str">
        <f>'TRA balance'!S4</f>
        <v>Iceland</v>
      </c>
      <c r="V32" s="80" t="str">
        <f>'TRA balance'!T4</f>
        <v>India</v>
      </c>
      <c r="W32" s="80" t="str">
        <f>'TRA balance'!U4</f>
        <v>Ireland</v>
      </c>
      <c r="X32" s="80" t="str">
        <f>'TRA balance'!V4</f>
        <v>ItalyMal</v>
      </c>
      <c r="Y32" s="80" t="str">
        <f>'TRA balance'!W4</f>
        <v>Japan</v>
      </c>
      <c r="Z32" s="80" t="str">
        <f>'TRA balance'!X4</f>
        <v>LatAm</v>
      </c>
      <c r="AA32" s="80" t="str">
        <f>'TRA balance'!Y4</f>
        <v>MidEast</v>
      </c>
      <c r="AB32" s="80" t="str">
        <f>'TRA balance'!Z4</f>
        <v>NorthAm</v>
      </c>
      <c r="AC32" s="80" t="str">
        <f>'TRA balance'!AA4</f>
        <v>Norway</v>
      </c>
      <c r="AD32" s="80" t="str">
        <f>'TRA balance'!AB4</f>
        <v>Poland</v>
      </c>
      <c r="AE32" s="80" t="str">
        <f>'TRA balance'!AC4</f>
        <v>ROW</v>
      </c>
      <c r="AF32" s="80" t="str">
        <f>'TRA balance'!AD4</f>
        <v>Russia</v>
      </c>
      <c r="AG32" s="80" t="str">
        <f>'TRA balance'!AE4</f>
        <v>SaudiArabia</v>
      </c>
      <c r="AH32" s="80" t="str">
        <f>'TRA balance'!AF4</f>
        <v>SouthAfrica</v>
      </c>
      <c r="AI32" s="80" t="str">
        <f>'TRA balance'!AG4</f>
        <v>SpainPor</v>
      </c>
      <c r="AJ32" s="80" t="str">
        <f>'TRA balance'!AH4</f>
        <v>SweFinDen</v>
      </c>
      <c r="AK32" s="80" t="str">
        <f>'TRA balance'!AI4</f>
        <v>Switzerland</v>
      </c>
      <c r="AL32" s="80" t="str">
        <f>'TRA balance'!AJ4</f>
        <v>Turkey</v>
      </c>
      <c r="AM32" s="80" t="str">
        <f>'TRA balance'!AK4</f>
        <v>UK</v>
      </c>
      <c r="AN32" s="80" t="str">
        <f>'TRA balance'!AL4</f>
        <v>Ukraine</v>
      </c>
      <c r="AO32" s="80" t="str">
        <f>'TRA balance'!AM4</f>
        <v>WestBalkans</v>
      </c>
      <c r="AP32" s="80" t="str">
        <f>'TRA balance'!AN4</f>
        <v>\I:</v>
      </c>
      <c r="AQ32" s="80" t="str">
        <f>'TRA balance'!AO4</f>
        <v>\I:</v>
      </c>
      <c r="AR32" s="80" t="str">
        <f>'TRA balance'!AP4</f>
        <v>\I:</v>
      </c>
      <c r="AS32" s="80" t="str">
        <f>'TRA balance'!AQ4</f>
        <v>\I:</v>
      </c>
      <c r="AT32" s="80" t="str">
        <f>'TRA balance'!AR4</f>
        <v>\I:</v>
      </c>
      <c r="AU32" s="80" t="str">
        <f>'TRA balance'!AS4</f>
        <v>\I:</v>
      </c>
      <c r="AV32" s="80" t="str">
        <f>'TRA balance'!AT4</f>
        <v>\I:</v>
      </c>
      <c r="AW32" s="80" t="str">
        <f>'TRA balance'!AU4</f>
        <v>\I:</v>
      </c>
      <c r="AX32" s="80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81" t="s">
        <v>225</v>
      </c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</row>
    <row r="34" spans="1:50">
      <c r="A34" t="s">
        <v>225</v>
      </c>
      <c r="B34">
        <v>2015</v>
      </c>
      <c r="C34" t="s">
        <v>6</v>
      </c>
      <c r="D34">
        <v>13.549449</v>
      </c>
      <c r="F34" s="82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82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82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82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82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82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82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82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82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82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82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3">
        <v>2019</v>
      </c>
      <c r="G45" s="84" cm="1">
        <f t="array" ref="G45">TREND(G40:G44,$F$40:$F$44,$F45)</f>
        <v>16.4800992</v>
      </c>
      <c r="H45" s="84" cm="1">
        <f t="array" ref="H45">TREND(H40:H44,$F$40:$F$44,$F45)</f>
        <v>12.6482135999998</v>
      </c>
      <c r="I45" s="84" cm="1">
        <f t="array" ref="I45">TREND(I40:I44,$F$40:$F$44,$F45)</f>
        <v>14.6473468</v>
      </c>
      <c r="J45" s="84" cm="1">
        <f t="array" ref="J45">TREND(J40:J44,$F$40:$F$44,$F45)</f>
        <v>4.98486559999999</v>
      </c>
      <c r="K45" s="84" cm="1">
        <f t="array" ref="K45">TREND(K40:K44,$F$40:$F$44,$F45)</f>
        <v>2.1780474</v>
      </c>
      <c r="L45" s="84" cm="1">
        <f t="array" ref="L45">TREND(L40:L44,$F$40:$F$44,$F45)</f>
        <v>15.0490338</v>
      </c>
      <c r="M45" s="84" cm="1">
        <f t="array" ref="M45">TREND(M40:M44,$F$40:$F$44,$F45)</f>
        <v>42.6243614149998</v>
      </c>
      <c r="N45" s="84" cm="1">
        <f t="array" ref="N45">TREND(N40:N44,$F$40:$F$44,$F45)</f>
        <v>194.584056600001</v>
      </c>
      <c r="O45" s="84" cm="1">
        <f t="array" ref="O45">TREND(O40:O44,$F$40:$F$44,$F45)</f>
        <v>2.5679092</v>
      </c>
      <c r="P45" s="84" cm="1">
        <f t="array" ref="P45">TREND(P40:P44,$F$40:$F$44,$F45)</f>
        <v>7.98474479999999</v>
      </c>
      <c r="Q45" s="84" cm="1">
        <f t="array" ref="Q45">TREND(Q40:Q44,$F$40:$F$44,$F45)</f>
        <v>32.38</v>
      </c>
      <c r="R45" s="84" cm="1">
        <f t="array" ref="R45">TREND(R40:R44,$F$40:$F$44,$F45)</f>
        <v>47.0920378000002</v>
      </c>
      <c r="S45" s="84" cm="1">
        <f t="array" ref="S45">TREND(S40:S44,$F$40:$F$44,$F45)</f>
        <v>5.483336</v>
      </c>
      <c r="T45" s="84" cm="1">
        <f t="array" ref="T45">TREND(T40:T44,$F$40:$F$44,$F45)</f>
        <v>12.9588342</v>
      </c>
      <c r="U45" s="84" cm="1">
        <f t="array" ref="U45">TREND(U40:U44,$F$40:$F$44,$F45)</f>
        <v>0.243295199999999</v>
      </c>
      <c r="V45" s="84" cm="1">
        <f t="array" ref="V45">TREND(V40:V44,$F$40:$F$44,$F45)</f>
        <v>29.8069999999998</v>
      </c>
      <c r="W45" s="84" cm="1">
        <f t="array" ref="W45">TREND(W40:W44,$F$40:$F$44,$F45)</f>
        <v>2.0754794</v>
      </c>
      <c r="X45" s="84" cm="1">
        <f t="array" ref="X45">TREND(X40:X44,$F$40:$F$44,$F45)</f>
        <v>37.7143818</v>
      </c>
      <c r="Y45" s="84" cm="1">
        <f t="array" ref="Y45">TREND(Y40:Y44,$F$40:$F$44,$F45)</f>
        <v>63.4862618</v>
      </c>
      <c r="Z45" s="84" cm="1">
        <f t="array" ref="Z45">TREND(Z40:Z44,$F$40:$F$44,$F45)</f>
        <v>36.8842047999997</v>
      </c>
      <c r="AA45" s="84" cm="1">
        <f t="array" ref="AA45">TREND(AA40:AA44,$F$40:$F$44,$F45)</f>
        <v>36.9907164000001</v>
      </c>
      <c r="AB45" s="84" cm="1">
        <f t="array" ref="AB45">TREND(AB40:AB44,$F$40:$F$44,$F45)</f>
        <v>171.1145024</v>
      </c>
      <c r="AC45" s="84" cm="1">
        <f t="array" ref="AC45">TREND(AC40:AC44,$F$40:$F$44,$F45)</f>
        <v>2.81525819999999</v>
      </c>
      <c r="AD45" s="84" cm="1">
        <f t="array" ref="AD45">TREND(AD40:AD44,$F$40:$F$44,$F45)</f>
        <v>23.4451387999998</v>
      </c>
      <c r="AE45" s="84" cm="1">
        <f t="array" ref="AE45">TREND(AE40:AE44,$F$40:$F$44,$F45)</f>
        <v>94.9020877999992</v>
      </c>
      <c r="AF45" s="84" cm="1">
        <f t="array" ref="AF45">TREND(AF40:AF44,$F$40:$F$44,$F45)</f>
        <v>56.4102691999997</v>
      </c>
      <c r="AG45" s="84" cm="1">
        <f t="array" ref="AG45">TREND(AG40:AG44,$F$40:$F$44,$F45)</f>
        <v>5.33590000000004</v>
      </c>
      <c r="AH45" s="84" cm="1">
        <f t="array" ref="AH45">TREND(AH40:AH44,$F$40:$F$44,$F45)</f>
        <v>7.2811208</v>
      </c>
      <c r="AI45" s="84" cm="1">
        <f t="array" ref="AI45">TREND(AI40:AI44,$F$40:$F$44,$F45)</f>
        <v>26.7525042</v>
      </c>
      <c r="AJ45" s="84" cm="1">
        <f t="array" ref="AJ45">TREND(AJ40:AJ44,$F$40:$F$44,$F45)</f>
        <v>10.1806072</v>
      </c>
      <c r="AK45" s="84" cm="1">
        <f t="array" ref="AK45">TREND(AK40:AK44,$F$40:$F$44,$F45)</f>
        <v>4.79340359999998</v>
      </c>
      <c r="AL45" s="84" cm="1">
        <f t="array" ref="AL45">TREND(AL40:AL44,$F$40:$F$44,$F45)</f>
        <v>12.9955884000001</v>
      </c>
      <c r="AM45" s="84" cm="1">
        <f t="array" ref="AM45">TREND(AM40:AM44,$F$40:$F$44,$F45)</f>
        <v>35.5147368</v>
      </c>
      <c r="AN45" s="84" cm="1">
        <f t="array" ref="AN45">TREND(AN40:AN44,$F$40:$F$44,$F45)</f>
        <v>8.58574599999997</v>
      </c>
      <c r="AO45" s="84" cm="1">
        <f t="array" ref="AO45">TREND(AO40:AO44,$F$40:$F$44,$F45)</f>
        <v>3.93194699999998</v>
      </c>
      <c r="AP45" s="84" t="e" cm="1">
        <f t="array" ref="AP45">TREND(AP40:AP44,$F$40:$F$44,$F45)</f>
        <v>#VALUE!</v>
      </c>
      <c r="AQ45" s="84" t="e" cm="1">
        <f t="array" ref="AQ45">TREND(AQ40:AQ44,$F$40:$F$44,$F45)</f>
        <v>#VALUE!</v>
      </c>
      <c r="AR45" s="84" t="e" cm="1">
        <f t="array" ref="AR45">TREND(AR40:AR44,$F$40:$F$44,$F45)</f>
        <v>#VALUE!</v>
      </c>
      <c r="AS45" s="84" t="e" cm="1">
        <f t="array" ref="AS45">TREND(AS40:AS44,$F$40:$F$44,$F45)</f>
        <v>#VALUE!</v>
      </c>
      <c r="AT45" s="84" t="e" cm="1">
        <f t="array" ref="AT45">TREND(AT40:AT44,$F$40:$F$44,$F45)</f>
        <v>#VALUE!</v>
      </c>
      <c r="AU45" s="84" t="e" cm="1">
        <f t="array" ref="AU45">TREND(AU40:AU44,$F$40:$F$44,$F45)</f>
        <v>#VALUE!</v>
      </c>
      <c r="AV45" s="84" t="e" cm="1">
        <f t="array" ref="AV45">TREND(AV40:AV44,$F$40:$F$44,$F45)</f>
        <v>#VALUE!</v>
      </c>
      <c r="AW45" s="84" t="e" cm="1">
        <f t="array" ref="AW45">TREND(AW40:AW44,$F$40:$F$44,$F45)</f>
        <v>#VALUE!</v>
      </c>
      <c r="AX45" s="84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5" t="s">
        <v>227</v>
      </c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  <c r="AL47" s="86"/>
      <c r="AM47" s="86"/>
      <c r="AN47" s="86"/>
      <c r="AO47" s="86"/>
      <c r="AP47" s="86"/>
      <c r="AQ47" s="86"/>
      <c r="AR47" s="86"/>
      <c r="AS47" s="86"/>
      <c r="AT47" s="86"/>
      <c r="AU47" s="86"/>
      <c r="AV47" s="86"/>
      <c r="AW47" s="86"/>
      <c r="AX47" s="86"/>
    </row>
    <row r="48" spans="1:50">
      <c r="A48" t="s">
        <v>225</v>
      </c>
      <c r="B48">
        <v>2007</v>
      </c>
      <c r="C48" t="s">
        <v>8</v>
      </c>
      <c r="D48">
        <v>3.016572</v>
      </c>
      <c r="F48" s="77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7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7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7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7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7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7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7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7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7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7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3">
        <v>2019</v>
      </c>
      <c r="G59" s="84" cm="1">
        <f t="array" ref="G59">TREND(G54:G58,$F$40:$F$44,$F59)</f>
        <v>6.24214080000002</v>
      </c>
      <c r="H59" s="84" cm="1">
        <f t="array" ref="H59">TREND(H54:H58,$F$40:$F$44,$F59)</f>
        <v>6.19534899999996</v>
      </c>
      <c r="I59" s="84" cm="1">
        <f t="array" ref="I59">TREND(I54:I58,$F$40:$F$44,$F59)</f>
        <v>4.6003116</v>
      </c>
      <c r="J59" s="84" cm="1">
        <f t="array" ref="J59">TREND(J54:J58,$F$40:$F$44,$F59)</f>
        <v>0.490248999999999</v>
      </c>
      <c r="K59" s="84" cm="1">
        <f t="array" ref="K59">TREND(K54:K58,$F$40:$F$44,$F59)</f>
        <v>0.287562799999998</v>
      </c>
      <c r="L59" s="84" cm="1">
        <f t="array" ref="L59">TREND(L54:L58,$F$40:$F$44,$F59)</f>
        <v>1.9828478</v>
      </c>
      <c r="M59" s="84" cm="1">
        <f t="array" ref="M59">TREND(M54:M58,$F$40:$F$44,$F59)</f>
        <v>8.95854040000006</v>
      </c>
      <c r="N59" s="84" cm="1">
        <f t="array" ref="N59">TREND(N54:N58,$F$40:$F$44,$F59)</f>
        <v>38.2723055999995</v>
      </c>
      <c r="O59" s="84" cm="1">
        <f t="array" ref="O59">TREND(O54:O58,$F$40:$F$44,$F59)</f>
        <v>0.2620626</v>
      </c>
      <c r="P59" s="84" cm="1">
        <f t="array" ref="P59">TREND(P54:P58,$F$40:$F$44,$F59)</f>
        <v>1.1218526</v>
      </c>
      <c r="Q59" s="84" cm="1">
        <f t="array" ref="Q59">TREND(Q54:Q58,$F$40:$F$44,$F59)</f>
        <v>6.77700000000001</v>
      </c>
      <c r="R59" s="84" cm="1">
        <f t="array" ref="R59">TREND(R54:R58,$F$40:$F$44,$F59)</f>
        <v>3.62769839999999</v>
      </c>
      <c r="S59" s="84" cm="1">
        <f t="array" ref="S59">TREND(S54:S58,$F$40:$F$44,$F59)</f>
        <v>1.07086839999999</v>
      </c>
      <c r="T59" s="84" cm="1">
        <f t="array" ref="T59">TREND(T54:T58,$F$40:$F$44,$F59)</f>
        <v>2.0582398</v>
      </c>
      <c r="U59" s="84" cm="1">
        <f t="array" ref="U59">TREND(U54:U58,$F$40:$F$44,$F59)</f>
        <v>0.0379449999999999</v>
      </c>
      <c r="V59" s="84" cm="1">
        <f t="array" ref="V59">TREND(V54:V58,$F$40:$F$44,$F59)</f>
        <v>7.60839999999996</v>
      </c>
      <c r="W59" s="84" cm="1">
        <f t="array" ref="W59">TREND(W54:W58,$F$40:$F$44,$F59)</f>
        <v>0.335576</v>
      </c>
      <c r="X59" s="84" cm="1">
        <f t="array" ref="X59">TREND(X54:X58,$F$40:$F$44,$F59)</f>
        <v>4.841329</v>
      </c>
      <c r="Y59" s="84" cm="1">
        <f t="array" ref="Y59">TREND(Y54:Y58,$F$40:$F$44,$F59)</f>
        <v>15.9909876</v>
      </c>
      <c r="Z59" s="84" cm="1">
        <f t="array" ref="Z59">TREND(Z54:Z58,$F$40:$F$44,$F59)</f>
        <v>17.217967</v>
      </c>
      <c r="AA59" s="84" cm="1">
        <f t="array" ref="AA59">TREND(AA54:AA58,$F$40:$F$44,$F59)</f>
        <v>9.47848419999991</v>
      </c>
      <c r="AB59" s="84" cm="1">
        <f t="array" ref="AB59">TREND(AB54:AB58,$F$40:$F$44,$F59)</f>
        <v>173.730662399999</v>
      </c>
      <c r="AC59" s="84" cm="1">
        <f t="array" ref="AC59">TREND(AC54:AC58,$F$40:$F$44,$F59)</f>
        <v>0.622397399999999</v>
      </c>
      <c r="AD59" s="84" cm="1">
        <f t="array" ref="AD59">TREND(AD54:AD58,$F$40:$F$44,$F59)</f>
        <v>3.7112898</v>
      </c>
      <c r="AE59" s="84" cm="1">
        <f t="array" ref="AE59">TREND(AE54:AE58,$F$40:$F$44,$F59)</f>
        <v>32.4439487999998</v>
      </c>
      <c r="AF59" s="84" cm="1">
        <f t="array" ref="AF59">TREND(AF54:AF58,$F$40:$F$44,$F59)</f>
        <v>8.29090739999998</v>
      </c>
      <c r="AG59" s="84" cm="1">
        <f t="array" ref="AG59">TREND(AG54:AG58,$F$40:$F$44,$F59)</f>
        <v>2.52494439999998</v>
      </c>
      <c r="AH59" s="84" cm="1">
        <f t="array" ref="AH59">TREND(AH54:AH58,$F$40:$F$44,$F59)</f>
        <v>3.53298860000001</v>
      </c>
      <c r="AI59" s="84" cm="1">
        <f t="array" ref="AI59">TREND(AI54:AI58,$F$40:$F$44,$F59)</f>
        <v>6.003287</v>
      </c>
      <c r="AJ59" s="84" cm="1">
        <f t="array" ref="AJ59">TREND(AJ54:AJ58,$F$40:$F$44,$F59)</f>
        <v>1.1573004</v>
      </c>
      <c r="AK59" s="84" cm="1">
        <f t="array" ref="AK59">TREND(AK54:AK58,$F$40:$F$44,$F59)</f>
        <v>0.463274800000001</v>
      </c>
      <c r="AL59" s="84" cm="1">
        <f t="array" ref="AL59">TREND(AL54:AL58,$F$40:$F$44,$F59)</f>
        <v>5.5457644</v>
      </c>
      <c r="AM59" s="84" cm="1">
        <f t="array" ref="AM59">TREND(AM54:AM58,$F$40:$F$44,$F59)</f>
        <v>5.04019020000001</v>
      </c>
      <c r="AN59" s="84" cm="1">
        <f t="array" ref="AN59">TREND(AN54:AN58,$F$40:$F$44,$F59)</f>
        <v>2.35473139999999</v>
      </c>
      <c r="AO59" s="84" cm="1">
        <f t="array" ref="AO59">TREND(AO54:AO58,$F$40:$F$44,$F59)</f>
        <v>0.468278600000005</v>
      </c>
      <c r="AP59" s="84" t="e" cm="1">
        <f t="array" ref="AP59">TREND(AP54:AP58,$F$40:$F$44,$F59)</f>
        <v>#VALUE!</v>
      </c>
      <c r="AQ59" s="84" t="e" cm="1">
        <f t="array" ref="AQ59">TREND(AQ54:AQ58,$F$40:$F$44,$F59)</f>
        <v>#VALUE!</v>
      </c>
      <c r="AR59" s="84" t="e" cm="1">
        <f t="array" ref="AR59">TREND(AR54:AR58,$F$40:$F$44,$F59)</f>
        <v>#VALUE!</v>
      </c>
      <c r="AS59" s="84" t="e" cm="1">
        <f t="array" ref="AS59">TREND(AS54:AS58,$F$40:$F$44,$F59)</f>
        <v>#VALUE!</v>
      </c>
      <c r="AT59" s="84" t="e" cm="1">
        <f t="array" ref="AT59">TREND(AT54:AT58,$F$40:$F$44,$F59)</f>
        <v>#VALUE!</v>
      </c>
      <c r="AU59" s="84" t="e" cm="1">
        <f t="array" ref="AU59">TREND(AU54:AU58,$F$40:$F$44,$F59)</f>
        <v>#VALUE!</v>
      </c>
      <c r="AV59" s="84" t="e" cm="1">
        <f t="array" ref="AV59">TREND(AV54:AV58,$F$40:$F$44,$F59)</f>
        <v>#VALUE!</v>
      </c>
      <c r="AW59" s="84" t="e" cm="1">
        <f t="array" ref="AW59">TREND(AW54:AW58,$F$40:$F$44,$F59)</f>
        <v>#VALUE!</v>
      </c>
      <c r="AX59" s="84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77" zoomScaleNormal="77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4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topLeftCell="DU1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50" t="s">
        <v>233</v>
      </c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</row>
    <row r="2" spans="1:152">
      <c r="A2" s="121" t="s">
        <v>171</v>
      </c>
      <c r="B2" t="s">
        <v>172</v>
      </c>
      <c r="C2" s="52" t="s">
        <v>173</v>
      </c>
      <c r="D2" s="52" t="s">
        <v>174</v>
      </c>
      <c r="E2" s="52" t="s">
        <v>175</v>
      </c>
      <c r="F2" s="52" t="s">
        <v>172</v>
      </c>
      <c r="G2" s="52" t="s">
        <v>176</v>
      </c>
      <c r="H2" s="52" t="str">
        <f>'TRA balance'!E4</f>
        <v>Africa_North</v>
      </c>
      <c r="I2" s="52" t="str">
        <f>'TRA balance'!F4</f>
        <v>Africa_Other</v>
      </c>
      <c r="J2" s="52" t="str">
        <f>'TRA balance'!G4</f>
        <v>Australia</v>
      </c>
      <c r="K2" s="52" t="str">
        <f>'TRA balance'!H4</f>
        <v>Austria</v>
      </c>
      <c r="L2" s="52" t="str">
        <f>'TRA balance'!I4</f>
        <v>Baltics</v>
      </c>
      <c r="M2" s="52" t="str">
        <f>'TRA balance'!J4</f>
        <v>BeNeLux</v>
      </c>
      <c r="N2" s="52" t="str">
        <f>'TRA balance'!K4</f>
        <v>Brazil</v>
      </c>
      <c r="O2" s="52" t="str">
        <f>'TRA balance'!L4</f>
        <v>China</v>
      </c>
      <c r="P2" s="52" t="str">
        <f>'TRA balance'!M4</f>
        <v>CroSloven</v>
      </c>
      <c r="Q2" s="52" t="str">
        <f>'TRA balance'!N4</f>
        <v>CzechSlovak</v>
      </c>
      <c r="R2" s="52" t="str">
        <f>'TRA balance'!O4</f>
        <v>France</v>
      </c>
      <c r="S2" s="52" t="str">
        <f>'TRA balance'!P4</f>
        <v>Germany</v>
      </c>
      <c r="T2" s="52" t="str">
        <f>'TRA balance'!Q4</f>
        <v>GreeceCyp</v>
      </c>
      <c r="U2" s="52" t="str">
        <f>'TRA balance'!R4</f>
        <v>HunRomBul</v>
      </c>
      <c r="V2" s="52" t="str">
        <f>'TRA balance'!S4</f>
        <v>Iceland</v>
      </c>
      <c r="W2" s="52" t="str">
        <f>'TRA balance'!T4</f>
        <v>India</v>
      </c>
      <c r="X2" s="52" t="str">
        <f>'TRA balance'!U4</f>
        <v>Ireland</v>
      </c>
      <c r="Y2" s="52" t="str">
        <f>'TRA balance'!V4</f>
        <v>ItalyMal</v>
      </c>
      <c r="Z2" s="52" t="str">
        <f>'TRA balance'!W4</f>
        <v>Japan</v>
      </c>
      <c r="AA2" s="52" t="str">
        <f>'TRA balance'!X4</f>
        <v>LatAm</v>
      </c>
      <c r="AB2" s="52" t="str">
        <f>'TRA balance'!Y4</f>
        <v>MidEast</v>
      </c>
      <c r="AC2" s="52" t="str">
        <f>'TRA balance'!Z4</f>
        <v>NorthAm</v>
      </c>
      <c r="AD2" s="52" t="str">
        <f>'TRA balance'!AA4</f>
        <v>Norway</v>
      </c>
      <c r="AE2" s="52" t="str">
        <f>'TRA balance'!AB4</f>
        <v>Poland</v>
      </c>
      <c r="AF2" s="52" t="str">
        <f>'TRA balance'!AC4</f>
        <v>ROW</v>
      </c>
      <c r="AG2" s="52" t="str">
        <f>'TRA balance'!AD4</f>
        <v>Russia</v>
      </c>
      <c r="AH2" s="52" t="str">
        <f>'TRA balance'!AE4</f>
        <v>SaudiArabia</v>
      </c>
      <c r="AI2" s="52" t="str">
        <f>'TRA balance'!AF4</f>
        <v>SouthAfrica</v>
      </c>
      <c r="AJ2" s="52" t="str">
        <f>'TRA balance'!AG4</f>
        <v>SpainPor</v>
      </c>
      <c r="AK2" s="52" t="str">
        <f>'TRA balance'!AH4</f>
        <v>SweFinDen</v>
      </c>
      <c r="AL2" s="52" t="str">
        <f>'TRA balance'!AI4</f>
        <v>Switzerland</v>
      </c>
      <c r="AM2" s="52" t="str">
        <f>'TRA balance'!AJ4</f>
        <v>Turkey</v>
      </c>
      <c r="AN2" s="52" t="str">
        <f>'TRA balance'!AK4</f>
        <v>UK</v>
      </c>
      <c r="AO2" s="52" t="str">
        <f>'TRA balance'!AL4</f>
        <v>Ukraine</v>
      </c>
      <c r="AP2" s="52" t="str">
        <f>'TRA balance'!AM4</f>
        <v>WestBalkans</v>
      </c>
      <c r="AQ2" s="52" t="str">
        <f>'TRA balance'!AN4</f>
        <v>\I:</v>
      </c>
      <c r="AR2" s="52" t="str">
        <f>'TRA balance'!AO4</f>
        <v>\I:</v>
      </c>
      <c r="AS2" s="52" t="str">
        <f>'TRA balance'!AP4</f>
        <v>\I:</v>
      </c>
      <c r="AT2" s="52" t="str">
        <f>'TRA balance'!AQ4</f>
        <v>\I:</v>
      </c>
      <c r="AU2" s="52" t="str">
        <f>'TRA balance'!AR4</f>
        <v>\I:</v>
      </c>
      <c r="AV2" s="52" t="str">
        <f>'TRA balance'!AS4</f>
        <v>\I:</v>
      </c>
      <c r="AW2" s="52" t="str">
        <f>'TRA balance'!AT4</f>
        <v>\I:</v>
      </c>
      <c r="AX2" s="52" t="str">
        <f>'TRA balance'!AU4</f>
        <v>\I:</v>
      </c>
      <c r="AY2" s="52" t="str">
        <f>'TRA balance'!AV4</f>
        <v>\I:</v>
      </c>
      <c r="AZ2" s="52" t="str">
        <f>'TRA balance'!AW4</f>
        <v>\I:</v>
      </c>
      <c r="BA2" s="52" t="str">
        <f>'TRA balance'!AX4</f>
        <v>\I:</v>
      </c>
      <c r="BD2" s="53" t="str">
        <f>H2</f>
        <v>Africa_North</v>
      </c>
      <c r="BE2" s="53" t="str">
        <f t="shared" ref="BE2:CW2" si="0">I2</f>
        <v>Africa_Other</v>
      </c>
      <c r="BF2" s="53" t="str">
        <f t="shared" si="0"/>
        <v>Australia</v>
      </c>
      <c r="BG2" s="53" t="str">
        <f t="shared" si="0"/>
        <v>Austria</v>
      </c>
      <c r="BH2" s="53" t="str">
        <f t="shared" si="0"/>
        <v>Baltics</v>
      </c>
      <c r="BI2" s="53" t="str">
        <f t="shared" si="0"/>
        <v>BeNeLux</v>
      </c>
      <c r="BJ2" s="53" t="str">
        <f t="shared" si="0"/>
        <v>Brazil</v>
      </c>
      <c r="BK2" s="53" t="str">
        <f t="shared" si="0"/>
        <v>China</v>
      </c>
      <c r="BL2" s="53" t="str">
        <f t="shared" si="0"/>
        <v>CroSloven</v>
      </c>
      <c r="BM2" s="53" t="str">
        <f t="shared" si="0"/>
        <v>CzechSlovak</v>
      </c>
      <c r="BN2" s="53" t="str">
        <f t="shared" si="0"/>
        <v>France</v>
      </c>
      <c r="BO2" s="53" t="str">
        <f t="shared" si="0"/>
        <v>Germany</v>
      </c>
      <c r="BP2" s="53" t="str">
        <f t="shared" si="0"/>
        <v>GreeceCyp</v>
      </c>
      <c r="BQ2" s="53" t="str">
        <f t="shared" si="0"/>
        <v>HunRomBul</v>
      </c>
      <c r="BR2" s="53" t="str">
        <f t="shared" si="0"/>
        <v>Iceland</v>
      </c>
      <c r="BS2" s="53" t="str">
        <f t="shared" si="0"/>
        <v>India</v>
      </c>
      <c r="BT2" s="53" t="str">
        <f t="shared" si="0"/>
        <v>Ireland</v>
      </c>
      <c r="BU2" s="53" t="str">
        <f t="shared" si="0"/>
        <v>ItalyMal</v>
      </c>
      <c r="BV2" s="53" t="str">
        <f t="shared" si="0"/>
        <v>Japan</v>
      </c>
      <c r="BW2" s="53" t="str">
        <f t="shared" si="0"/>
        <v>LatAm</v>
      </c>
      <c r="BX2" s="53" t="str">
        <f t="shared" si="0"/>
        <v>MidEast</v>
      </c>
      <c r="BY2" s="53" t="str">
        <f t="shared" si="0"/>
        <v>NorthAm</v>
      </c>
      <c r="BZ2" s="53" t="str">
        <f t="shared" si="0"/>
        <v>Norway</v>
      </c>
      <c r="CA2" s="53" t="str">
        <f t="shared" si="0"/>
        <v>Poland</v>
      </c>
      <c r="CB2" s="53" t="str">
        <f t="shared" si="0"/>
        <v>ROW</v>
      </c>
      <c r="CC2" s="53" t="str">
        <f t="shared" si="0"/>
        <v>Russia</v>
      </c>
      <c r="CD2" s="53" t="str">
        <f t="shared" si="0"/>
        <v>SaudiArabia</v>
      </c>
      <c r="CE2" s="53" t="str">
        <f t="shared" si="0"/>
        <v>SouthAfrica</v>
      </c>
      <c r="CF2" s="53" t="str">
        <f t="shared" si="0"/>
        <v>SpainPor</v>
      </c>
      <c r="CG2" s="53" t="str">
        <f t="shared" si="0"/>
        <v>SweFinDen</v>
      </c>
      <c r="CH2" s="53" t="str">
        <f t="shared" si="0"/>
        <v>Switzerland</v>
      </c>
      <c r="CI2" s="53" t="str">
        <f t="shared" si="0"/>
        <v>Turkey</v>
      </c>
      <c r="CJ2" s="53" t="str">
        <f t="shared" si="0"/>
        <v>UK</v>
      </c>
      <c r="CK2" s="53" t="str">
        <f t="shared" si="0"/>
        <v>Ukraine</v>
      </c>
      <c r="CL2" s="53" t="str">
        <f t="shared" si="0"/>
        <v>WestBalkans</v>
      </c>
      <c r="CM2" s="53" t="str">
        <f t="shared" si="0"/>
        <v>\I:</v>
      </c>
      <c r="CN2" s="53" t="str">
        <f t="shared" si="0"/>
        <v>\I:</v>
      </c>
      <c r="CO2" s="53" t="str">
        <f t="shared" si="0"/>
        <v>\I:</v>
      </c>
      <c r="CP2" s="53" t="str">
        <f t="shared" si="0"/>
        <v>\I:</v>
      </c>
      <c r="CQ2" s="53" t="str">
        <f t="shared" si="0"/>
        <v>\I:</v>
      </c>
      <c r="CR2" s="53" t="str">
        <f t="shared" si="0"/>
        <v>\I:</v>
      </c>
      <c r="CS2" s="53" t="str">
        <f t="shared" si="0"/>
        <v>\I:</v>
      </c>
      <c r="CT2" s="53" t="str">
        <f t="shared" si="0"/>
        <v>\I:</v>
      </c>
      <c r="CU2" s="53" t="str">
        <f t="shared" si="0"/>
        <v>\I:</v>
      </c>
      <c r="CV2" s="53" t="str">
        <f t="shared" si="0"/>
        <v>\I:</v>
      </c>
      <c r="CW2" s="53" t="str">
        <f t="shared" si="0"/>
        <v>\I:</v>
      </c>
      <c r="CY2" s="38" t="str">
        <f>BD2</f>
        <v>Africa_North</v>
      </c>
      <c r="CZ2" s="38" t="str">
        <f t="shared" ref="CZ2:ER2" si="1">BE2</f>
        <v>Africa_Other</v>
      </c>
      <c r="DA2" s="38" t="str">
        <f t="shared" si="1"/>
        <v>Australia</v>
      </c>
      <c r="DB2" s="38" t="str">
        <f t="shared" si="1"/>
        <v>Austria</v>
      </c>
      <c r="DC2" s="38" t="str">
        <f t="shared" si="1"/>
        <v>Baltics</v>
      </c>
      <c r="DD2" s="38" t="str">
        <f t="shared" si="1"/>
        <v>BeNeLux</v>
      </c>
      <c r="DE2" s="38" t="str">
        <f t="shared" si="1"/>
        <v>Brazil</v>
      </c>
      <c r="DF2" s="38" t="str">
        <f t="shared" si="1"/>
        <v>China</v>
      </c>
      <c r="DG2" s="38" t="str">
        <f t="shared" si="1"/>
        <v>CroSloven</v>
      </c>
      <c r="DH2" s="38" t="str">
        <f t="shared" si="1"/>
        <v>CzechSlovak</v>
      </c>
      <c r="DI2" s="38" t="str">
        <f t="shared" si="1"/>
        <v>France</v>
      </c>
      <c r="DJ2" s="38" t="str">
        <f t="shared" si="1"/>
        <v>Germany</v>
      </c>
      <c r="DK2" s="38" t="str">
        <f t="shared" si="1"/>
        <v>GreeceCyp</v>
      </c>
      <c r="DL2" s="38" t="str">
        <f t="shared" si="1"/>
        <v>HunRomBul</v>
      </c>
      <c r="DM2" s="38" t="str">
        <f t="shared" si="1"/>
        <v>Iceland</v>
      </c>
      <c r="DN2" s="38" t="str">
        <f t="shared" si="1"/>
        <v>India</v>
      </c>
      <c r="DO2" s="38" t="str">
        <f t="shared" si="1"/>
        <v>Ireland</v>
      </c>
      <c r="DP2" s="38" t="str">
        <f t="shared" si="1"/>
        <v>ItalyMal</v>
      </c>
      <c r="DQ2" s="38" t="str">
        <f t="shared" si="1"/>
        <v>Japan</v>
      </c>
      <c r="DR2" s="38" t="str">
        <f t="shared" si="1"/>
        <v>LatAm</v>
      </c>
      <c r="DS2" s="38" t="str">
        <f t="shared" si="1"/>
        <v>MidEast</v>
      </c>
      <c r="DT2" s="38" t="str">
        <f t="shared" si="1"/>
        <v>NorthAm</v>
      </c>
      <c r="DU2" s="38" t="str">
        <f t="shared" si="1"/>
        <v>Norway</v>
      </c>
      <c r="DV2" s="38" t="str">
        <f t="shared" si="1"/>
        <v>Poland</v>
      </c>
      <c r="DW2" s="38" t="str">
        <f t="shared" si="1"/>
        <v>ROW</v>
      </c>
      <c r="DX2" s="38" t="str">
        <f t="shared" si="1"/>
        <v>Russia</v>
      </c>
      <c r="DY2" s="38" t="str">
        <f t="shared" si="1"/>
        <v>SaudiArabia</v>
      </c>
      <c r="DZ2" s="38" t="str">
        <f t="shared" si="1"/>
        <v>SouthAfrica</v>
      </c>
      <c r="EA2" s="38" t="str">
        <f t="shared" si="1"/>
        <v>SpainPor</v>
      </c>
      <c r="EB2" s="38" t="str">
        <f t="shared" si="1"/>
        <v>SweFinDen</v>
      </c>
      <c r="EC2" s="38" t="str">
        <f t="shared" si="1"/>
        <v>Switzerland</v>
      </c>
      <c r="ED2" s="38" t="str">
        <f t="shared" si="1"/>
        <v>Turkey</v>
      </c>
      <c r="EE2" s="38" t="str">
        <f t="shared" si="1"/>
        <v>UK</v>
      </c>
      <c r="EF2" s="38" t="str">
        <f t="shared" si="1"/>
        <v>Ukraine</v>
      </c>
      <c r="EG2" s="38" t="str">
        <f t="shared" si="1"/>
        <v>WestBalkans</v>
      </c>
      <c r="EH2" s="38" t="str">
        <f t="shared" si="1"/>
        <v>\I:</v>
      </c>
      <c r="EI2" s="38" t="str">
        <f t="shared" si="1"/>
        <v>\I:</v>
      </c>
      <c r="EJ2" s="38" t="str">
        <f t="shared" si="1"/>
        <v>\I:</v>
      </c>
      <c r="EK2" s="38" t="str">
        <f t="shared" si="1"/>
        <v>\I:</v>
      </c>
      <c r="EL2" s="38" t="str">
        <f t="shared" si="1"/>
        <v>\I:</v>
      </c>
      <c r="EM2" s="38" t="str">
        <f t="shared" si="1"/>
        <v>\I:</v>
      </c>
      <c r="EN2" s="38" t="str">
        <f t="shared" si="1"/>
        <v>\I:</v>
      </c>
      <c r="EO2" s="38" t="str">
        <f t="shared" si="1"/>
        <v>\I:</v>
      </c>
      <c r="EP2" s="38" t="str">
        <f t="shared" si="1"/>
        <v>\I:</v>
      </c>
      <c r="EQ2" s="38" t="str">
        <f t="shared" si="1"/>
        <v>\I:</v>
      </c>
      <c r="ER2" s="38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4" t="str">
        <f>LEFT(G3,2)</f>
        <v>TT</v>
      </c>
      <c r="D3" s="55" t="s">
        <v>192</v>
      </c>
      <c r="E3" s="55" t="s">
        <v>193</v>
      </c>
      <c r="F3" s="56" t="s">
        <v>55</v>
      </c>
      <c r="G3" s="54" t="s">
        <v>194</v>
      </c>
      <c r="H3" s="57">
        <f ca="1">OFFSET(TIAM15_assumptions!$G3,0,MATCH(VLOOKUP(Assumptions!H$2,TIAM15_assumptions!$Y$3:$Z$87,2,FALSE),TIAM15_assumptions!$H$2:$V$2,0))</f>
        <v>0.8</v>
      </c>
      <c r="I3" s="57">
        <f ca="1">OFFSET(TIAM15_assumptions!$G3,0,MATCH(VLOOKUP(Assumptions!I$2,TIAM15_assumptions!$Y$3:$Z$87,2,FALSE),TIAM15_assumptions!$H$2:$V$2,0))</f>
        <v>0.8</v>
      </c>
      <c r="J3" s="57">
        <f ca="1">OFFSET(TIAM15_assumptions!$G3,0,MATCH(VLOOKUP(Assumptions!J$2,TIAM15_assumptions!$Y$3:$Z$87,2,FALSE),TIAM15_assumptions!$H$2:$V$2,0))</f>
        <v>0.9</v>
      </c>
      <c r="K3" s="57">
        <f ca="1">OFFSET(TIAM15_assumptions!$G3,0,MATCH(VLOOKUP(Assumptions!K$2,TIAM15_assumptions!$Y$3:$Z$87,2,FALSE),TIAM15_assumptions!$H$2:$V$2,0))</f>
        <v>1</v>
      </c>
      <c r="L3" s="57">
        <f ca="1">OFFSET(TIAM15_assumptions!$G3,0,MATCH(VLOOKUP(Assumptions!L$2,TIAM15_assumptions!$Y$3:$Z$87,2,FALSE),TIAM15_assumptions!$H$2:$V$2,0))</f>
        <v>0.8</v>
      </c>
      <c r="M3" s="57">
        <f ca="1">OFFSET(TIAM15_assumptions!$G3,0,MATCH(VLOOKUP(Assumptions!M$2,TIAM15_assumptions!$Y$3:$Z$87,2,FALSE),TIAM15_assumptions!$H$2:$V$2,0))</f>
        <v>1</v>
      </c>
      <c r="N3" s="57">
        <f ca="1">OFFSET(TIAM15_assumptions!$G3,0,MATCH(VLOOKUP(Assumptions!N$2,TIAM15_assumptions!$Y$3:$Z$87,2,FALSE),TIAM15_assumptions!$H$2:$V$2,0))</f>
        <v>1</v>
      </c>
      <c r="O3" s="57">
        <f ca="1">OFFSET(TIAM15_assumptions!$G3,0,MATCH(VLOOKUP(Assumptions!O$2,TIAM15_assumptions!$Y$3:$Z$87,2,FALSE),TIAM15_assumptions!$H$2:$V$2,0))</f>
        <v>0.75</v>
      </c>
      <c r="P3" s="57">
        <f ca="1">OFFSET(TIAM15_assumptions!$G3,0,MATCH(VLOOKUP(Assumptions!P$2,TIAM15_assumptions!$Y$3:$Z$87,2,FALSE),TIAM15_assumptions!$H$2:$V$2,0))</f>
        <v>0.8</v>
      </c>
      <c r="Q3" s="57">
        <f ca="1">OFFSET(TIAM15_assumptions!$G3,0,MATCH(VLOOKUP(Assumptions!Q$2,TIAM15_assumptions!$Y$3:$Z$87,2,FALSE),TIAM15_assumptions!$H$2:$V$2,0))</f>
        <v>0.8</v>
      </c>
      <c r="R3" s="57">
        <f ca="1">OFFSET(TIAM15_assumptions!$G3,0,MATCH(VLOOKUP(Assumptions!R$2,TIAM15_assumptions!$Y$3:$Z$87,2,FALSE),TIAM15_assumptions!$H$2:$V$2,0))</f>
        <v>1</v>
      </c>
      <c r="S3" s="57">
        <f ca="1">OFFSET(TIAM15_assumptions!$G3,0,MATCH(VLOOKUP(Assumptions!S$2,TIAM15_assumptions!$Y$3:$Z$87,2,FALSE),TIAM15_assumptions!$H$2:$V$2,0))</f>
        <v>1</v>
      </c>
      <c r="T3" s="57">
        <f ca="1">OFFSET(TIAM15_assumptions!$G3,0,MATCH(VLOOKUP(Assumptions!T$2,TIAM15_assumptions!$Y$3:$Z$87,2,FALSE),TIAM15_assumptions!$H$2:$V$2,0))</f>
        <v>1</v>
      </c>
      <c r="U3" s="57">
        <f ca="1">OFFSET(TIAM15_assumptions!$G3,0,MATCH(VLOOKUP(Assumptions!U$2,TIAM15_assumptions!$Y$3:$Z$87,2,FALSE),TIAM15_assumptions!$H$2:$V$2,0))</f>
        <v>0.8</v>
      </c>
      <c r="V3" s="57">
        <f ca="1">OFFSET(TIAM15_assumptions!$G3,0,MATCH(VLOOKUP(Assumptions!V$2,TIAM15_assumptions!$Y$3:$Z$87,2,FALSE),TIAM15_assumptions!$H$2:$V$2,0))</f>
        <v>1</v>
      </c>
      <c r="W3" s="57">
        <f ca="1">OFFSET(TIAM15_assumptions!$G3,0,MATCH(VLOOKUP(Assumptions!W$2,TIAM15_assumptions!$Y$3:$Z$87,2,FALSE),TIAM15_assumptions!$H$2:$V$2,0))</f>
        <v>0.8</v>
      </c>
      <c r="X3" s="57">
        <f ca="1">OFFSET(TIAM15_assumptions!$G3,0,MATCH(VLOOKUP(Assumptions!X$2,TIAM15_assumptions!$Y$3:$Z$87,2,FALSE),TIAM15_assumptions!$H$2:$V$2,0))</f>
        <v>1</v>
      </c>
      <c r="Y3" s="57">
        <f ca="1">OFFSET(TIAM15_assumptions!$G3,0,MATCH(VLOOKUP(Assumptions!Y$2,TIAM15_assumptions!$Y$3:$Z$87,2,FALSE),TIAM15_assumptions!$H$2:$V$2,0))</f>
        <v>1</v>
      </c>
      <c r="Z3" s="57">
        <f ca="1">OFFSET(TIAM15_assumptions!$G3,0,MATCH(VLOOKUP(Assumptions!Z$2,TIAM15_assumptions!$Y$3:$Z$87,2,FALSE),TIAM15_assumptions!$H$2:$V$2,0))</f>
        <v>0.07</v>
      </c>
      <c r="AA3" s="57">
        <f ca="1">OFFSET(TIAM15_assumptions!$G3,0,MATCH(VLOOKUP(Assumptions!AA$2,TIAM15_assumptions!$Y$3:$Z$87,2,FALSE),TIAM15_assumptions!$H$2:$V$2,0))</f>
        <v>1</v>
      </c>
      <c r="AB3" s="57">
        <f ca="1">OFFSET(TIAM15_assumptions!$G3,0,MATCH(VLOOKUP(Assumptions!AB$2,TIAM15_assumptions!$Y$3:$Z$87,2,FALSE),TIAM15_assumptions!$H$2:$V$2,0))</f>
        <v>0.8</v>
      </c>
      <c r="AC3" s="57">
        <f ca="1">OFFSET(TIAM15_assumptions!$G3,0,MATCH(VLOOKUP(Assumptions!AC$2,TIAM15_assumptions!$Y$3:$Z$87,2,FALSE),TIAM15_assumptions!$H$2:$V$2,0))</f>
        <v>0.8</v>
      </c>
      <c r="AD3" s="57">
        <f ca="1">OFFSET(TIAM15_assumptions!$G3,0,MATCH(VLOOKUP(Assumptions!AD$2,TIAM15_assumptions!$Y$3:$Z$87,2,FALSE),TIAM15_assumptions!$H$2:$V$2,0))</f>
        <v>1</v>
      </c>
      <c r="AE3" s="57">
        <f ca="1">OFFSET(TIAM15_assumptions!$G3,0,MATCH(VLOOKUP(Assumptions!AE$2,TIAM15_assumptions!$Y$3:$Z$87,2,FALSE),TIAM15_assumptions!$H$2:$V$2,0))</f>
        <v>0.8</v>
      </c>
      <c r="AF3" s="57">
        <f ca="1">OFFSET(TIAM15_assumptions!$G3,0,MATCH(VLOOKUP(Assumptions!AF$2,TIAM15_assumptions!$Y$3:$Z$87,2,FALSE),TIAM15_assumptions!$H$2:$V$2,0))</f>
        <v>0.8</v>
      </c>
      <c r="AG3" s="57">
        <f ca="1">OFFSET(TIAM15_assumptions!$G3,0,MATCH(VLOOKUP(Assumptions!AG$2,TIAM15_assumptions!$Y$3:$Z$87,2,FALSE),TIAM15_assumptions!$H$2:$V$2,0))</f>
        <v>0.8</v>
      </c>
      <c r="AH3" s="57">
        <f ca="1">OFFSET(TIAM15_assumptions!$G3,0,MATCH(VLOOKUP(Assumptions!AH$2,TIAM15_assumptions!$Y$3:$Z$87,2,FALSE),TIAM15_assumptions!$H$2:$V$2,0))</f>
        <v>0.8</v>
      </c>
      <c r="AI3" s="57">
        <f ca="1">OFFSET(TIAM15_assumptions!$G3,0,MATCH(VLOOKUP(Assumptions!AI$2,TIAM15_assumptions!$Y$3:$Z$87,2,FALSE),TIAM15_assumptions!$H$2:$V$2,0))</f>
        <v>0.8</v>
      </c>
      <c r="AJ3" s="57">
        <f ca="1">OFFSET(TIAM15_assumptions!$G3,0,MATCH(VLOOKUP(Assumptions!AJ$2,TIAM15_assumptions!$Y$3:$Z$87,2,FALSE),TIAM15_assumptions!$H$2:$V$2,0))</f>
        <v>1</v>
      </c>
      <c r="AK3" s="57">
        <f ca="1">OFFSET(TIAM15_assumptions!$G3,0,MATCH(VLOOKUP(Assumptions!AK$2,TIAM15_assumptions!$Y$3:$Z$87,2,FALSE),TIAM15_assumptions!$H$2:$V$2,0))</f>
        <v>1</v>
      </c>
      <c r="AL3" s="57">
        <f ca="1">OFFSET(TIAM15_assumptions!$G3,0,MATCH(VLOOKUP(Assumptions!AL$2,TIAM15_assumptions!$Y$3:$Z$87,2,FALSE),TIAM15_assumptions!$H$2:$V$2,0))</f>
        <v>1</v>
      </c>
      <c r="AM3" s="57">
        <f ca="1">OFFSET(TIAM15_assumptions!$G3,0,MATCH(VLOOKUP(Assumptions!AM$2,TIAM15_assumptions!$Y$3:$Z$87,2,FALSE),TIAM15_assumptions!$H$2:$V$2,0))</f>
        <v>0.8</v>
      </c>
      <c r="AN3" s="57">
        <f ca="1">OFFSET(TIAM15_assumptions!$G3,0,MATCH(VLOOKUP(Assumptions!AN$2,TIAM15_assumptions!$Y$3:$Z$87,2,FALSE),TIAM15_assumptions!$H$2:$V$2,0))</f>
        <v>1</v>
      </c>
      <c r="AO3" s="57">
        <f ca="1">OFFSET(TIAM15_assumptions!$G3,0,MATCH(VLOOKUP(Assumptions!AO$2,TIAM15_assumptions!$Y$3:$Z$87,2,FALSE),TIAM15_assumptions!$H$2:$V$2,0))</f>
        <v>0.8</v>
      </c>
      <c r="AP3" s="57">
        <f ca="1">OFFSET(TIAM15_assumptions!$G3,0,MATCH(VLOOKUP(Assumptions!AP$2,TIAM15_assumptions!$Y$3:$Z$87,2,FALSE),TIAM15_assumptions!$H$2:$V$2,0))</f>
        <v>0.8</v>
      </c>
      <c r="AQ3" s="57">
        <f ca="1">OFFSET(TIAM15_assumptions!$G3,0,MATCH(VLOOKUP(Assumptions!AQ$2,TIAM15_assumptions!$Y$3:$Z$87,2,FALSE),TIAM15_assumptions!$H$2:$V$2,0))</f>
        <v>0.8</v>
      </c>
      <c r="AR3" s="57">
        <f ca="1">OFFSET(TIAM15_assumptions!$G3,0,MATCH(VLOOKUP(Assumptions!AR$2,TIAM15_assumptions!$Y$3:$Z$87,2,FALSE),TIAM15_assumptions!$H$2:$V$2,0))</f>
        <v>0.8</v>
      </c>
      <c r="AS3" s="57">
        <f ca="1">OFFSET(TIAM15_assumptions!$G3,0,MATCH(VLOOKUP(Assumptions!AS$2,TIAM15_assumptions!$Y$3:$Z$87,2,FALSE),TIAM15_assumptions!$H$2:$V$2,0))</f>
        <v>0.8</v>
      </c>
      <c r="AT3" s="57">
        <f ca="1">OFFSET(TIAM15_assumptions!$G3,0,MATCH(VLOOKUP(Assumptions!AT$2,TIAM15_assumptions!$Y$3:$Z$87,2,FALSE),TIAM15_assumptions!$H$2:$V$2,0))</f>
        <v>0.8</v>
      </c>
      <c r="AU3" s="57">
        <f ca="1">OFFSET(TIAM15_assumptions!$G3,0,MATCH(VLOOKUP(Assumptions!AU$2,TIAM15_assumptions!$Y$3:$Z$87,2,FALSE),TIAM15_assumptions!$H$2:$V$2,0))</f>
        <v>0.8</v>
      </c>
      <c r="AV3" s="57">
        <f ca="1">OFFSET(TIAM15_assumptions!$G3,0,MATCH(VLOOKUP(Assumptions!AV$2,TIAM15_assumptions!$Y$3:$Z$87,2,FALSE),TIAM15_assumptions!$H$2:$V$2,0))</f>
        <v>0.8</v>
      </c>
      <c r="AW3" s="57">
        <f ca="1">OFFSET(TIAM15_assumptions!$G3,0,MATCH(VLOOKUP(Assumptions!AW$2,TIAM15_assumptions!$Y$3:$Z$87,2,FALSE),TIAM15_assumptions!$H$2:$V$2,0))</f>
        <v>0.8</v>
      </c>
      <c r="AX3" s="57">
        <f ca="1">OFFSET(TIAM15_assumptions!$G3,0,MATCH(VLOOKUP(Assumptions!AX$2,TIAM15_assumptions!$Y$3:$Z$87,2,FALSE),TIAM15_assumptions!$H$2:$V$2,0))</f>
        <v>0.8</v>
      </c>
      <c r="AY3" s="57">
        <f ca="1">OFFSET(TIAM15_assumptions!$G3,0,MATCH(VLOOKUP(Assumptions!AY$2,TIAM15_assumptions!$Y$3:$Z$87,2,FALSE),TIAM15_assumptions!$H$2:$V$2,0))</f>
        <v>0.8</v>
      </c>
      <c r="AZ3" s="57">
        <f ca="1">OFFSET(TIAM15_assumptions!$G3,0,MATCH(VLOOKUP(Assumptions!AZ$2,TIAM15_assumptions!$Y$3:$Z$87,2,FALSE),TIAM15_assumptions!$H$2:$V$2,0))</f>
        <v>0.8</v>
      </c>
      <c r="BA3" s="57">
        <f ca="1">OFFSET(TIAM15_assumptions!$G3,0,MATCH(VLOOKUP(Assumptions!BA$2,TIAM15_assumptions!$Y$3:$Z$87,2,FALSE),TIAM15_assumptions!$H$2:$V$2,0))</f>
        <v>0.8</v>
      </c>
      <c r="BD3" s="40">
        <f ca="1">IFERROR(SUMIFS('TRA balance'!E$5:E$40,'TRA balance'!$C$5:$C$40,Assumptions!$C3,'TRA balance'!$D$5:$D$40,Assumptions!$B3)*CY3*H3,"")</f>
        <v>0</v>
      </c>
      <c r="BE3" s="40">
        <f ca="1">IFERROR(SUMIFS('TRA balance'!F$5:F$40,'TRA balance'!$C$5:$C$40,Assumptions!$C3,'TRA balance'!$D$5:$D$40,Assumptions!$B3)*CZ3*I3,"")</f>
        <v>0.11692560096</v>
      </c>
      <c r="BF3" s="40">
        <f ca="1">IFERROR(SUMIFS('TRA balance'!G$5:G$40,'TRA balance'!$C$5:$C$40,Assumptions!$C3,'TRA balance'!$D$5:$D$40,Assumptions!$B3)*DA3*J3,"")</f>
        <v>0</v>
      </c>
      <c r="BG3" s="40">
        <f ca="1">IFERROR(SUMIFS('TRA balance'!H$5:H$40,'TRA balance'!$C$5:$C$40,Assumptions!$C3,'TRA balance'!$D$5:$D$40,Assumptions!$B3)*DB3*K3,"")</f>
        <v>0.0042998436</v>
      </c>
      <c r="BH3" s="40">
        <f ca="1">IFERROR(SUMIFS('TRA balance'!I$5:I$40,'TRA balance'!$C$5:$C$40,Assumptions!$C3,'TRA balance'!$D$5:$D$40,Assumptions!$B3)*DC3*L3,"")</f>
        <v>0</v>
      </c>
      <c r="BI3" s="40">
        <f ca="1">IFERROR(SUMIFS('TRA balance'!J$5:J$40,'TRA balance'!$C$5:$C$40,Assumptions!$C3,'TRA balance'!$D$5:$D$40,Assumptions!$B3)*DD3*M3,"")</f>
        <v>0.0026293104</v>
      </c>
      <c r="BJ3" s="40">
        <f ca="1">IFERROR(SUMIFS('TRA balance'!K$5:K$40,'TRA balance'!$C$5:$C$40,Assumptions!$C3,'TRA balance'!$D$5:$D$40,Assumptions!$B3)*DE3*N3,"")</f>
        <v>0</v>
      </c>
      <c r="BK3" s="40">
        <f ca="1">IFERROR(SUMIFS('TRA balance'!L$5:L$40,'TRA balance'!$C$5:$C$40,Assumptions!$C3,'TRA balance'!$D$5:$D$40,Assumptions!$B3)*DF3*O3,"")</f>
        <v>0</v>
      </c>
      <c r="BL3" s="40">
        <f ca="1">IFERROR(SUMIFS('TRA balance'!M$5:M$40,'TRA balance'!$C$5:$C$40,Assumptions!$C3,'TRA balance'!$D$5:$D$40,Assumptions!$B3)*DG3*P3,"")</f>
        <v>0.00343987488</v>
      </c>
      <c r="BM3" s="40">
        <f ca="1">IFERROR(SUMIFS('TRA balance'!N$5:N$40,'TRA balance'!$C$5:$C$40,Assumptions!$C3,'TRA balance'!$D$5:$D$40,Assumptions!$B3)*DH3*Q3,"")</f>
        <v>0.01053063936</v>
      </c>
      <c r="BN3" s="40">
        <f ca="1">IFERROR(SUMIFS('TRA balance'!O$5:O$40,'TRA balance'!$C$5:$C$40,Assumptions!$C3,'TRA balance'!$D$5:$D$40,Assumptions!$B3)*DI3*R3,"")</f>
        <v>0</v>
      </c>
      <c r="BO3" s="40">
        <f ca="1">IFERROR(SUMIFS('TRA balance'!P$5:P$40,'TRA balance'!$C$5:$C$40,Assumptions!$C3,'TRA balance'!$D$5:$D$40,Assumptions!$B3)*DJ3*S3,"")</f>
        <v>0</v>
      </c>
      <c r="BP3" s="40">
        <f ca="1">IFERROR(SUMIFS('TRA balance'!Q$5:Q$40,'TRA balance'!$C$5:$C$40,Assumptions!$C3,'TRA balance'!$D$5:$D$40,Assumptions!$B3)*DK3*T3,"")</f>
        <v>0</v>
      </c>
      <c r="BQ3" s="40">
        <f ca="1">IFERROR(SUMIFS('TRA balance'!R$5:R$40,'TRA balance'!$C$5:$C$40,Assumptions!$C3,'TRA balance'!$D$5:$D$40,Assumptions!$B3)*DL3*U3,"")</f>
        <v>0</v>
      </c>
      <c r="BR3" s="40">
        <f ca="1">IFERROR(SUMIFS('TRA balance'!S$5:S$40,'TRA balance'!$C$5:$C$40,Assumptions!$C3,'TRA balance'!$D$5:$D$40,Assumptions!$B3)*DM3*V3,"")</f>
        <v>0</v>
      </c>
      <c r="BS3" s="40">
        <f ca="1">IFERROR(SUMIFS('TRA balance'!T$5:T$40,'TRA balance'!$C$5:$C$40,Assumptions!$C3,'TRA balance'!$D$5:$D$40,Assumptions!$B3)*DN3*W3,"")</f>
        <v>0</v>
      </c>
      <c r="BT3" s="40">
        <f ca="1">IFERROR(SUMIFS('TRA balance'!U$5:U$40,'TRA balance'!$C$5:$C$40,Assumptions!$C3,'TRA balance'!$D$5:$D$40,Assumptions!$B3)*DO3*X3,"")</f>
        <v>0</v>
      </c>
      <c r="BU3" s="40">
        <f ca="1">IFERROR(SUMIFS('TRA balance'!V$5:V$40,'TRA balance'!$C$5:$C$40,Assumptions!$C3,'TRA balance'!$D$5:$D$40,Assumptions!$B3)*DP3*Y3,"")</f>
        <v>0</v>
      </c>
      <c r="BV3" s="40">
        <f ca="1">IFERROR(SUMIFS('TRA balance'!W$5:W$40,'TRA balance'!$C$5:$C$40,Assumptions!$C3,'TRA balance'!$D$5:$D$40,Assumptions!$B3)*DQ3*Z3,"")</f>
        <v>0.002519281296</v>
      </c>
      <c r="BW3" s="40">
        <f ca="1">IFERROR(SUMIFS('TRA balance'!X$5:X$40,'TRA balance'!$C$5:$C$40,Assumptions!$C3,'TRA balance'!$D$5:$D$40,Assumptions!$B3)*DR3*AA3,"")</f>
        <v>0</v>
      </c>
      <c r="BX3" s="40">
        <f ca="1">IFERROR(SUMIFS('TRA balance'!Y$5:Y$40,'TRA balance'!$C$5:$C$40,Assumptions!$C3,'TRA balance'!$D$5:$D$40,Assumptions!$B3)*DS3*AB3,"")</f>
        <v>0</v>
      </c>
      <c r="BY3" s="40">
        <f ca="1">IFERROR(SUMIFS('TRA balance'!Z$5:Z$40,'TRA balance'!$C$5:$C$40,Assumptions!$C3,'TRA balance'!$D$5:$D$40,Assumptions!$B3)*DT3*AC3,"")</f>
        <v>0</v>
      </c>
      <c r="BZ3" s="40">
        <f ca="1">IFERROR(SUMIFS('TRA balance'!AA$5:AA$40,'TRA balance'!$C$5:$C$40,Assumptions!$C3,'TRA balance'!$D$5:$D$40,Assumptions!$B3)*DU3*AD3,"")</f>
        <v>0</v>
      </c>
      <c r="CA3" s="40">
        <f ca="1">IFERROR(SUMIFS('TRA balance'!AB$5:AB$40,'TRA balance'!$C$5:$C$40,Assumptions!$C3,'TRA balance'!$D$5:$D$40,Assumptions!$B3)*DV3*AE3,"")</f>
        <v>0</v>
      </c>
      <c r="CB3" s="40">
        <f ca="1">IFERROR(SUMIFS('TRA balance'!AC$5:AC$40,'TRA balance'!$C$5:$C$40,Assumptions!$C3,'TRA balance'!$D$5:$D$40,Assumptions!$B3)*DW3*AF3,"")</f>
        <v>1.16939668608</v>
      </c>
      <c r="CC3" s="40">
        <f ca="1">IFERROR(SUMIFS('TRA balance'!AD$5:AD$40,'TRA balance'!$C$5:$C$40,Assumptions!$C3,'TRA balance'!$D$5:$D$40,Assumptions!$B3)*DX3*AG3,"")</f>
        <v>0.19401966144</v>
      </c>
      <c r="CD3" s="40">
        <f ca="1">IFERROR(SUMIFS('TRA balance'!AE$5:AE$40,'TRA balance'!$C$5:$C$40,Assumptions!$C3,'TRA balance'!$D$5:$D$40,Assumptions!$B3)*DY3*AH3,"")</f>
        <v>0</v>
      </c>
      <c r="CE3" s="40">
        <f ca="1">IFERROR(SUMIFS('TRA balance'!AF$5:AF$40,'TRA balance'!$C$5:$C$40,Assumptions!$C3,'TRA balance'!$D$5:$D$40,Assumptions!$B3)*DZ3*AI3,"")</f>
        <v>0</v>
      </c>
      <c r="CF3" s="40">
        <f ca="1">IFERROR(SUMIFS('TRA balance'!AG$5:AG$40,'TRA balance'!$C$5:$C$40,Assumptions!$C3,'TRA balance'!$D$5:$D$40,Assumptions!$B3)*EA3*AJ3,"")</f>
        <v>0</v>
      </c>
      <c r="CG3" s="40">
        <f ca="1">IFERROR(SUMIFS('TRA balance'!AH$5:AH$40,'TRA balance'!$C$5:$C$40,Assumptions!$C3,'TRA balance'!$D$5:$D$40,Assumptions!$B3)*EB3*AK3,"")</f>
        <v>0</v>
      </c>
      <c r="CH3" s="40">
        <f ca="1">IFERROR(SUMIFS('TRA balance'!AI$5:AI$40,'TRA balance'!$C$5:$C$40,Assumptions!$C3,'TRA balance'!$D$5:$D$40,Assumptions!$B3)*EC3*AL3,"")</f>
        <v>0</v>
      </c>
      <c r="CI3" s="40">
        <f ca="1">IFERROR(SUMIFS('TRA balance'!AJ$5:AJ$40,'TRA balance'!$C$5:$C$40,Assumptions!$C3,'TRA balance'!$D$5:$D$40,Assumptions!$B3)*ED3*AM3,"")</f>
        <v>0</v>
      </c>
      <c r="CJ3" s="40">
        <f ca="1">IFERROR(SUMIFS('TRA balance'!AK$5:AK$40,'TRA balance'!$C$5:$C$40,Assumptions!$C3,'TRA balance'!$D$5:$D$40,Assumptions!$B3)*EE3*AN3,"")</f>
        <v>0.410683212</v>
      </c>
      <c r="CK3" s="40">
        <f ca="1">IFERROR(SUMIFS('TRA balance'!AL$5:AL$40,'TRA balance'!$C$5:$C$40,Assumptions!$C3,'TRA balance'!$D$5:$D$40,Assumptions!$B3)*EF3*AO3,"")</f>
        <v>0.1582777872</v>
      </c>
      <c r="CL3" s="40">
        <f ca="1">IFERROR(SUMIFS('TRA balance'!AM$5:AM$40,'TRA balance'!$C$5:$C$40,Assumptions!$C3,'TRA balance'!$D$5:$D$40,Assumptions!$B3)*EG3*AP3,"")</f>
        <v>0</v>
      </c>
      <c r="CM3" s="40">
        <f ca="1">IFERROR(SUMIFS('TRA balance'!AN$5:AN$40,'TRA balance'!$C$5:$C$40,Assumptions!$C3,'TRA balance'!$D$5:$D$40,Assumptions!$B3)*EH3*AQ3,"")</f>
        <v>0</v>
      </c>
      <c r="CN3" s="40">
        <f ca="1">IFERROR(SUMIFS('TRA balance'!AO$5:AO$40,'TRA balance'!$C$5:$C$40,Assumptions!$C3,'TRA balance'!$D$5:$D$40,Assumptions!$B3)*EI3*AR3,"")</f>
        <v>0</v>
      </c>
      <c r="CO3" s="40">
        <f ca="1">IFERROR(SUMIFS('TRA balance'!AP$5:AP$40,'TRA balance'!$C$5:$C$40,Assumptions!$C3,'TRA balance'!$D$5:$D$40,Assumptions!$B3)*EJ3*AS3,"")</f>
        <v>0</v>
      </c>
      <c r="CP3" s="40">
        <f ca="1">IFERROR(SUMIFS('TRA balance'!AQ$5:AQ$40,'TRA balance'!$C$5:$C$40,Assumptions!$C3,'TRA balance'!$D$5:$D$40,Assumptions!$B3)*EK3*AT3,"")</f>
        <v>0</v>
      </c>
      <c r="CQ3" s="40">
        <f ca="1">IFERROR(SUMIFS('TRA balance'!AR$5:AR$40,'TRA balance'!$C$5:$C$40,Assumptions!$C3,'TRA balance'!$D$5:$D$40,Assumptions!$B3)*EL3*AU3,"")</f>
        <v>0</v>
      </c>
      <c r="CR3" s="40">
        <f ca="1">IFERROR(SUMIFS('TRA balance'!AS$5:AS$40,'TRA balance'!$C$5:$C$40,Assumptions!$C3,'TRA balance'!$D$5:$D$40,Assumptions!$B3)*EM3*AV3,"")</f>
        <v>0</v>
      </c>
      <c r="CS3" s="40">
        <f ca="1">IFERROR(SUMIFS('TRA balance'!AT$5:AT$40,'TRA balance'!$C$5:$C$40,Assumptions!$C3,'TRA balance'!$D$5:$D$40,Assumptions!$B3)*EN3*AW3,"")</f>
        <v>0</v>
      </c>
      <c r="CT3" s="40">
        <f ca="1">IFERROR(SUMIFS('TRA balance'!AU$5:AU$40,'TRA balance'!$C$5:$C$40,Assumptions!$C3,'TRA balance'!$D$5:$D$40,Assumptions!$B3)*EO3*AX3,"")</f>
        <v>0</v>
      </c>
      <c r="CU3" s="40">
        <f ca="1">IFERROR(SUMIFS('TRA balance'!AV$5:AV$40,'TRA balance'!$C$5:$C$40,Assumptions!$C3,'TRA balance'!$D$5:$D$40,Assumptions!$B3)*EP3*AY3,"")</f>
        <v>0</v>
      </c>
      <c r="CV3" s="40">
        <f ca="1">IFERROR(SUMIFS('TRA balance'!AW$5:AW$40,'TRA balance'!$C$5:$C$40,Assumptions!$C3,'TRA balance'!$D$5:$D$40,Assumptions!$B3)*EQ3*AZ3,"")</f>
        <v>0</v>
      </c>
      <c r="CW3" s="40">
        <f ca="1">IFERROR(SUMIFS('TRA balance'!AX$5:AX$40,'TRA balance'!$C$5:$C$40,Assumptions!$C3,'TRA balance'!$D$5:$D$40,Assumptions!$B3)*ER3*BA3,"")</f>
        <v>0</v>
      </c>
      <c r="CY3" s="39">
        <f ca="1" t="shared" ref="CY3:CY34" si="2">IF($C3="TR",SUMIFS(H$3:H$103,$B$3:$B$103,$B3,$C$3:$C$103,$A3),1)</f>
        <v>1</v>
      </c>
      <c r="CZ3" s="39">
        <f ca="1" t="shared" ref="CZ3:CZ66" si="3">IF($C3="TR",SUMIFS(I$3:I$103,$B$3:$B$103,$B3,$C$3:$C$103,$A3),1)</f>
        <v>1</v>
      </c>
      <c r="DA3" s="39">
        <f ca="1" t="shared" ref="DA3:DA66" si="4">IF($C3="TR",SUMIFS(J$3:J$103,$B$3:$B$103,$B3,$C$3:$C$103,$A3),1)</f>
        <v>1</v>
      </c>
      <c r="DB3" s="39">
        <f ca="1" t="shared" ref="DB3:DB66" si="5">IF($C3="TR",SUMIFS(K$3:K$103,$B$3:$B$103,$B3,$C$3:$C$103,$A3),1)</f>
        <v>1</v>
      </c>
      <c r="DC3" s="39">
        <f ca="1" t="shared" ref="DC3:DC66" si="6">IF($C3="TR",SUMIFS(L$3:L$103,$B$3:$B$103,$B3,$C$3:$C$103,$A3),1)</f>
        <v>1</v>
      </c>
      <c r="DD3" s="39">
        <f ca="1" t="shared" ref="DD3:DD66" si="7">IF($C3="TR",SUMIFS(M$3:M$103,$B$3:$B$103,$B3,$C$3:$C$103,$A3),1)</f>
        <v>1</v>
      </c>
      <c r="DE3" s="39">
        <f ca="1" t="shared" ref="DE3:DE66" si="8">IF($C3="TR",SUMIFS(N$3:N$103,$B$3:$B$103,$B3,$C$3:$C$103,$A3),1)</f>
        <v>1</v>
      </c>
      <c r="DF3" s="39">
        <f ca="1" t="shared" ref="DF3:DF66" si="9">IF($C3="TR",SUMIFS(O$3:O$103,$B$3:$B$103,$B3,$C$3:$C$103,$A3),1)</f>
        <v>1</v>
      </c>
      <c r="DG3" s="39">
        <f ca="1" t="shared" ref="DG3:DG66" si="10">IF($C3="TR",SUMIFS(P$3:P$103,$B$3:$B$103,$B3,$C$3:$C$103,$A3),1)</f>
        <v>1</v>
      </c>
      <c r="DH3" s="39">
        <f ca="1" t="shared" ref="DH3:DH66" si="11">IF($C3="TR",SUMIFS(Q$3:Q$103,$B$3:$B$103,$B3,$C$3:$C$103,$A3),1)</f>
        <v>1</v>
      </c>
      <c r="DI3" s="39">
        <f ca="1" t="shared" ref="DI3:DI66" si="12">IF($C3="TR",SUMIFS(R$3:R$103,$B$3:$B$103,$B3,$C$3:$C$103,$A3),1)</f>
        <v>1</v>
      </c>
      <c r="DJ3" s="39">
        <f ca="1" t="shared" ref="DJ3:DJ66" si="13">IF($C3="TR",SUMIFS(S$3:S$103,$B$3:$B$103,$B3,$C$3:$C$103,$A3),1)</f>
        <v>1</v>
      </c>
      <c r="DK3" s="39">
        <f ca="1" t="shared" ref="DK3:DK66" si="14">IF($C3="TR",SUMIFS(T$3:T$103,$B$3:$B$103,$B3,$C$3:$C$103,$A3),1)</f>
        <v>1</v>
      </c>
      <c r="DL3" s="39">
        <f ca="1" t="shared" ref="DL3:DL66" si="15">IF($C3="TR",SUMIFS(U$3:U$103,$B$3:$B$103,$B3,$C$3:$C$103,$A3),1)</f>
        <v>1</v>
      </c>
      <c r="DM3" s="39">
        <f ca="1" t="shared" ref="DM3:DM66" si="16">IF($C3="TR",SUMIFS(V$3:V$103,$B$3:$B$103,$B3,$C$3:$C$103,$A3),1)</f>
        <v>1</v>
      </c>
      <c r="DN3" s="39">
        <f ca="1" t="shared" ref="DN3:DN66" si="17">IF($C3="TR",SUMIFS(W$3:W$103,$B$3:$B$103,$B3,$C$3:$C$103,$A3),1)</f>
        <v>1</v>
      </c>
      <c r="DO3" s="39">
        <f ca="1" t="shared" ref="DO3:DO66" si="18">IF($C3="TR",SUMIFS(X$3:X$103,$B$3:$B$103,$B3,$C$3:$C$103,$A3),1)</f>
        <v>1</v>
      </c>
      <c r="DP3" s="39">
        <f ca="1" t="shared" ref="DP3:DP66" si="19">IF($C3="TR",SUMIFS(Y$3:Y$103,$B$3:$B$103,$B3,$C$3:$C$103,$A3),1)</f>
        <v>1</v>
      </c>
      <c r="DQ3" s="39">
        <f ca="1" t="shared" ref="DQ3:DQ66" si="20">IF($C3="TR",SUMIFS(Z$3:Z$103,$B$3:$B$103,$B3,$C$3:$C$103,$A3),1)</f>
        <v>1</v>
      </c>
      <c r="DR3" s="39">
        <f ca="1" t="shared" ref="DR3:DR66" si="21">IF($C3="TR",SUMIFS(AA$3:AA$103,$B$3:$B$103,$B3,$C$3:$C$103,$A3),1)</f>
        <v>1</v>
      </c>
      <c r="DS3" s="39">
        <f ca="1" t="shared" ref="DS3:DS66" si="22">IF($C3="TR",SUMIFS(AB$3:AB$103,$B$3:$B$103,$B3,$C$3:$C$103,$A3),1)</f>
        <v>1</v>
      </c>
      <c r="DT3" s="39">
        <f ca="1" t="shared" ref="DT3:DT66" si="23">IF($C3="TR",SUMIFS(AC$3:AC$103,$B$3:$B$103,$B3,$C$3:$C$103,$A3),1)</f>
        <v>1</v>
      </c>
      <c r="DU3" s="39">
        <f ca="1" t="shared" ref="DU3:DU66" si="24">IF($C3="TR",SUMIFS(AD$3:AD$103,$B$3:$B$103,$B3,$C$3:$C$103,$A3),1)</f>
        <v>1</v>
      </c>
      <c r="DV3" s="39">
        <f ca="1" t="shared" ref="DV3:DV66" si="25">IF($C3="TR",SUMIFS(AE$3:AE$103,$B$3:$B$103,$B3,$C$3:$C$103,$A3),1)</f>
        <v>1</v>
      </c>
      <c r="DW3" s="39">
        <f ca="1" t="shared" ref="DW3:DW66" si="26">IF($C3="TR",SUMIFS(AF$3:AF$103,$B$3:$B$103,$B3,$C$3:$C$103,$A3),1)</f>
        <v>1</v>
      </c>
      <c r="DX3" s="39">
        <f ca="1" t="shared" ref="DX3:DX66" si="27">IF($C3="TR",SUMIFS(AG$3:AG$103,$B$3:$B$103,$B3,$C$3:$C$103,$A3),1)</f>
        <v>1</v>
      </c>
      <c r="DY3" s="39">
        <f ca="1" t="shared" ref="DY3:DY66" si="28">IF($C3="TR",SUMIFS(AH$3:AH$103,$B$3:$B$103,$B3,$C$3:$C$103,$A3),1)</f>
        <v>1</v>
      </c>
      <c r="DZ3" s="39">
        <f ca="1" t="shared" ref="DZ3:DZ66" si="29">IF($C3="TR",SUMIFS(AI$3:AI$103,$B$3:$B$103,$B3,$C$3:$C$103,$A3),1)</f>
        <v>1</v>
      </c>
      <c r="EA3" s="39">
        <f ca="1" t="shared" ref="EA3:EA66" si="30">IF($C3="TR",SUMIFS(AJ$3:AJ$103,$B$3:$B$103,$B3,$C$3:$C$103,$A3),1)</f>
        <v>1</v>
      </c>
      <c r="EB3" s="39">
        <f ca="1" t="shared" ref="EB3:EB66" si="31">IF($C3="TR",SUMIFS(AK$3:AK$103,$B$3:$B$103,$B3,$C$3:$C$103,$A3),1)</f>
        <v>1</v>
      </c>
      <c r="EC3" s="39">
        <f ca="1" t="shared" ref="EC3:EC66" si="32">IF($C3="TR",SUMIFS(AL$3:AL$103,$B$3:$B$103,$B3,$C$3:$C$103,$A3),1)</f>
        <v>1</v>
      </c>
      <c r="ED3" s="39">
        <f ca="1" t="shared" ref="ED3:ED66" si="33">IF($C3="TR",SUMIFS(AM$3:AM$103,$B$3:$B$103,$B3,$C$3:$C$103,$A3),1)</f>
        <v>1</v>
      </c>
      <c r="EE3" s="39">
        <f ca="1" t="shared" ref="EE3:EE66" si="34">IF($C3="TR",SUMIFS(AN$3:AN$103,$B$3:$B$103,$B3,$C$3:$C$103,$A3),1)</f>
        <v>1</v>
      </c>
      <c r="EF3" s="39">
        <f ca="1" t="shared" ref="EF3:EF66" si="35">IF($C3="TR",SUMIFS(AO$3:AO$103,$B$3:$B$103,$B3,$C$3:$C$103,$A3),1)</f>
        <v>1</v>
      </c>
      <c r="EG3" s="39">
        <f ca="1" t="shared" ref="EG3:EG66" si="36">IF($C3="TR",SUMIFS(AP$3:AP$103,$B$3:$B$103,$B3,$C$3:$C$103,$A3),1)</f>
        <v>1</v>
      </c>
      <c r="EH3" s="39">
        <f ca="1" t="shared" ref="EH3:EH66" si="37">IF($C3="TR",SUMIFS(AQ$3:AQ$103,$B$3:$B$103,$B3,$C$3:$C$103,$A3),1)</f>
        <v>1</v>
      </c>
      <c r="EI3" s="39">
        <f ca="1" t="shared" ref="EI3:EI66" si="38">IF($C3="TR",SUMIFS(AR$3:AR$103,$B$3:$B$103,$B3,$C$3:$C$103,$A3),1)</f>
        <v>1</v>
      </c>
      <c r="EJ3" s="39">
        <f ca="1" t="shared" ref="EJ3:EJ66" si="39">IF($C3="TR",SUMIFS(AS$3:AS$103,$B$3:$B$103,$B3,$C$3:$C$103,$A3),1)</f>
        <v>1</v>
      </c>
      <c r="EK3" s="39">
        <f ca="1" t="shared" ref="EK3:EK66" si="40">IF($C3="TR",SUMIFS(AT$3:AT$103,$B$3:$B$103,$B3,$C$3:$C$103,$A3),1)</f>
        <v>1</v>
      </c>
      <c r="EL3" s="39">
        <f ca="1" t="shared" ref="EL3:EL66" si="41">IF($C3="TR",SUMIFS(AU$3:AU$103,$B$3:$B$103,$B3,$C$3:$C$103,$A3),1)</f>
        <v>1</v>
      </c>
      <c r="EM3" s="39">
        <f ca="1" t="shared" ref="EM3:EM66" si="42">IF($C3="TR",SUMIFS(AV$3:AV$103,$B$3:$B$103,$B3,$C$3:$C$103,$A3),1)</f>
        <v>1</v>
      </c>
      <c r="EN3" s="39">
        <f ca="1" t="shared" ref="EN3:EN66" si="43">IF($C3="TR",SUMIFS(AW$3:AW$103,$B$3:$B$103,$B3,$C$3:$C$103,$A3),1)</f>
        <v>1</v>
      </c>
      <c r="EO3" s="39">
        <f ca="1" t="shared" ref="EO3:EO66" si="44">IF($C3="TR",SUMIFS(AX$3:AX$103,$B$3:$B$103,$B3,$C$3:$C$103,$A3),1)</f>
        <v>1</v>
      </c>
      <c r="EP3" s="39">
        <f ca="1" t="shared" ref="EP3:EP66" si="45">IF($C3="TR",SUMIFS(AY$3:AY$103,$B$3:$B$103,$B3,$C$3:$C$103,$A3),1)</f>
        <v>1</v>
      </c>
      <c r="EQ3" s="39">
        <f ca="1" t="shared" ref="EQ3:EQ66" si="46">IF($C3="TR",SUMIFS(AZ$3:AZ$103,$B$3:$B$103,$B3,$C$3:$C$103,$A3),1)</f>
        <v>1</v>
      </c>
      <c r="ER3" s="39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4" t="str">
        <f t="shared" ref="C4:C67" si="48">LEFT(G4,2)</f>
        <v>TT</v>
      </c>
      <c r="D4" s="55" t="s">
        <v>192</v>
      </c>
      <c r="E4" s="55" t="s">
        <v>197</v>
      </c>
      <c r="F4" s="56" t="str">
        <f t="shared" ref="F4:F5" si="49">F3</f>
        <v>Coal</v>
      </c>
      <c r="G4" s="54" t="s">
        <v>198</v>
      </c>
      <c r="H4" s="57">
        <f ca="1">OFFSET(TIAM15_assumptions!$G4,0,MATCH(VLOOKUP(Assumptions!H$2,TIAM15_assumptions!$Y$3:$Z$87,2,FALSE),TIAM15_assumptions!$H$2:$V$2,0))</f>
        <v>0.2</v>
      </c>
      <c r="I4" s="57">
        <f ca="1">OFFSET(TIAM15_assumptions!$G4,0,MATCH(VLOOKUP(Assumptions!I$2,TIAM15_assumptions!$Y$3:$Z$87,2,FALSE),TIAM15_assumptions!$H$2:$V$2,0))</f>
        <v>0.2</v>
      </c>
      <c r="J4" s="57">
        <f ca="1">OFFSET(TIAM15_assumptions!$G4,0,MATCH(VLOOKUP(Assumptions!J$2,TIAM15_assumptions!$Y$3:$Z$87,2,FALSE),TIAM15_assumptions!$H$2:$V$2,0))</f>
        <v>0.1</v>
      </c>
      <c r="K4" s="57">
        <f ca="1">OFFSET(TIAM15_assumptions!$G4,0,MATCH(VLOOKUP(Assumptions!K$2,TIAM15_assumptions!$Y$3:$Z$87,2,FALSE),TIAM15_assumptions!$H$2:$V$2,0))</f>
        <v>0</v>
      </c>
      <c r="L4" s="57">
        <f ca="1">OFFSET(TIAM15_assumptions!$G4,0,MATCH(VLOOKUP(Assumptions!L$2,TIAM15_assumptions!$Y$3:$Z$87,2,FALSE),TIAM15_assumptions!$H$2:$V$2,0))</f>
        <v>0.2</v>
      </c>
      <c r="M4" s="57">
        <f ca="1">OFFSET(TIAM15_assumptions!$G4,0,MATCH(VLOOKUP(Assumptions!M$2,TIAM15_assumptions!$Y$3:$Z$87,2,FALSE),TIAM15_assumptions!$H$2:$V$2,0))</f>
        <v>0</v>
      </c>
      <c r="N4" s="57">
        <f ca="1">OFFSET(TIAM15_assumptions!$G4,0,MATCH(VLOOKUP(Assumptions!N$2,TIAM15_assumptions!$Y$3:$Z$87,2,FALSE),TIAM15_assumptions!$H$2:$V$2,0))</f>
        <v>0</v>
      </c>
      <c r="O4" s="57">
        <f ca="1">OFFSET(TIAM15_assumptions!$G4,0,MATCH(VLOOKUP(Assumptions!O$2,TIAM15_assumptions!$Y$3:$Z$87,2,FALSE),TIAM15_assumptions!$H$2:$V$2,0))</f>
        <v>0.25</v>
      </c>
      <c r="P4" s="57">
        <f ca="1">OFFSET(TIAM15_assumptions!$G4,0,MATCH(VLOOKUP(Assumptions!P$2,TIAM15_assumptions!$Y$3:$Z$87,2,FALSE),TIAM15_assumptions!$H$2:$V$2,0))</f>
        <v>0.2</v>
      </c>
      <c r="Q4" s="57">
        <f ca="1">OFFSET(TIAM15_assumptions!$G4,0,MATCH(VLOOKUP(Assumptions!Q$2,TIAM15_assumptions!$Y$3:$Z$87,2,FALSE),TIAM15_assumptions!$H$2:$V$2,0))</f>
        <v>0.2</v>
      </c>
      <c r="R4" s="57">
        <f ca="1">OFFSET(TIAM15_assumptions!$G4,0,MATCH(VLOOKUP(Assumptions!R$2,TIAM15_assumptions!$Y$3:$Z$87,2,FALSE),TIAM15_assumptions!$H$2:$V$2,0))</f>
        <v>0</v>
      </c>
      <c r="S4" s="57">
        <f ca="1">OFFSET(TIAM15_assumptions!$G4,0,MATCH(VLOOKUP(Assumptions!S$2,TIAM15_assumptions!$Y$3:$Z$87,2,FALSE),TIAM15_assumptions!$H$2:$V$2,0))</f>
        <v>0</v>
      </c>
      <c r="T4" s="57">
        <f ca="1">OFFSET(TIAM15_assumptions!$G4,0,MATCH(VLOOKUP(Assumptions!T$2,TIAM15_assumptions!$Y$3:$Z$87,2,FALSE),TIAM15_assumptions!$H$2:$V$2,0))</f>
        <v>0</v>
      </c>
      <c r="U4" s="57">
        <f ca="1">OFFSET(TIAM15_assumptions!$G4,0,MATCH(VLOOKUP(Assumptions!U$2,TIAM15_assumptions!$Y$3:$Z$87,2,FALSE),TIAM15_assumptions!$H$2:$V$2,0))</f>
        <v>0.2</v>
      </c>
      <c r="V4" s="57">
        <f ca="1">OFFSET(TIAM15_assumptions!$G4,0,MATCH(VLOOKUP(Assumptions!V$2,TIAM15_assumptions!$Y$3:$Z$87,2,FALSE),TIAM15_assumptions!$H$2:$V$2,0))</f>
        <v>0</v>
      </c>
      <c r="W4" s="57">
        <f ca="1">OFFSET(TIAM15_assumptions!$G4,0,MATCH(VLOOKUP(Assumptions!W$2,TIAM15_assumptions!$Y$3:$Z$87,2,FALSE),TIAM15_assumptions!$H$2:$V$2,0))</f>
        <v>0.2</v>
      </c>
      <c r="X4" s="57">
        <f ca="1">OFFSET(TIAM15_assumptions!$G4,0,MATCH(VLOOKUP(Assumptions!X$2,TIAM15_assumptions!$Y$3:$Z$87,2,FALSE),TIAM15_assumptions!$H$2:$V$2,0))</f>
        <v>0</v>
      </c>
      <c r="Y4" s="57">
        <f ca="1">OFFSET(TIAM15_assumptions!$G4,0,MATCH(VLOOKUP(Assumptions!Y$2,TIAM15_assumptions!$Y$3:$Z$87,2,FALSE),TIAM15_assumptions!$H$2:$V$2,0))</f>
        <v>0</v>
      </c>
      <c r="Z4" s="57">
        <f ca="1">OFFSET(TIAM15_assumptions!$G4,0,MATCH(VLOOKUP(Assumptions!Z$2,TIAM15_assumptions!$Y$3:$Z$87,2,FALSE),TIAM15_assumptions!$H$2:$V$2,0))</f>
        <v>0.93</v>
      </c>
      <c r="AA4" s="57">
        <f ca="1">OFFSET(TIAM15_assumptions!$G4,0,MATCH(VLOOKUP(Assumptions!AA$2,TIAM15_assumptions!$Y$3:$Z$87,2,FALSE),TIAM15_assumptions!$H$2:$V$2,0))</f>
        <v>0</v>
      </c>
      <c r="AB4" s="57">
        <f ca="1">OFFSET(TIAM15_assumptions!$G4,0,MATCH(VLOOKUP(Assumptions!AB$2,TIAM15_assumptions!$Y$3:$Z$87,2,FALSE),TIAM15_assumptions!$H$2:$V$2,0))</f>
        <v>0.2</v>
      </c>
      <c r="AC4" s="57">
        <f ca="1">OFFSET(TIAM15_assumptions!$G4,0,MATCH(VLOOKUP(Assumptions!AC$2,TIAM15_assumptions!$Y$3:$Z$87,2,FALSE),TIAM15_assumptions!$H$2:$V$2,0))</f>
        <v>0.2</v>
      </c>
      <c r="AD4" s="57">
        <f ca="1">OFFSET(TIAM15_assumptions!$G4,0,MATCH(VLOOKUP(Assumptions!AD$2,TIAM15_assumptions!$Y$3:$Z$87,2,FALSE),TIAM15_assumptions!$H$2:$V$2,0))</f>
        <v>0</v>
      </c>
      <c r="AE4" s="57">
        <f ca="1">OFFSET(TIAM15_assumptions!$G4,0,MATCH(VLOOKUP(Assumptions!AE$2,TIAM15_assumptions!$Y$3:$Z$87,2,FALSE),TIAM15_assumptions!$H$2:$V$2,0))</f>
        <v>0.2</v>
      </c>
      <c r="AF4" s="57">
        <f ca="1">OFFSET(TIAM15_assumptions!$G4,0,MATCH(VLOOKUP(Assumptions!AF$2,TIAM15_assumptions!$Y$3:$Z$87,2,FALSE),TIAM15_assumptions!$H$2:$V$2,0))</f>
        <v>0.2</v>
      </c>
      <c r="AG4" s="57">
        <f ca="1">OFFSET(TIAM15_assumptions!$G4,0,MATCH(VLOOKUP(Assumptions!AG$2,TIAM15_assumptions!$Y$3:$Z$87,2,FALSE),TIAM15_assumptions!$H$2:$V$2,0))</f>
        <v>0.2</v>
      </c>
      <c r="AH4" s="57">
        <f ca="1">OFFSET(TIAM15_assumptions!$G4,0,MATCH(VLOOKUP(Assumptions!AH$2,TIAM15_assumptions!$Y$3:$Z$87,2,FALSE),TIAM15_assumptions!$H$2:$V$2,0))</f>
        <v>0.2</v>
      </c>
      <c r="AI4" s="57">
        <f ca="1">OFFSET(TIAM15_assumptions!$G4,0,MATCH(VLOOKUP(Assumptions!AI$2,TIAM15_assumptions!$Y$3:$Z$87,2,FALSE),TIAM15_assumptions!$H$2:$V$2,0))</f>
        <v>0.2</v>
      </c>
      <c r="AJ4" s="57">
        <f ca="1">OFFSET(TIAM15_assumptions!$G4,0,MATCH(VLOOKUP(Assumptions!AJ$2,TIAM15_assumptions!$Y$3:$Z$87,2,FALSE),TIAM15_assumptions!$H$2:$V$2,0))</f>
        <v>0</v>
      </c>
      <c r="AK4" s="57">
        <f ca="1">OFFSET(TIAM15_assumptions!$G4,0,MATCH(VLOOKUP(Assumptions!AK$2,TIAM15_assumptions!$Y$3:$Z$87,2,FALSE),TIAM15_assumptions!$H$2:$V$2,0))</f>
        <v>0</v>
      </c>
      <c r="AL4" s="57">
        <f ca="1">OFFSET(TIAM15_assumptions!$G4,0,MATCH(VLOOKUP(Assumptions!AL$2,TIAM15_assumptions!$Y$3:$Z$87,2,FALSE),TIAM15_assumptions!$H$2:$V$2,0))</f>
        <v>0</v>
      </c>
      <c r="AM4" s="57">
        <f ca="1">OFFSET(TIAM15_assumptions!$G4,0,MATCH(VLOOKUP(Assumptions!AM$2,TIAM15_assumptions!$Y$3:$Z$87,2,FALSE),TIAM15_assumptions!$H$2:$V$2,0))</f>
        <v>0.2</v>
      </c>
      <c r="AN4" s="57">
        <f ca="1">OFFSET(TIAM15_assumptions!$G4,0,MATCH(VLOOKUP(Assumptions!AN$2,TIAM15_assumptions!$Y$3:$Z$87,2,FALSE),TIAM15_assumptions!$H$2:$V$2,0))</f>
        <v>0</v>
      </c>
      <c r="AO4" s="57">
        <f ca="1">OFFSET(TIAM15_assumptions!$G4,0,MATCH(VLOOKUP(Assumptions!AO$2,TIAM15_assumptions!$Y$3:$Z$87,2,FALSE),TIAM15_assumptions!$H$2:$V$2,0))</f>
        <v>0.2</v>
      </c>
      <c r="AP4" s="57">
        <f ca="1">OFFSET(TIAM15_assumptions!$G4,0,MATCH(VLOOKUP(Assumptions!AP$2,TIAM15_assumptions!$Y$3:$Z$87,2,FALSE),TIAM15_assumptions!$H$2:$V$2,0))</f>
        <v>0.2</v>
      </c>
      <c r="AQ4" s="57">
        <f ca="1">OFFSET(TIAM15_assumptions!$G4,0,MATCH(VLOOKUP(Assumptions!AQ$2,TIAM15_assumptions!$Y$3:$Z$87,2,FALSE),TIAM15_assumptions!$H$2:$V$2,0))</f>
        <v>0.2</v>
      </c>
      <c r="AR4" s="57">
        <f ca="1">OFFSET(TIAM15_assumptions!$G4,0,MATCH(VLOOKUP(Assumptions!AR$2,TIAM15_assumptions!$Y$3:$Z$87,2,FALSE),TIAM15_assumptions!$H$2:$V$2,0))</f>
        <v>0.2</v>
      </c>
      <c r="AS4" s="57">
        <f ca="1">OFFSET(TIAM15_assumptions!$G4,0,MATCH(VLOOKUP(Assumptions!AS$2,TIAM15_assumptions!$Y$3:$Z$87,2,FALSE),TIAM15_assumptions!$H$2:$V$2,0))</f>
        <v>0.2</v>
      </c>
      <c r="AT4" s="57">
        <f ca="1">OFFSET(TIAM15_assumptions!$G4,0,MATCH(VLOOKUP(Assumptions!AT$2,TIAM15_assumptions!$Y$3:$Z$87,2,FALSE),TIAM15_assumptions!$H$2:$V$2,0))</f>
        <v>0.2</v>
      </c>
      <c r="AU4" s="57">
        <f ca="1">OFFSET(TIAM15_assumptions!$G4,0,MATCH(VLOOKUP(Assumptions!AU$2,TIAM15_assumptions!$Y$3:$Z$87,2,FALSE),TIAM15_assumptions!$H$2:$V$2,0))</f>
        <v>0.2</v>
      </c>
      <c r="AV4" s="57">
        <f ca="1">OFFSET(TIAM15_assumptions!$G4,0,MATCH(VLOOKUP(Assumptions!AV$2,TIAM15_assumptions!$Y$3:$Z$87,2,FALSE),TIAM15_assumptions!$H$2:$V$2,0))</f>
        <v>0.2</v>
      </c>
      <c r="AW4" s="57">
        <f ca="1">OFFSET(TIAM15_assumptions!$G4,0,MATCH(VLOOKUP(Assumptions!AW$2,TIAM15_assumptions!$Y$3:$Z$87,2,FALSE),TIAM15_assumptions!$H$2:$V$2,0))</f>
        <v>0.2</v>
      </c>
      <c r="AX4" s="57">
        <f ca="1">OFFSET(TIAM15_assumptions!$G4,0,MATCH(VLOOKUP(Assumptions!AX$2,TIAM15_assumptions!$Y$3:$Z$87,2,FALSE),TIAM15_assumptions!$H$2:$V$2,0))</f>
        <v>0.2</v>
      </c>
      <c r="AY4" s="57">
        <f ca="1">OFFSET(TIAM15_assumptions!$G4,0,MATCH(VLOOKUP(Assumptions!AY$2,TIAM15_assumptions!$Y$3:$Z$87,2,FALSE),TIAM15_assumptions!$H$2:$V$2,0))</f>
        <v>0.2</v>
      </c>
      <c r="AZ4" s="57">
        <f ca="1">OFFSET(TIAM15_assumptions!$G4,0,MATCH(VLOOKUP(Assumptions!AZ$2,TIAM15_assumptions!$Y$3:$Z$87,2,FALSE),TIAM15_assumptions!$H$2:$V$2,0))</f>
        <v>0.2</v>
      </c>
      <c r="BA4" s="57">
        <f ca="1">OFFSET(TIAM15_assumptions!$G4,0,MATCH(VLOOKUP(Assumptions!BA$2,TIAM15_assumptions!$Y$3:$Z$87,2,FALSE),TIAM15_assumptions!$H$2:$V$2,0))</f>
        <v>0.2</v>
      </c>
      <c r="BD4" s="40">
        <f ca="1">IFERROR(SUMIFS('TRA balance'!E$5:E$40,'TRA balance'!$C$5:$C$40,Assumptions!$C4,'TRA balance'!$D$5:$D$40,Assumptions!$B4)*CY4*H4,"")</f>
        <v>0</v>
      </c>
      <c r="BE4" s="40">
        <f ca="1">IFERROR(SUMIFS('TRA balance'!F$5:F$40,'TRA balance'!$C$5:$C$40,Assumptions!$C4,'TRA balance'!$D$5:$D$40,Assumptions!$B4)*CZ4*I4,"")</f>
        <v>0.02923140024</v>
      </c>
      <c r="BF4" s="40">
        <f ca="1">IFERROR(SUMIFS('TRA balance'!G$5:G$40,'TRA balance'!$C$5:$C$40,Assumptions!$C4,'TRA balance'!$D$5:$D$40,Assumptions!$B4)*DA4*J4,"")</f>
        <v>0</v>
      </c>
      <c r="BG4" s="40">
        <f ca="1">IFERROR(SUMIFS('TRA balance'!H$5:H$40,'TRA balance'!$C$5:$C$40,Assumptions!$C4,'TRA balance'!$D$5:$D$40,Assumptions!$B4)*DB4*K4,"")</f>
        <v>0</v>
      </c>
      <c r="BH4" s="40">
        <f ca="1">IFERROR(SUMIFS('TRA balance'!I$5:I$40,'TRA balance'!$C$5:$C$40,Assumptions!$C4,'TRA balance'!$D$5:$D$40,Assumptions!$B4)*DC4*L4,"")</f>
        <v>0</v>
      </c>
      <c r="BI4" s="40">
        <f ca="1">IFERROR(SUMIFS('TRA balance'!J$5:J$40,'TRA balance'!$C$5:$C$40,Assumptions!$C4,'TRA balance'!$D$5:$D$40,Assumptions!$B4)*DD4*M4,"")</f>
        <v>0</v>
      </c>
      <c r="BJ4" s="40">
        <f ca="1">IFERROR(SUMIFS('TRA balance'!K$5:K$40,'TRA balance'!$C$5:$C$40,Assumptions!$C4,'TRA balance'!$D$5:$D$40,Assumptions!$B4)*DE4*N4,"")</f>
        <v>0</v>
      </c>
      <c r="BK4" s="40">
        <f ca="1">IFERROR(SUMIFS('TRA balance'!L$5:L$40,'TRA balance'!$C$5:$C$40,Assumptions!$C4,'TRA balance'!$D$5:$D$40,Assumptions!$B4)*DF4*O4,"")</f>
        <v>0</v>
      </c>
      <c r="BL4" s="40">
        <f ca="1">IFERROR(SUMIFS('TRA balance'!M$5:M$40,'TRA balance'!$C$5:$C$40,Assumptions!$C4,'TRA balance'!$D$5:$D$40,Assumptions!$B4)*DG4*P4,"")</f>
        <v>0.00085996872</v>
      </c>
      <c r="BM4" s="40">
        <f ca="1">IFERROR(SUMIFS('TRA balance'!N$5:N$40,'TRA balance'!$C$5:$C$40,Assumptions!$C4,'TRA balance'!$D$5:$D$40,Assumptions!$B4)*DH4*Q4,"")</f>
        <v>0.00263265984</v>
      </c>
      <c r="BN4" s="40">
        <f ca="1">IFERROR(SUMIFS('TRA balance'!O$5:O$40,'TRA balance'!$C$5:$C$40,Assumptions!$C4,'TRA balance'!$D$5:$D$40,Assumptions!$B4)*DI4*R4,"")</f>
        <v>0</v>
      </c>
      <c r="BO4" s="40">
        <f ca="1">IFERROR(SUMIFS('TRA balance'!P$5:P$40,'TRA balance'!$C$5:$C$40,Assumptions!$C4,'TRA balance'!$D$5:$D$40,Assumptions!$B4)*DJ4*S4,"")</f>
        <v>0</v>
      </c>
      <c r="BP4" s="40">
        <f ca="1">IFERROR(SUMIFS('TRA balance'!Q$5:Q$40,'TRA balance'!$C$5:$C$40,Assumptions!$C4,'TRA balance'!$D$5:$D$40,Assumptions!$B4)*DK4*T4,"")</f>
        <v>0</v>
      </c>
      <c r="BQ4" s="40">
        <f ca="1">IFERROR(SUMIFS('TRA balance'!R$5:R$40,'TRA balance'!$C$5:$C$40,Assumptions!$C4,'TRA balance'!$D$5:$D$40,Assumptions!$B4)*DL4*U4,"")</f>
        <v>0</v>
      </c>
      <c r="BR4" s="40">
        <f ca="1">IFERROR(SUMIFS('TRA balance'!S$5:S$40,'TRA balance'!$C$5:$C$40,Assumptions!$C4,'TRA balance'!$D$5:$D$40,Assumptions!$B4)*DM4*V4,"")</f>
        <v>0</v>
      </c>
      <c r="BS4" s="40">
        <f ca="1">IFERROR(SUMIFS('TRA balance'!T$5:T$40,'TRA balance'!$C$5:$C$40,Assumptions!$C4,'TRA balance'!$D$5:$D$40,Assumptions!$B4)*DN4*W4,"")</f>
        <v>0</v>
      </c>
      <c r="BT4" s="40">
        <f ca="1">IFERROR(SUMIFS('TRA balance'!U$5:U$40,'TRA balance'!$C$5:$C$40,Assumptions!$C4,'TRA balance'!$D$5:$D$40,Assumptions!$B4)*DO4*X4,"")</f>
        <v>0</v>
      </c>
      <c r="BU4" s="40">
        <f ca="1">IFERROR(SUMIFS('TRA balance'!V$5:V$40,'TRA balance'!$C$5:$C$40,Assumptions!$C4,'TRA balance'!$D$5:$D$40,Assumptions!$B4)*DP4*Y4,"")</f>
        <v>0</v>
      </c>
      <c r="BV4" s="40">
        <f ca="1">IFERROR(SUMIFS('TRA balance'!W$5:W$40,'TRA balance'!$C$5:$C$40,Assumptions!$C4,'TRA balance'!$D$5:$D$40,Assumptions!$B4)*DQ4*Z4,"")</f>
        <v>0.033470451504</v>
      </c>
      <c r="BW4" s="40">
        <f ca="1">IFERROR(SUMIFS('TRA balance'!X$5:X$40,'TRA balance'!$C$5:$C$40,Assumptions!$C4,'TRA balance'!$D$5:$D$40,Assumptions!$B4)*DR4*AA4,"")</f>
        <v>0</v>
      </c>
      <c r="BX4" s="40">
        <f ca="1">IFERROR(SUMIFS('TRA balance'!Y$5:Y$40,'TRA balance'!$C$5:$C$40,Assumptions!$C4,'TRA balance'!$D$5:$D$40,Assumptions!$B4)*DS4*AB4,"")</f>
        <v>0</v>
      </c>
      <c r="BY4" s="40">
        <f ca="1">IFERROR(SUMIFS('TRA balance'!Z$5:Z$40,'TRA balance'!$C$5:$C$40,Assumptions!$C4,'TRA balance'!$D$5:$D$40,Assumptions!$B4)*DT4*AC4,"")</f>
        <v>0</v>
      </c>
      <c r="BZ4" s="40">
        <f ca="1">IFERROR(SUMIFS('TRA balance'!AA$5:AA$40,'TRA balance'!$C$5:$C$40,Assumptions!$C4,'TRA balance'!$D$5:$D$40,Assumptions!$B4)*DU4*AD4,"")</f>
        <v>0</v>
      </c>
      <c r="CA4" s="40">
        <f ca="1">IFERROR(SUMIFS('TRA balance'!AB$5:AB$40,'TRA balance'!$C$5:$C$40,Assumptions!$C4,'TRA balance'!$D$5:$D$40,Assumptions!$B4)*DV4*AE4,"")</f>
        <v>0</v>
      </c>
      <c r="CB4" s="40">
        <f ca="1">IFERROR(SUMIFS('TRA balance'!AC$5:AC$40,'TRA balance'!$C$5:$C$40,Assumptions!$C4,'TRA balance'!$D$5:$D$40,Assumptions!$B4)*DW4*AF4,"")</f>
        <v>0.29234917152</v>
      </c>
      <c r="CC4" s="40">
        <f ca="1">IFERROR(SUMIFS('TRA balance'!AD$5:AD$40,'TRA balance'!$C$5:$C$40,Assumptions!$C4,'TRA balance'!$D$5:$D$40,Assumptions!$B4)*DX4*AG4,"")</f>
        <v>0.04850491536</v>
      </c>
      <c r="CD4" s="40">
        <f ca="1">IFERROR(SUMIFS('TRA balance'!AE$5:AE$40,'TRA balance'!$C$5:$C$40,Assumptions!$C4,'TRA balance'!$D$5:$D$40,Assumptions!$B4)*DY4*AH4,"")</f>
        <v>0</v>
      </c>
      <c r="CE4" s="40">
        <f ca="1">IFERROR(SUMIFS('TRA balance'!AF$5:AF$40,'TRA balance'!$C$5:$C$40,Assumptions!$C4,'TRA balance'!$D$5:$D$40,Assumptions!$B4)*DZ4*AI4,"")</f>
        <v>0</v>
      </c>
      <c r="CF4" s="40">
        <f ca="1">IFERROR(SUMIFS('TRA balance'!AG$5:AG$40,'TRA balance'!$C$5:$C$40,Assumptions!$C4,'TRA balance'!$D$5:$D$40,Assumptions!$B4)*EA4*AJ4,"")</f>
        <v>0</v>
      </c>
      <c r="CG4" s="40">
        <f ca="1">IFERROR(SUMIFS('TRA balance'!AH$5:AH$40,'TRA balance'!$C$5:$C$40,Assumptions!$C4,'TRA balance'!$D$5:$D$40,Assumptions!$B4)*EB4*AK4,"")</f>
        <v>0</v>
      </c>
      <c r="CH4" s="40">
        <f ca="1">IFERROR(SUMIFS('TRA balance'!AI$5:AI$40,'TRA balance'!$C$5:$C$40,Assumptions!$C4,'TRA balance'!$D$5:$D$40,Assumptions!$B4)*EC4*AL4,"")</f>
        <v>0</v>
      </c>
      <c r="CI4" s="40">
        <f ca="1">IFERROR(SUMIFS('TRA balance'!AJ$5:AJ$40,'TRA balance'!$C$5:$C$40,Assumptions!$C4,'TRA balance'!$D$5:$D$40,Assumptions!$B4)*ED4*AM4,"")</f>
        <v>0</v>
      </c>
      <c r="CJ4" s="40">
        <f ca="1">IFERROR(SUMIFS('TRA balance'!AK$5:AK$40,'TRA balance'!$C$5:$C$40,Assumptions!$C4,'TRA balance'!$D$5:$D$40,Assumptions!$B4)*EE4*AN4,"")</f>
        <v>0</v>
      </c>
      <c r="CK4" s="40">
        <f ca="1">IFERROR(SUMIFS('TRA balance'!AL$5:AL$40,'TRA balance'!$C$5:$C$40,Assumptions!$C4,'TRA balance'!$D$5:$D$40,Assumptions!$B4)*EF4*AO4,"")</f>
        <v>0.0395694468</v>
      </c>
      <c r="CL4" s="40">
        <f ca="1">IFERROR(SUMIFS('TRA balance'!AM$5:AM$40,'TRA balance'!$C$5:$C$40,Assumptions!$C4,'TRA balance'!$D$5:$D$40,Assumptions!$B4)*EG4*AP4,"")</f>
        <v>0</v>
      </c>
      <c r="CM4" s="40">
        <f ca="1">IFERROR(SUMIFS('TRA balance'!AN$5:AN$40,'TRA balance'!$C$5:$C$40,Assumptions!$C4,'TRA balance'!$D$5:$D$40,Assumptions!$B4)*EH4*AQ4,"")</f>
        <v>0</v>
      </c>
      <c r="CN4" s="40">
        <f ca="1">IFERROR(SUMIFS('TRA balance'!AO$5:AO$40,'TRA balance'!$C$5:$C$40,Assumptions!$C4,'TRA balance'!$D$5:$D$40,Assumptions!$B4)*EI4*AR4,"")</f>
        <v>0</v>
      </c>
      <c r="CO4" s="40">
        <f ca="1">IFERROR(SUMIFS('TRA balance'!AP$5:AP$40,'TRA balance'!$C$5:$C$40,Assumptions!$C4,'TRA balance'!$D$5:$D$40,Assumptions!$B4)*EJ4*AS4,"")</f>
        <v>0</v>
      </c>
      <c r="CP4" s="40">
        <f ca="1">IFERROR(SUMIFS('TRA balance'!AQ$5:AQ$40,'TRA balance'!$C$5:$C$40,Assumptions!$C4,'TRA balance'!$D$5:$D$40,Assumptions!$B4)*EK4*AT4,"")</f>
        <v>0</v>
      </c>
      <c r="CQ4" s="40">
        <f ca="1">IFERROR(SUMIFS('TRA balance'!AR$5:AR$40,'TRA balance'!$C$5:$C$40,Assumptions!$C4,'TRA balance'!$D$5:$D$40,Assumptions!$B4)*EL4*AU4,"")</f>
        <v>0</v>
      </c>
      <c r="CR4" s="40">
        <f ca="1">IFERROR(SUMIFS('TRA balance'!AS$5:AS$40,'TRA balance'!$C$5:$C$40,Assumptions!$C4,'TRA balance'!$D$5:$D$40,Assumptions!$B4)*EM4*AV4,"")</f>
        <v>0</v>
      </c>
      <c r="CS4" s="40">
        <f ca="1">IFERROR(SUMIFS('TRA balance'!AT$5:AT$40,'TRA balance'!$C$5:$C$40,Assumptions!$C4,'TRA balance'!$D$5:$D$40,Assumptions!$B4)*EN4*AW4,"")</f>
        <v>0</v>
      </c>
      <c r="CT4" s="40">
        <f ca="1">IFERROR(SUMIFS('TRA balance'!AU$5:AU$40,'TRA balance'!$C$5:$C$40,Assumptions!$C4,'TRA balance'!$D$5:$D$40,Assumptions!$B4)*EO4*AX4,"")</f>
        <v>0</v>
      </c>
      <c r="CU4" s="40">
        <f ca="1">IFERROR(SUMIFS('TRA balance'!AV$5:AV$40,'TRA balance'!$C$5:$C$40,Assumptions!$C4,'TRA balance'!$D$5:$D$40,Assumptions!$B4)*EP4*AY4,"")</f>
        <v>0</v>
      </c>
      <c r="CV4" s="40">
        <f ca="1">IFERROR(SUMIFS('TRA balance'!AW$5:AW$40,'TRA balance'!$C$5:$C$40,Assumptions!$C4,'TRA balance'!$D$5:$D$40,Assumptions!$B4)*EQ4*AZ4,"")</f>
        <v>0</v>
      </c>
      <c r="CW4" s="40">
        <f ca="1">IFERROR(SUMIFS('TRA balance'!AX$5:AX$40,'TRA balance'!$C$5:$C$40,Assumptions!$C4,'TRA balance'!$D$5:$D$40,Assumptions!$B4)*ER4*BA4,"")</f>
        <v>0</v>
      </c>
      <c r="CY4" s="39">
        <f ca="1" t="shared" si="2"/>
        <v>1</v>
      </c>
      <c r="CZ4" s="39">
        <f ca="1" t="shared" si="3"/>
        <v>1</v>
      </c>
      <c r="DA4" s="39">
        <f ca="1" t="shared" si="4"/>
        <v>1</v>
      </c>
      <c r="DB4" s="39">
        <f ca="1" t="shared" si="5"/>
        <v>1</v>
      </c>
      <c r="DC4" s="39">
        <f ca="1" t="shared" si="6"/>
        <v>1</v>
      </c>
      <c r="DD4" s="39">
        <f ca="1" t="shared" si="7"/>
        <v>1</v>
      </c>
      <c r="DE4" s="39">
        <f ca="1" t="shared" si="8"/>
        <v>1</v>
      </c>
      <c r="DF4" s="39">
        <f ca="1" t="shared" si="9"/>
        <v>1</v>
      </c>
      <c r="DG4" s="39">
        <f ca="1" t="shared" si="10"/>
        <v>1</v>
      </c>
      <c r="DH4" s="39">
        <f ca="1" t="shared" si="11"/>
        <v>1</v>
      </c>
      <c r="DI4" s="39">
        <f ca="1" t="shared" si="12"/>
        <v>1</v>
      </c>
      <c r="DJ4" s="39">
        <f ca="1" t="shared" si="13"/>
        <v>1</v>
      </c>
      <c r="DK4" s="39">
        <f ca="1" t="shared" si="14"/>
        <v>1</v>
      </c>
      <c r="DL4" s="39">
        <f ca="1" t="shared" si="15"/>
        <v>1</v>
      </c>
      <c r="DM4" s="39">
        <f ca="1" t="shared" si="16"/>
        <v>1</v>
      </c>
      <c r="DN4" s="39">
        <f ca="1" t="shared" si="17"/>
        <v>1</v>
      </c>
      <c r="DO4" s="39">
        <f ca="1" t="shared" si="18"/>
        <v>1</v>
      </c>
      <c r="DP4" s="39">
        <f ca="1" t="shared" si="19"/>
        <v>1</v>
      </c>
      <c r="DQ4" s="39">
        <f ca="1" t="shared" si="20"/>
        <v>1</v>
      </c>
      <c r="DR4" s="39">
        <f ca="1" t="shared" si="21"/>
        <v>1</v>
      </c>
      <c r="DS4" s="39">
        <f ca="1" t="shared" si="22"/>
        <v>1</v>
      </c>
      <c r="DT4" s="39">
        <f ca="1" t="shared" si="23"/>
        <v>1</v>
      </c>
      <c r="DU4" s="39">
        <f ca="1" t="shared" si="24"/>
        <v>1</v>
      </c>
      <c r="DV4" s="39">
        <f ca="1" t="shared" si="25"/>
        <v>1</v>
      </c>
      <c r="DW4" s="39">
        <f ca="1" t="shared" si="26"/>
        <v>1</v>
      </c>
      <c r="DX4" s="39">
        <f ca="1" t="shared" si="27"/>
        <v>1</v>
      </c>
      <c r="DY4" s="39">
        <f ca="1" t="shared" si="28"/>
        <v>1</v>
      </c>
      <c r="DZ4" s="39">
        <f ca="1" t="shared" si="29"/>
        <v>1</v>
      </c>
      <c r="EA4" s="39">
        <f ca="1" t="shared" si="30"/>
        <v>1</v>
      </c>
      <c r="EB4" s="39">
        <f ca="1" t="shared" si="31"/>
        <v>1</v>
      </c>
      <c r="EC4" s="39">
        <f ca="1" t="shared" si="32"/>
        <v>1</v>
      </c>
      <c r="ED4" s="39">
        <f ca="1" t="shared" si="33"/>
        <v>1</v>
      </c>
      <c r="EE4" s="39">
        <f ca="1" t="shared" si="34"/>
        <v>1</v>
      </c>
      <c r="EF4" s="39">
        <f ca="1" t="shared" si="35"/>
        <v>1</v>
      </c>
      <c r="EG4" s="39">
        <f ca="1" t="shared" si="36"/>
        <v>1</v>
      </c>
      <c r="EH4" s="39">
        <f ca="1" t="shared" si="37"/>
        <v>1</v>
      </c>
      <c r="EI4" s="39">
        <f ca="1" t="shared" si="38"/>
        <v>1</v>
      </c>
      <c r="EJ4" s="39">
        <f ca="1" t="shared" si="39"/>
        <v>1</v>
      </c>
      <c r="EK4" s="39">
        <f ca="1" t="shared" si="40"/>
        <v>1</v>
      </c>
      <c r="EL4" s="39">
        <f ca="1" t="shared" si="41"/>
        <v>1</v>
      </c>
      <c r="EM4" s="39">
        <f ca="1" t="shared" si="42"/>
        <v>1</v>
      </c>
      <c r="EN4" s="39">
        <f ca="1" t="shared" si="43"/>
        <v>1</v>
      </c>
      <c r="EO4" s="39">
        <f ca="1" t="shared" si="44"/>
        <v>1</v>
      </c>
      <c r="EP4" s="39">
        <f ca="1" t="shared" si="45"/>
        <v>1</v>
      </c>
      <c r="EQ4" s="39">
        <f ca="1" t="shared" si="46"/>
        <v>1</v>
      </c>
      <c r="ER4" s="39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8"/>
      <c r="D5" s="58"/>
      <c r="E5" s="59" t="s">
        <v>199</v>
      </c>
      <c r="F5" s="60" t="str">
        <f t="shared" si="49"/>
        <v>Coal</v>
      </c>
      <c r="G5" s="58"/>
      <c r="H5" s="61" t="str">
        <f ca="1" t="shared" ref="H5" si="50">IF(SUM(H3:H4)=1,"-","&lt;&gt;1!!")</f>
        <v>-</v>
      </c>
      <c r="I5" s="61" t="str">
        <f ca="1" t="shared" ref="I5:BA5" si="51">IF(SUM(I3:I4)=1,"-","&lt;&gt;1!!")</f>
        <v>-</v>
      </c>
      <c r="J5" s="61" t="str">
        <f ca="1" t="shared" si="51"/>
        <v>-</v>
      </c>
      <c r="K5" s="61" t="str">
        <f ca="1" t="shared" si="51"/>
        <v>-</v>
      </c>
      <c r="L5" s="61" t="str">
        <f ca="1" t="shared" si="51"/>
        <v>-</v>
      </c>
      <c r="M5" s="61" t="str">
        <f ca="1" t="shared" si="51"/>
        <v>-</v>
      </c>
      <c r="N5" s="61" t="str">
        <f ca="1" t="shared" si="51"/>
        <v>-</v>
      </c>
      <c r="O5" s="61" t="str">
        <f ca="1" t="shared" si="51"/>
        <v>-</v>
      </c>
      <c r="P5" s="61" t="str">
        <f ca="1" t="shared" si="51"/>
        <v>-</v>
      </c>
      <c r="Q5" s="61" t="str">
        <f ca="1" t="shared" si="51"/>
        <v>-</v>
      </c>
      <c r="R5" s="61" t="str">
        <f ca="1" t="shared" si="51"/>
        <v>-</v>
      </c>
      <c r="S5" s="61" t="str">
        <f ca="1" t="shared" si="51"/>
        <v>-</v>
      </c>
      <c r="T5" s="61" t="str">
        <f ca="1" t="shared" si="51"/>
        <v>-</v>
      </c>
      <c r="U5" s="61" t="str">
        <f ca="1" t="shared" si="51"/>
        <v>-</v>
      </c>
      <c r="V5" s="61" t="str">
        <f ca="1" t="shared" si="51"/>
        <v>-</v>
      </c>
      <c r="W5" s="61" t="str">
        <f ca="1" t="shared" si="51"/>
        <v>-</v>
      </c>
      <c r="X5" s="61" t="str">
        <f ca="1" t="shared" si="51"/>
        <v>-</v>
      </c>
      <c r="Y5" s="61" t="str">
        <f ca="1" t="shared" si="51"/>
        <v>-</v>
      </c>
      <c r="Z5" s="61" t="str">
        <f ca="1" t="shared" si="51"/>
        <v>-</v>
      </c>
      <c r="AA5" s="61" t="str">
        <f ca="1" t="shared" si="51"/>
        <v>-</v>
      </c>
      <c r="AB5" s="61" t="str">
        <f ca="1" t="shared" si="51"/>
        <v>-</v>
      </c>
      <c r="AC5" s="61" t="str">
        <f ca="1" t="shared" si="51"/>
        <v>-</v>
      </c>
      <c r="AD5" s="61" t="str">
        <f ca="1" t="shared" si="51"/>
        <v>-</v>
      </c>
      <c r="AE5" s="61" t="str">
        <f ca="1" t="shared" si="51"/>
        <v>-</v>
      </c>
      <c r="AF5" s="61" t="str">
        <f ca="1" t="shared" si="51"/>
        <v>-</v>
      </c>
      <c r="AG5" s="61" t="str">
        <f ca="1" t="shared" si="51"/>
        <v>-</v>
      </c>
      <c r="AH5" s="61" t="str">
        <f ca="1" t="shared" si="51"/>
        <v>-</v>
      </c>
      <c r="AI5" s="61" t="str">
        <f ca="1" t="shared" si="51"/>
        <v>-</v>
      </c>
      <c r="AJ5" s="61" t="str">
        <f ca="1" t="shared" si="51"/>
        <v>-</v>
      </c>
      <c r="AK5" s="61" t="str">
        <f ca="1" t="shared" si="51"/>
        <v>-</v>
      </c>
      <c r="AL5" s="61" t="str">
        <f ca="1" t="shared" si="51"/>
        <v>-</v>
      </c>
      <c r="AM5" s="61" t="str">
        <f ca="1" t="shared" si="51"/>
        <v>-</v>
      </c>
      <c r="AN5" s="61" t="str">
        <f ca="1" t="shared" si="51"/>
        <v>-</v>
      </c>
      <c r="AO5" s="61" t="str">
        <f ca="1" t="shared" si="51"/>
        <v>-</v>
      </c>
      <c r="AP5" s="61" t="str">
        <f ca="1" t="shared" si="51"/>
        <v>-</v>
      </c>
      <c r="AQ5" s="61" t="str">
        <f ca="1" t="shared" si="51"/>
        <v>-</v>
      </c>
      <c r="AR5" s="61" t="str">
        <f ca="1" t="shared" si="51"/>
        <v>-</v>
      </c>
      <c r="AS5" s="61" t="str">
        <f ca="1" t="shared" si="51"/>
        <v>-</v>
      </c>
      <c r="AT5" s="61" t="str">
        <f ca="1" t="shared" si="51"/>
        <v>-</v>
      </c>
      <c r="AU5" s="61" t="str">
        <f ca="1" t="shared" si="51"/>
        <v>-</v>
      </c>
      <c r="AV5" s="61" t="str">
        <f ca="1" t="shared" si="51"/>
        <v>-</v>
      </c>
      <c r="AW5" s="61" t="str">
        <f ca="1" t="shared" si="51"/>
        <v>-</v>
      </c>
      <c r="AX5" s="61" t="str">
        <f ca="1" t="shared" si="51"/>
        <v>-</v>
      </c>
      <c r="AY5" s="61" t="str">
        <f ca="1" t="shared" si="51"/>
        <v>-</v>
      </c>
      <c r="AZ5" s="61" t="str">
        <f ca="1" t="shared" si="51"/>
        <v>-</v>
      </c>
      <c r="BA5" s="61" t="str">
        <f ca="1" t="shared" si="51"/>
        <v>-</v>
      </c>
      <c r="BD5" s="40" t="str">
        <f ca="1">IFERROR(SUMIFS('TRA balance'!E$5:E$40,'TRA balance'!$C$5:$C$40,Assumptions!$C5,'TRA balance'!$D$5:$D$40,Assumptions!$B5)*CY5*H5,"")</f>
        <v/>
      </c>
      <c r="BE5" s="40" t="str">
        <f ca="1">IFERROR(SUMIFS('TRA balance'!F$5:F$40,'TRA balance'!$C$5:$C$40,Assumptions!$C5,'TRA balance'!$D$5:$D$40,Assumptions!$B5)*CZ5*I5,"")</f>
        <v/>
      </c>
      <c r="BF5" s="40" t="str">
        <f ca="1">IFERROR(SUMIFS('TRA balance'!G$5:G$40,'TRA balance'!$C$5:$C$40,Assumptions!$C5,'TRA balance'!$D$5:$D$40,Assumptions!$B5)*DA5*J5,"")</f>
        <v/>
      </c>
      <c r="BG5" s="40" t="str">
        <f ca="1">IFERROR(SUMIFS('TRA balance'!H$5:H$40,'TRA balance'!$C$5:$C$40,Assumptions!$C5,'TRA balance'!$D$5:$D$40,Assumptions!$B5)*DB5*K5,"")</f>
        <v/>
      </c>
      <c r="BH5" s="40" t="str">
        <f ca="1">IFERROR(SUMIFS('TRA balance'!I$5:I$40,'TRA balance'!$C$5:$C$40,Assumptions!$C5,'TRA balance'!$D$5:$D$40,Assumptions!$B5)*DC5*L5,"")</f>
        <v/>
      </c>
      <c r="BI5" s="40" t="str">
        <f ca="1">IFERROR(SUMIFS('TRA balance'!J$5:J$40,'TRA balance'!$C$5:$C$40,Assumptions!$C5,'TRA balance'!$D$5:$D$40,Assumptions!$B5)*DD5*M5,"")</f>
        <v/>
      </c>
      <c r="BJ5" s="40" t="str">
        <f ca="1">IFERROR(SUMIFS('TRA balance'!K$5:K$40,'TRA balance'!$C$5:$C$40,Assumptions!$C5,'TRA balance'!$D$5:$D$40,Assumptions!$B5)*DE5*N5,"")</f>
        <v/>
      </c>
      <c r="BK5" s="40" t="str">
        <f ca="1">IFERROR(SUMIFS('TRA balance'!L$5:L$40,'TRA balance'!$C$5:$C$40,Assumptions!$C5,'TRA balance'!$D$5:$D$40,Assumptions!$B5)*DF5*O5,"")</f>
        <v/>
      </c>
      <c r="BL5" s="40" t="str">
        <f ca="1">IFERROR(SUMIFS('TRA balance'!M$5:M$40,'TRA balance'!$C$5:$C$40,Assumptions!$C5,'TRA balance'!$D$5:$D$40,Assumptions!$B5)*DG5*P5,"")</f>
        <v/>
      </c>
      <c r="BM5" s="40" t="str">
        <f ca="1">IFERROR(SUMIFS('TRA balance'!N$5:N$40,'TRA balance'!$C$5:$C$40,Assumptions!$C5,'TRA balance'!$D$5:$D$40,Assumptions!$B5)*DH5*Q5,"")</f>
        <v/>
      </c>
      <c r="BN5" s="40" t="str">
        <f ca="1">IFERROR(SUMIFS('TRA balance'!O$5:O$40,'TRA balance'!$C$5:$C$40,Assumptions!$C5,'TRA balance'!$D$5:$D$40,Assumptions!$B5)*DI5*R5,"")</f>
        <v/>
      </c>
      <c r="BO5" s="40" t="str">
        <f ca="1">IFERROR(SUMIFS('TRA balance'!P$5:P$40,'TRA balance'!$C$5:$C$40,Assumptions!$C5,'TRA balance'!$D$5:$D$40,Assumptions!$B5)*DJ5*S5,"")</f>
        <v/>
      </c>
      <c r="BP5" s="40" t="str">
        <f ca="1">IFERROR(SUMIFS('TRA balance'!Q$5:Q$40,'TRA balance'!$C$5:$C$40,Assumptions!$C5,'TRA balance'!$D$5:$D$40,Assumptions!$B5)*DK5*T5,"")</f>
        <v/>
      </c>
      <c r="BQ5" s="40" t="str">
        <f ca="1">IFERROR(SUMIFS('TRA balance'!R$5:R$40,'TRA balance'!$C$5:$C$40,Assumptions!$C5,'TRA balance'!$D$5:$D$40,Assumptions!$B5)*DL5*U5,"")</f>
        <v/>
      </c>
      <c r="BR5" s="40" t="str">
        <f ca="1">IFERROR(SUMIFS('TRA balance'!S$5:S$40,'TRA balance'!$C$5:$C$40,Assumptions!$C5,'TRA balance'!$D$5:$D$40,Assumptions!$B5)*DM5*V5,"")</f>
        <v/>
      </c>
      <c r="BS5" s="40" t="str">
        <f ca="1">IFERROR(SUMIFS('TRA balance'!T$5:T$40,'TRA balance'!$C$5:$C$40,Assumptions!$C5,'TRA balance'!$D$5:$D$40,Assumptions!$B5)*DN5*W5,"")</f>
        <v/>
      </c>
      <c r="BT5" s="40" t="str">
        <f ca="1">IFERROR(SUMIFS('TRA balance'!U$5:U$40,'TRA balance'!$C$5:$C$40,Assumptions!$C5,'TRA balance'!$D$5:$D$40,Assumptions!$B5)*DO5*X5,"")</f>
        <v/>
      </c>
      <c r="BU5" s="40" t="str">
        <f ca="1">IFERROR(SUMIFS('TRA balance'!V$5:V$40,'TRA balance'!$C$5:$C$40,Assumptions!$C5,'TRA balance'!$D$5:$D$40,Assumptions!$B5)*DP5*Y5,"")</f>
        <v/>
      </c>
      <c r="BV5" s="40" t="str">
        <f ca="1">IFERROR(SUMIFS('TRA balance'!W$5:W$40,'TRA balance'!$C$5:$C$40,Assumptions!$C5,'TRA balance'!$D$5:$D$40,Assumptions!$B5)*DQ5*Z5,"")</f>
        <v/>
      </c>
      <c r="BW5" s="40" t="str">
        <f ca="1">IFERROR(SUMIFS('TRA balance'!X$5:X$40,'TRA balance'!$C$5:$C$40,Assumptions!$C5,'TRA balance'!$D$5:$D$40,Assumptions!$B5)*DR5*AA5,"")</f>
        <v/>
      </c>
      <c r="BX5" s="40" t="str">
        <f ca="1">IFERROR(SUMIFS('TRA balance'!Y$5:Y$40,'TRA balance'!$C$5:$C$40,Assumptions!$C5,'TRA balance'!$D$5:$D$40,Assumptions!$B5)*DS5*AB5,"")</f>
        <v/>
      </c>
      <c r="BY5" s="40" t="str">
        <f ca="1">IFERROR(SUMIFS('TRA balance'!Z$5:Z$40,'TRA balance'!$C$5:$C$40,Assumptions!$C5,'TRA balance'!$D$5:$D$40,Assumptions!$B5)*DT5*AC5,"")</f>
        <v/>
      </c>
      <c r="BZ5" s="40" t="str">
        <f ca="1">IFERROR(SUMIFS('TRA balance'!AA$5:AA$40,'TRA balance'!$C$5:$C$40,Assumptions!$C5,'TRA balance'!$D$5:$D$40,Assumptions!$B5)*DU5*AD5,"")</f>
        <v/>
      </c>
      <c r="CA5" s="40" t="str">
        <f ca="1">IFERROR(SUMIFS('TRA balance'!AB$5:AB$40,'TRA balance'!$C$5:$C$40,Assumptions!$C5,'TRA balance'!$D$5:$D$40,Assumptions!$B5)*DV5*AE5,"")</f>
        <v/>
      </c>
      <c r="CB5" s="40" t="str">
        <f ca="1">IFERROR(SUMIFS('TRA balance'!AC$5:AC$40,'TRA balance'!$C$5:$C$40,Assumptions!$C5,'TRA balance'!$D$5:$D$40,Assumptions!$B5)*DW5*AF5,"")</f>
        <v/>
      </c>
      <c r="CC5" s="40" t="str">
        <f ca="1">IFERROR(SUMIFS('TRA balance'!AD$5:AD$40,'TRA balance'!$C$5:$C$40,Assumptions!$C5,'TRA balance'!$D$5:$D$40,Assumptions!$B5)*DX5*AG5,"")</f>
        <v/>
      </c>
      <c r="CD5" s="40" t="str">
        <f ca="1">IFERROR(SUMIFS('TRA balance'!AE$5:AE$40,'TRA balance'!$C$5:$C$40,Assumptions!$C5,'TRA balance'!$D$5:$D$40,Assumptions!$B5)*DY5*AH5,"")</f>
        <v/>
      </c>
      <c r="CE5" s="40" t="str">
        <f ca="1">IFERROR(SUMIFS('TRA balance'!AF$5:AF$40,'TRA balance'!$C$5:$C$40,Assumptions!$C5,'TRA balance'!$D$5:$D$40,Assumptions!$B5)*DZ5*AI5,"")</f>
        <v/>
      </c>
      <c r="CF5" s="40" t="str">
        <f ca="1">IFERROR(SUMIFS('TRA balance'!AG$5:AG$40,'TRA balance'!$C$5:$C$40,Assumptions!$C5,'TRA balance'!$D$5:$D$40,Assumptions!$B5)*EA5*AJ5,"")</f>
        <v/>
      </c>
      <c r="CG5" s="40" t="str">
        <f ca="1">IFERROR(SUMIFS('TRA balance'!AH$5:AH$40,'TRA balance'!$C$5:$C$40,Assumptions!$C5,'TRA balance'!$D$5:$D$40,Assumptions!$B5)*EB5*AK5,"")</f>
        <v/>
      </c>
      <c r="CH5" s="40" t="str">
        <f ca="1">IFERROR(SUMIFS('TRA balance'!AI$5:AI$40,'TRA balance'!$C$5:$C$40,Assumptions!$C5,'TRA balance'!$D$5:$D$40,Assumptions!$B5)*EC5*AL5,"")</f>
        <v/>
      </c>
      <c r="CI5" s="40" t="str">
        <f ca="1">IFERROR(SUMIFS('TRA balance'!AJ$5:AJ$40,'TRA balance'!$C$5:$C$40,Assumptions!$C5,'TRA balance'!$D$5:$D$40,Assumptions!$B5)*ED5*AM5,"")</f>
        <v/>
      </c>
      <c r="CJ5" s="40" t="str">
        <f ca="1">IFERROR(SUMIFS('TRA balance'!AK$5:AK$40,'TRA balance'!$C$5:$C$40,Assumptions!$C5,'TRA balance'!$D$5:$D$40,Assumptions!$B5)*EE5*AN5,"")</f>
        <v/>
      </c>
      <c r="CK5" s="40" t="str">
        <f ca="1">IFERROR(SUMIFS('TRA balance'!AL$5:AL$40,'TRA balance'!$C$5:$C$40,Assumptions!$C5,'TRA balance'!$D$5:$D$40,Assumptions!$B5)*EF5*AO5,"")</f>
        <v/>
      </c>
      <c r="CL5" s="40" t="str">
        <f ca="1">IFERROR(SUMIFS('TRA balance'!AM$5:AM$40,'TRA balance'!$C$5:$C$40,Assumptions!$C5,'TRA balance'!$D$5:$D$40,Assumptions!$B5)*EG5*AP5,"")</f>
        <v/>
      </c>
      <c r="CM5" s="40" t="str">
        <f ca="1">IFERROR(SUMIFS('TRA balance'!AN$5:AN$40,'TRA balance'!$C$5:$C$40,Assumptions!$C5,'TRA balance'!$D$5:$D$40,Assumptions!$B5)*EH5*AQ5,"")</f>
        <v/>
      </c>
      <c r="CN5" s="40" t="str">
        <f ca="1">IFERROR(SUMIFS('TRA balance'!AO$5:AO$40,'TRA balance'!$C$5:$C$40,Assumptions!$C5,'TRA balance'!$D$5:$D$40,Assumptions!$B5)*EI5*AR5,"")</f>
        <v/>
      </c>
      <c r="CO5" s="40" t="str">
        <f ca="1">IFERROR(SUMIFS('TRA balance'!AP$5:AP$40,'TRA balance'!$C$5:$C$40,Assumptions!$C5,'TRA balance'!$D$5:$D$40,Assumptions!$B5)*EJ5*AS5,"")</f>
        <v/>
      </c>
      <c r="CP5" s="40" t="str">
        <f ca="1">IFERROR(SUMIFS('TRA balance'!AQ$5:AQ$40,'TRA balance'!$C$5:$C$40,Assumptions!$C5,'TRA balance'!$D$5:$D$40,Assumptions!$B5)*EK5*AT5,"")</f>
        <v/>
      </c>
      <c r="CQ5" s="40" t="str">
        <f ca="1">IFERROR(SUMIFS('TRA balance'!AR$5:AR$40,'TRA balance'!$C$5:$C$40,Assumptions!$C5,'TRA balance'!$D$5:$D$40,Assumptions!$B5)*EL5*AU5,"")</f>
        <v/>
      </c>
      <c r="CR5" s="40" t="str">
        <f ca="1">IFERROR(SUMIFS('TRA balance'!AS$5:AS$40,'TRA balance'!$C$5:$C$40,Assumptions!$C5,'TRA balance'!$D$5:$D$40,Assumptions!$B5)*EM5*AV5,"")</f>
        <v/>
      </c>
      <c r="CS5" s="40" t="str">
        <f ca="1">IFERROR(SUMIFS('TRA balance'!AT$5:AT$40,'TRA balance'!$C$5:$C$40,Assumptions!$C5,'TRA balance'!$D$5:$D$40,Assumptions!$B5)*EN5*AW5,"")</f>
        <v/>
      </c>
      <c r="CT5" s="40" t="str">
        <f ca="1">IFERROR(SUMIFS('TRA balance'!AU$5:AU$40,'TRA balance'!$C$5:$C$40,Assumptions!$C5,'TRA balance'!$D$5:$D$40,Assumptions!$B5)*EO5*AX5,"")</f>
        <v/>
      </c>
      <c r="CU5" s="40" t="str">
        <f ca="1">IFERROR(SUMIFS('TRA balance'!AV$5:AV$40,'TRA balance'!$C$5:$C$40,Assumptions!$C5,'TRA balance'!$D$5:$D$40,Assumptions!$B5)*EP5*AY5,"")</f>
        <v/>
      </c>
      <c r="CV5" s="40" t="str">
        <f ca="1">IFERROR(SUMIFS('TRA balance'!AW$5:AW$40,'TRA balance'!$C$5:$C$40,Assumptions!$C5,'TRA balance'!$D$5:$D$40,Assumptions!$B5)*EQ5*AZ5,"")</f>
        <v/>
      </c>
      <c r="CW5" s="40" t="str">
        <f ca="1">IFERROR(SUMIFS('TRA balance'!AX$5:AX$40,'TRA balance'!$C$5:$C$40,Assumptions!$C5,'TRA balance'!$D$5:$D$40,Assumptions!$B5)*ER5*BA5,"")</f>
        <v/>
      </c>
      <c r="CY5" s="39">
        <f ca="1" t="shared" si="2"/>
        <v>1</v>
      </c>
      <c r="CZ5" s="39">
        <f ca="1" t="shared" si="3"/>
        <v>1</v>
      </c>
      <c r="DA5" s="39">
        <f ca="1" t="shared" si="4"/>
        <v>1</v>
      </c>
      <c r="DB5" s="39">
        <f ca="1" t="shared" si="5"/>
        <v>1</v>
      </c>
      <c r="DC5" s="39">
        <f ca="1" t="shared" si="6"/>
        <v>1</v>
      </c>
      <c r="DD5" s="39">
        <f ca="1" t="shared" si="7"/>
        <v>1</v>
      </c>
      <c r="DE5" s="39">
        <f ca="1" t="shared" si="8"/>
        <v>1</v>
      </c>
      <c r="DF5" s="39">
        <f ca="1" t="shared" si="9"/>
        <v>1</v>
      </c>
      <c r="DG5" s="39">
        <f ca="1" t="shared" si="10"/>
        <v>1</v>
      </c>
      <c r="DH5" s="39">
        <f ca="1" t="shared" si="11"/>
        <v>1</v>
      </c>
      <c r="DI5" s="39">
        <f ca="1" t="shared" si="12"/>
        <v>1</v>
      </c>
      <c r="DJ5" s="39">
        <f ca="1" t="shared" si="13"/>
        <v>1</v>
      </c>
      <c r="DK5" s="39">
        <f ca="1" t="shared" si="14"/>
        <v>1</v>
      </c>
      <c r="DL5" s="39">
        <f ca="1" t="shared" si="15"/>
        <v>1</v>
      </c>
      <c r="DM5" s="39">
        <f ca="1" t="shared" si="16"/>
        <v>1</v>
      </c>
      <c r="DN5" s="39">
        <f ca="1" t="shared" si="17"/>
        <v>1</v>
      </c>
      <c r="DO5" s="39">
        <f ca="1" t="shared" si="18"/>
        <v>1</v>
      </c>
      <c r="DP5" s="39">
        <f ca="1" t="shared" si="19"/>
        <v>1</v>
      </c>
      <c r="DQ5" s="39">
        <f ca="1" t="shared" si="20"/>
        <v>1</v>
      </c>
      <c r="DR5" s="39">
        <f ca="1" t="shared" si="21"/>
        <v>1</v>
      </c>
      <c r="DS5" s="39">
        <f ca="1" t="shared" si="22"/>
        <v>1</v>
      </c>
      <c r="DT5" s="39">
        <f ca="1" t="shared" si="23"/>
        <v>1</v>
      </c>
      <c r="DU5" s="39">
        <f ca="1" t="shared" si="24"/>
        <v>1</v>
      </c>
      <c r="DV5" s="39">
        <f ca="1" t="shared" si="25"/>
        <v>1</v>
      </c>
      <c r="DW5" s="39">
        <f ca="1" t="shared" si="26"/>
        <v>1</v>
      </c>
      <c r="DX5" s="39">
        <f ca="1" t="shared" si="27"/>
        <v>1</v>
      </c>
      <c r="DY5" s="39">
        <f ca="1" t="shared" si="28"/>
        <v>1</v>
      </c>
      <c r="DZ5" s="39">
        <f ca="1" t="shared" si="29"/>
        <v>1</v>
      </c>
      <c r="EA5" s="39">
        <f ca="1" t="shared" si="30"/>
        <v>1</v>
      </c>
      <c r="EB5" s="39">
        <f ca="1" t="shared" si="31"/>
        <v>1</v>
      </c>
      <c r="EC5" s="39">
        <f ca="1" t="shared" si="32"/>
        <v>1</v>
      </c>
      <c r="ED5" s="39">
        <f ca="1" t="shared" si="33"/>
        <v>1</v>
      </c>
      <c r="EE5" s="39">
        <f ca="1" t="shared" si="34"/>
        <v>1</v>
      </c>
      <c r="EF5" s="39">
        <f ca="1" t="shared" si="35"/>
        <v>1</v>
      </c>
      <c r="EG5" s="39">
        <f ca="1" t="shared" si="36"/>
        <v>1</v>
      </c>
      <c r="EH5" s="39">
        <f ca="1" t="shared" si="37"/>
        <v>1</v>
      </c>
      <c r="EI5" s="39">
        <f ca="1" t="shared" si="38"/>
        <v>1</v>
      </c>
      <c r="EJ5" s="39">
        <f ca="1" t="shared" si="39"/>
        <v>1</v>
      </c>
      <c r="EK5" s="39">
        <f ca="1" t="shared" si="40"/>
        <v>1</v>
      </c>
      <c r="EL5" s="39">
        <f ca="1" t="shared" si="41"/>
        <v>1</v>
      </c>
      <c r="EM5" s="39">
        <f ca="1" t="shared" si="42"/>
        <v>1</v>
      </c>
      <c r="EN5" s="39">
        <f ca="1" t="shared" si="43"/>
        <v>1</v>
      </c>
      <c r="EO5" s="39">
        <f ca="1" t="shared" si="44"/>
        <v>1</v>
      </c>
      <c r="EP5" s="39">
        <f ca="1" t="shared" si="45"/>
        <v>1</v>
      </c>
      <c r="EQ5" s="39">
        <f ca="1" t="shared" si="46"/>
        <v>1</v>
      </c>
      <c r="ER5" s="39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2">
        <v>1</v>
      </c>
      <c r="D6" s="63" t="s">
        <v>200</v>
      </c>
      <c r="E6" s="63" t="s">
        <v>201</v>
      </c>
      <c r="F6" s="64" t="s">
        <v>59</v>
      </c>
      <c r="G6" s="62"/>
      <c r="H6" s="65">
        <f ca="1">OFFSET(TIAM15_assumptions!$G6,0,MATCH(VLOOKUP(Assumptions!H$2,TIAM15_assumptions!$Y$3:$Z$87,2,FALSE),TIAM15_assumptions!$H$2:$V$2,0))</f>
        <v>0.1</v>
      </c>
      <c r="I6" s="65">
        <f ca="1">OFFSET(TIAM15_assumptions!$G6,0,MATCH(VLOOKUP(Assumptions!I$2,TIAM15_assumptions!$Y$3:$Z$87,2,FALSE),TIAM15_assumptions!$H$2:$V$2,0))</f>
        <v>0.1</v>
      </c>
      <c r="J6" s="65">
        <f ca="1">OFFSET(TIAM15_assumptions!$G6,0,MATCH(VLOOKUP(Assumptions!J$2,TIAM15_assumptions!$Y$3:$Z$87,2,FALSE),TIAM15_assumptions!$H$2:$V$2,0))</f>
        <v>0.02</v>
      </c>
      <c r="K6" s="65">
        <f ca="1">OFFSET(TIAM15_assumptions!$G6,0,MATCH(VLOOKUP(Assumptions!K$2,TIAM15_assumptions!$Y$3:$Z$87,2,FALSE),TIAM15_assumptions!$H$2:$V$2,0))</f>
        <v>0.2</v>
      </c>
      <c r="L6" s="65">
        <f ca="1">OFFSET(TIAM15_assumptions!$G6,0,MATCH(VLOOKUP(Assumptions!L$2,TIAM15_assumptions!$Y$3:$Z$87,2,FALSE),TIAM15_assumptions!$H$2:$V$2,0))</f>
        <v>0.05</v>
      </c>
      <c r="M6" s="65">
        <f ca="1">OFFSET(TIAM15_assumptions!$G6,0,MATCH(VLOOKUP(Assumptions!M$2,TIAM15_assumptions!$Y$3:$Z$87,2,FALSE),TIAM15_assumptions!$H$2:$V$2,0))</f>
        <v>0.2</v>
      </c>
      <c r="N6" s="65">
        <f ca="1">OFFSET(TIAM15_assumptions!$G6,0,MATCH(VLOOKUP(Assumptions!N$2,TIAM15_assumptions!$Y$3:$Z$87,2,FALSE),TIAM15_assumptions!$H$2:$V$2,0))</f>
        <v>0.07</v>
      </c>
      <c r="O6" s="65">
        <f ca="1">OFFSET(TIAM15_assumptions!$G6,0,MATCH(VLOOKUP(Assumptions!O$2,TIAM15_assumptions!$Y$3:$Z$87,2,FALSE),TIAM15_assumptions!$H$2:$V$2,0))</f>
        <v>0.1</v>
      </c>
      <c r="P6" s="65">
        <f ca="1">OFFSET(TIAM15_assumptions!$G6,0,MATCH(VLOOKUP(Assumptions!P$2,TIAM15_assumptions!$Y$3:$Z$87,2,FALSE),TIAM15_assumptions!$H$2:$V$2,0))</f>
        <v>0.2</v>
      </c>
      <c r="Q6" s="65">
        <f ca="1">OFFSET(TIAM15_assumptions!$G6,0,MATCH(VLOOKUP(Assumptions!Q$2,TIAM15_assumptions!$Y$3:$Z$87,2,FALSE),TIAM15_assumptions!$H$2:$V$2,0))</f>
        <v>0.2</v>
      </c>
      <c r="R6" s="65">
        <f ca="1">OFFSET(TIAM15_assumptions!$G6,0,MATCH(VLOOKUP(Assumptions!R$2,TIAM15_assumptions!$Y$3:$Z$87,2,FALSE),TIAM15_assumptions!$H$2:$V$2,0))</f>
        <v>0.2</v>
      </c>
      <c r="S6" s="65">
        <f ca="1">OFFSET(TIAM15_assumptions!$G6,0,MATCH(VLOOKUP(Assumptions!S$2,TIAM15_assumptions!$Y$3:$Z$87,2,FALSE),TIAM15_assumptions!$H$2:$V$2,0))</f>
        <v>0.2</v>
      </c>
      <c r="T6" s="65">
        <f ca="1">OFFSET(TIAM15_assumptions!$G6,0,MATCH(VLOOKUP(Assumptions!T$2,TIAM15_assumptions!$Y$3:$Z$87,2,FALSE),TIAM15_assumptions!$H$2:$V$2,0))</f>
        <v>0.2</v>
      </c>
      <c r="U6" s="65">
        <f ca="1">OFFSET(TIAM15_assumptions!$G6,0,MATCH(VLOOKUP(Assumptions!U$2,TIAM15_assumptions!$Y$3:$Z$87,2,FALSE),TIAM15_assumptions!$H$2:$V$2,0))</f>
        <v>0.2</v>
      </c>
      <c r="V6" s="65">
        <f ca="1">OFFSET(TIAM15_assumptions!$G6,0,MATCH(VLOOKUP(Assumptions!V$2,TIAM15_assumptions!$Y$3:$Z$87,2,FALSE),TIAM15_assumptions!$H$2:$V$2,0))</f>
        <v>0.2</v>
      </c>
      <c r="W6" s="65">
        <f ca="1">OFFSET(TIAM15_assumptions!$G6,0,MATCH(VLOOKUP(Assumptions!W$2,TIAM15_assumptions!$Y$3:$Z$87,2,FALSE),TIAM15_assumptions!$H$2:$V$2,0))</f>
        <v>0.25</v>
      </c>
      <c r="X6" s="65">
        <f ca="1">OFFSET(TIAM15_assumptions!$G6,0,MATCH(VLOOKUP(Assumptions!X$2,TIAM15_assumptions!$Y$3:$Z$87,2,FALSE),TIAM15_assumptions!$H$2:$V$2,0))</f>
        <v>0.2</v>
      </c>
      <c r="Y6" s="65">
        <f ca="1">OFFSET(TIAM15_assumptions!$G6,0,MATCH(VLOOKUP(Assumptions!Y$2,TIAM15_assumptions!$Y$3:$Z$87,2,FALSE),TIAM15_assumptions!$H$2:$V$2,0))</f>
        <v>0.2</v>
      </c>
      <c r="Z6" s="65">
        <f ca="1">OFFSET(TIAM15_assumptions!$G6,0,MATCH(VLOOKUP(Assumptions!Z$2,TIAM15_assumptions!$Y$3:$Z$87,2,FALSE),TIAM15_assumptions!$H$2:$V$2,0))</f>
        <v>0.05</v>
      </c>
      <c r="AA6" s="65">
        <f ca="1">OFFSET(TIAM15_assumptions!$G6,0,MATCH(VLOOKUP(Assumptions!AA$2,TIAM15_assumptions!$Y$3:$Z$87,2,FALSE),TIAM15_assumptions!$H$2:$V$2,0))</f>
        <v>0.07</v>
      </c>
      <c r="AB6" s="65">
        <f ca="1">OFFSET(TIAM15_assumptions!$G6,0,MATCH(VLOOKUP(Assumptions!AB$2,TIAM15_assumptions!$Y$3:$Z$87,2,FALSE),TIAM15_assumptions!$H$2:$V$2,0))</f>
        <v>0.1</v>
      </c>
      <c r="AC6" s="65">
        <f ca="1">OFFSET(TIAM15_assumptions!$G6,0,MATCH(VLOOKUP(Assumptions!AC$2,TIAM15_assumptions!$Y$3:$Z$87,2,FALSE),TIAM15_assumptions!$H$2:$V$2,0))</f>
        <v>0.0244064218226165</v>
      </c>
      <c r="AD6" s="65">
        <f ca="1">OFFSET(TIAM15_assumptions!$G6,0,MATCH(VLOOKUP(Assumptions!AD$2,TIAM15_assumptions!$Y$3:$Z$87,2,FALSE),TIAM15_assumptions!$H$2:$V$2,0))</f>
        <v>0.2</v>
      </c>
      <c r="AE6" s="65">
        <f ca="1">OFFSET(TIAM15_assumptions!$G6,0,MATCH(VLOOKUP(Assumptions!AE$2,TIAM15_assumptions!$Y$3:$Z$87,2,FALSE),TIAM15_assumptions!$H$2:$V$2,0))</f>
        <v>0.2</v>
      </c>
      <c r="AF6" s="65">
        <f ca="1">OFFSET(TIAM15_assumptions!$G6,0,MATCH(VLOOKUP(Assumptions!AF$2,TIAM15_assumptions!$Y$3:$Z$87,2,FALSE),TIAM15_assumptions!$H$2:$V$2,0))</f>
        <v>0.08</v>
      </c>
      <c r="AG6" s="65">
        <f ca="1">OFFSET(TIAM15_assumptions!$G6,0,MATCH(VLOOKUP(Assumptions!AG$2,TIAM15_assumptions!$Y$3:$Z$87,2,FALSE),TIAM15_assumptions!$H$2:$V$2,0))</f>
        <v>0.05</v>
      </c>
      <c r="AH6" s="65">
        <f ca="1">OFFSET(TIAM15_assumptions!$G6,0,MATCH(VLOOKUP(Assumptions!AH$2,TIAM15_assumptions!$Y$3:$Z$87,2,FALSE),TIAM15_assumptions!$H$2:$V$2,0))</f>
        <v>0.1</v>
      </c>
      <c r="AI6" s="65">
        <f ca="1">OFFSET(TIAM15_assumptions!$G6,0,MATCH(VLOOKUP(Assumptions!AI$2,TIAM15_assumptions!$Y$3:$Z$87,2,FALSE),TIAM15_assumptions!$H$2:$V$2,0))</f>
        <v>0.1</v>
      </c>
      <c r="AJ6" s="65">
        <f ca="1">OFFSET(TIAM15_assumptions!$G6,0,MATCH(VLOOKUP(Assumptions!AJ$2,TIAM15_assumptions!$Y$3:$Z$87,2,FALSE),TIAM15_assumptions!$H$2:$V$2,0))</f>
        <v>0.2</v>
      </c>
      <c r="AK6" s="65">
        <f ca="1">OFFSET(TIAM15_assumptions!$G6,0,MATCH(VLOOKUP(Assumptions!AK$2,TIAM15_assumptions!$Y$3:$Z$87,2,FALSE),TIAM15_assumptions!$H$2:$V$2,0))</f>
        <v>0.2</v>
      </c>
      <c r="AL6" s="65">
        <f ca="1">OFFSET(TIAM15_assumptions!$G6,0,MATCH(VLOOKUP(Assumptions!AL$2,TIAM15_assumptions!$Y$3:$Z$87,2,FALSE),TIAM15_assumptions!$H$2:$V$2,0))</f>
        <v>0.2</v>
      </c>
      <c r="AM6" s="65">
        <f ca="1">OFFSET(TIAM15_assumptions!$G6,0,MATCH(VLOOKUP(Assumptions!AM$2,TIAM15_assumptions!$Y$3:$Z$87,2,FALSE),TIAM15_assumptions!$H$2:$V$2,0))</f>
        <v>0.1</v>
      </c>
      <c r="AN6" s="65">
        <f ca="1">OFFSET(TIAM15_assumptions!$G6,0,MATCH(VLOOKUP(Assumptions!AN$2,TIAM15_assumptions!$Y$3:$Z$87,2,FALSE),TIAM15_assumptions!$H$2:$V$2,0))</f>
        <v>0.2</v>
      </c>
      <c r="AO6" s="65">
        <f ca="1">OFFSET(TIAM15_assumptions!$G6,0,MATCH(VLOOKUP(Assumptions!AO$2,TIAM15_assumptions!$Y$3:$Z$87,2,FALSE),TIAM15_assumptions!$H$2:$V$2,0))</f>
        <v>0.05</v>
      </c>
      <c r="AP6" s="65">
        <f ca="1">OFFSET(TIAM15_assumptions!$G6,0,MATCH(VLOOKUP(Assumptions!AP$2,TIAM15_assumptions!$Y$3:$Z$87,2,FALSE),TIAM15_assumptions!$H$2:$V$2,0))</f>
        <v>0.2</v>
      </c>
      <c r="AQ6" s="65">
        <f ca="1">OFFSET(TIAM15_assumptions!$G6,0,MATCH(VLOOKUP(Assumptions!AQ$2,TIAM15_assumptions!$Y$3:$Z$87,2,FALSE),TIAM15_assumptions!$H$2:$V$2,0))</f>
        <v>0.0244064218226165</v>
      </c>
      <c r="AR6" s="65">
        <f ca="1">OFFSET(TIAM15_assumptions!$G6,0,MATCH(VLOOKUP(Assumptions!AR$2,TIAM15_assumptions!$Y$3:$Z$87,2,FALSE),TIAM15_assumptions!$H$2:$V$2,0))</f>
        <v>0.0244064218226165</v>
      </c>
      <c r="AS6" s="65">
        <f ca="1">OFFSET(TIAM15_assumptions!$G6,0,MATCH(VLOOKUP(Assumptions!AS$2,TIAM15_assumptions!$Y$3:$Z$87,2,FALSE),TIAM15_assumptions!$H$2:$V$2,0))</f>
        <v>0.0244064218226165</v>
      </c>
      <c r="AT6" s="65">
        <f ca="1">OFFSET(TIAM15_assumptions!$G6,0,MATCH(VLOOKUP(Assumptions!AT$2,TIAM15_assumptions!$Y$3:$Z$87,2,FALSE),TIAM15_assumptions!$H$2:$V$2,0))</f>
        <v>0.0244064218226165</v>
      </c>
      <c r="AU6" s="65">
        <f ca="1">OFFSET(TIAM15_assumptions!$G6,0,MATCH(VLOOKUP(Assumptions!AU$2,TIAM15_assumptions!$Y$3:$Z$87,2,FALSE),TIAM15_assumptions!$H$2:$V$2,0))</f>
        <v>0.0244064218226165</v>
      </c>
      <c r="AV6" s="65">
        <f ca="1">OFFSET(TIAM15_assumptions!$G6,0,MATCH(VLOOKUP(Assumptions!AV$2,TIAM15_assumptions!$Y$3:$Z$87,2,FALSE),TIAM15_assumptions!$H$2:$V$2,0))</f>
        <v>0.0244064218226165</v>
      </c>
      <c r="AW6" s="65">
        <f ca="1">OFFSET(TIAM15_assumptions!$G6,0,MATCH(VLOOKUP(Assumptions!AW$2,TIAM15_assumptions!$Y$3:$Z$87,2,FALSE),TIAM15_assumptions!$H$2:$V$2,0))</f>
        <v>0.0244064218226165</v>
      </c>
      <c r="AX6" s="65">
        <f ca="1">OFFSET(TIAM15_assumptions!$G6,0,MATCH(VLOOKUP(Assumptions!AX$2,TIAM15_assumptions!$Y$3:$Z$87,2,FALSE),TIAM15_assumptions!$H$2:$V$2,0))</f>
        <v>0.0244064218226165</v>
      </c>
      <c r="AY6" s="65">
        <f ca="1">OFFSET(TIAM15_assumptions!$G6,0,MATCH(VLOOKUP(Assumptions!AY$2,TIAM15_assumptions!$Y$3:$Z$87,2,FALSE),TIAM15_assumptions!$H$2:$V$2,0))</f>
        <v>0.0244064218226165</v>
      </c>
      <c r="AZ6" s="65">
        <f ca="1">OFFSET(TIAM15_assumptions!$G6,0,MATCH(VLOOKUP(Assumptions!AZ$2,TIAM15_assumptions!$Y$3:$Z$87,2,FALSE),TIAM15_assumptions!$H$2:$V$2,0))</f>
        <v>0.0244064218226165</v>
      </c>
      <c r="BA6" s="65">
        <f ca="1">OFFSET(TIAM15_assumptions!$G6,0,MATCH(VLOOKUP(Assumptions!BA$2,TIAM15_assumptions!$Y$3:$Z$87,2,FALSE),TIAM15_assumptions!$H$2:$V$2,0))</f>
        <v>0.0244064218226165</v>
      </c>
      <c r="BD6" s="40">
        <f ca="1">IFERROR(SUMIFS('TRA balance'!E$5:E$40,'TRA balance'!$C$5:$C$40,Assumptions!$C6,'TRA balance'!$D$5:$D$40,Assumptions!$B6)*CY6*H6,"")</f>
        <v>0</v>
      </c>
      <c r="BE6" s="40">
        <f ca="1">IFERROR(SUMIFS('TRA balance'!F$5:F$40,'TRA balance'!$C$5:$C$40,Assumptions!$C6,'TRA balance'!$D$5:$D$40,Assumptions!$B6)*CZ6*I6,"")</f>
        <v>0</v>
      </c>
      <c r="BF6" s="40">
        <f ca="1">IFERROR(SUMIFS('TRA balance'!G$5:G$40,'TRA balance'!$C$5:$C$40,Assumptions!$C6,'TRA balance'!$D$5:$D$40,Assumptions!$B6)*DA6*J6,"")</f>
        <v>0</v>
      </c>
      <c r="BG6" s="40">
        <f ca="1">IFERROR(SUMIFS('TRA balance'!H$5:H$40,'TRA balance'!$C$5:$C$40,Assumptions!$C6,'TRA balance'!$D$5:$D$40,Assumptions!$B6)*DB6*K6,"")</f>
        <v>0</v>
      </c>
      <c r="BH6" s="40">
        <f ca="1">IFERROR(SUMIFS('TRA balance'!I$5:I$40,'TRA balance'!$C$5:$C$40,Assumptions!$C6,'TRA balance'!$D$5:$D$40,Assumptions!$B6)*DC6*L6,"")</f>
        <v>0</v>
      </c>
      <c r="BI6" s="40">
        <f ca="1">IFERROR(SUMIFS('TRA balance'!J$5:J$40,'TRA balance'!$C$5:$C$40,Assumptions!$C6,'TRA balance'!$D$5:$D$40,Assumptions!$B6)*DD6*M6,"")</f>
        <v>0</v>
      </c>
      <c r="BJ6" s="40">
        <f ca="1">IFERROR(SUMIFS('TRA balance'!K$5:K$40,'TRA balance'!$C$5:$C$40,Assumptions!$C6,'TRA balance'!$D$5:$D$40,Assumptions!$B6)*DE6*N6,"")</f>
        <v>0</v>
      </c>
      <c r="BK6" s="40">
        <f ca="1">IFERROR(SUMIFS('TRA balance'!L$5:L$40,'TRA balance'!$C$5:$C$40,Assumptions!$C6,'TRA balance'!$D$5:$D$40,Assumptions!$B6)*DF6*O6,"")</f>
        <v>0</v>
      </c>
      <c r="BL6" s="40">
        <f ca="1">IFERROR(SUMIFS('TRA balance'!M$5:M$40,'TRA balance'!$C$5:$C$40,Assumptions!$C6,'TRA balance'!$D$5:$D$40,Assumptions!$B6)*DG6*P6,"")</f>
        <v>0</v>
      </c>
      <c r="BM6" s="40">
        <f ca="1">IFERROR(SUMIFS('TRA balance'!N$5:N$40,'TRA balance'!$C$5:$C$40,Assumptions!$C6,'TRA balance'!$D$5:$D$40,Assumptions!$B6)*DH6*Q6,"")</f>
        <v>0</v>
      </c>
      <c r="BN6" s="40">
        <f ca="1">IFERROR(SUMIFS('TRA balance'!O$5:O$40,'TRA balance'!$C$5:$C$40,Assumptions!$C6,'TRA balance'!$D$5:$D$40,Assumptions!$B6)*DI6*R6,"")</f>
        <v>0</v>
      </c>
      <c r="BO6" s="40">
        <f ca="1">IFERROR(SUMIFS('TRA balance'!P$5:P$40,'TRA balance'!$C$5:$C$40,Assumptions!$C6,'TRA balance'!$D$5:$D$40,Assumptions!$B6)*DJ6*S6,"")</f>
        <v>0</v>
      </c>
      <c r="BP6" s="40">
        <f ca="1">IFERROR(SUMIFS('TRA balance'!Q$5:Q$40,'TRA balance'!$C$5:$C$40,Assumptions!$C6,'TRA balance'!$D$5:$D$40,Assumptions!$B6)*DK6*T6,"")</f>
        <v>0</v>
      </c>
      <c r="BQ6" s="40">
        <f ca="1">IFERROR(SUMIFS('TRA balance'!R$5:R$40,'TRA balance'!$C$5:$C$40,Assumptions!$C6,'TRA balance'!$D$5:$D$40,Assumptions!$B6)*DL6*U6,"")</f>
        <v>0</v>
      </c>
      <c r="BR6" s="40">
        <f ca="1">IFERROR(SUMIFS('TRA balance'!S$5:S$40,'TRA balance'!$C$5:$C$40,Assumptions!$C6,'TRA balance'!$D$5:$D$40,Assumptions!$B6)*DM6*V6,"")</f>
        <v>0</v>
      </c>
      <c r="BS6" s="40">
        <f ca="1">IFERROR(SUMIFS('TRA balance'!T$5:T$40,'TRA balance'!$C$5:$C$40,Assumptions!$C6,'TRA balance'!$D$5:$D$40,Assumptions!$B6)*DN6*W6,"")</f>
        <v>0</v>
      </c>
      <c r="BT6" s="40">
        <f ca="1">IFERROR(SUMIFS('TRA balance'!U$5:U$40,'TRA balance'!$C$5:$C$40,Assumptions!$C6,'TRA balance'!$D$5:$D$40,Assumptions!$B6)*DO6*X6,"")</f>
        <v>0</v>
      </c>
      <c r="BU6" s="40">
        <f ca="1">IFERROR(SUMIFS('TRA balance'!V$5:V$40,'TRA balance'!$C$5:$C$40,Assumptions!$C6,'TRA balance'!$D$5:$D$40,Assumptions!$B6)*DP6*Y6,"")</f>
        <v>0</v>
      </c>
      <c r="BV6" s="40">
        <f ca="1">IFERROR(SUMIFS('TRA balance'!W$5:W$40,'TRA balance'!$C$5:$C$40,Assumptions!$C6,'TRA balance'!$D$5:$D$40,Assumptions!$B6)*DQ6*Z6,"")</f>
        <v>0</v>
      </c>
      <c r="BW6" s="40">
        <f ca="1">IFERROR(SUMIFS('TRA balance'!X$5:X$40,'TRA balance'!$C$5:$C$40,Assumptions!$C6,'TRA balance'!$D$5:$D$40,Assumptions!$B6)*DR6*AA6,"")</f>
        <v>0</v>
      </c>
      <c r="BX6" s="40">
        <f ca="1">IFERROR(SUMIFS('TRA balance'!Y$5:Y$40,'TRA balance'!$C$5:$C$40,Assumptions!$C6,'TRA balance'!$D$5:$D$40,Assumptions!$B6)*DS6*AB6,"")</f>
        <v>0</v>
      </c>
      <c r="BY6" s="40">
        <f ca="1">IFERROR(SUMIFS('TRA balance'!Z$5:Z$40,'TRA balance'!$C$5:$C$40,Assumptions!$C6,'TRA balance'!$D$5:$D$40,Assumptions!$B6)*DT6*AC6,"")</f>
        <v>0</v>
      </c>
      <c r="BZ6" s="40">
        <f ca="1">IFERROR(SUMIFS('TRA balance'!AA$5:AA$40,'TRA balance'!$C$5:$C$40,Assumptions!$C6,'TRA balance'!$D$5:$D$40,Assumptions!$B6)*DU6*AD6,"")</f>
        <v>0</v>
      </c>
      <c r="CA6" s="40">
        <f ca="1">IFERROR(SUMIFS('TRA balance'!AB$5:AB$40,'TRA balance'!$C$5:$C$40,Assumptions!$C6,'TRA balance'!$D$5:$D$40,Assumptions!$B6)*DV6*AE6,"")</f>
        <v>0</v>
      </c>
      <c r="CB6" s="40">
        <f ca="1">IFERROR(SUMIFS('TRA balance'!AC$5:AC$40,'TRA balance'!$C$5:$C$40,Assumptions!$C6,'TRA balance'!$D$5:$D$40,Assumptions!$B6)*DW6*AF6,"")</f>
        <v>0</v>
      </c>
      <c r="CC6" s="40">
        <f ca="1">IFERROR(SUMIFS('TRA balance'!AD$5:AD$40,'TRA balance'!$C$5:$C$40,Assumptions!$C6,'TRA balance'!$D$5:$D$40,Assumptions!$B6)*DX6*AG6,"")</f>
        <v>0</v>
      </c>
      <c r="CD6" s="40">
        <f ca="1">IFERROR(SUMIFS('TRA balance'!AE$5:AE$40,'TRA balance'!$C$5:$C$40,Assumptions!$C6,'TRA balance'!$D$5:$D$40,Assumptions!$B6)*DY6*AH6,"")</f>
        <v>0</v>
      </c>
      <c r="CE6" s="40">
        <f ca="1">IFERROR(SUMIFS('TRA balance'!AF$5:AF$40,'TRA balance'!$C$5:$C$40,Assumptions!$C6,'TRA balance'!$D$5:$D$40,Assumptions!$B6)*DZ6*AI6,"")</f>
        <v>0</v>
      </c>
      <c r="CF6" s="40">
        <f ca="1">IFERROR(SUMIFS('TRA balance'!AG$5:AG$40,'TRA balance'!$C$5:$C$40,Assumptions!$C6,'TRA balance'!$D$5:$D$40,Assumptions!$B6)*EA6*AJ6,"")</f>
        <v>0</v>
      </c>
      <c r="CG6" s="40">
        <f ca="1">IFERROR(SUMIFS('TRA balance'!AH$5:AH$40,'TRA balance'!$C$5:$C$40,Assumptions!$C6,'TRA balance'!$D$5:$D$40,Assumptions!$B6)*EB6*AK6,"")</f>
        <v>0</v>
      </c>
      <c r="CH6" s="40">
        <f ca="1">IFERROR(SUMIFS('TRA balance'!AI$5:AI$40,'TRA balance'!$C$5:$C$40,Assumptions!$C6,'TRA balance'!$D$5:$D$40,Assumptions!$B6)*EC6*AL6,"")</f>
        <v>0</v>
      </c>
      <c r="CI6" s="40">
        <f ca="1">IFERROR(SUMIFS('TRA balance'!AJ$5:AJ$40,'TRA balance'!$C$5:$C$40,Assumptions!$C6,'TRA balance'!$D$5:$D$40,Assumptions!$B6)*ED6*AM6,"")</f>
        <v>0</v>
      </c>
      <c r="CJ6" s="40">
        <f ca="1">IFERROR(SUMIFS('TRA balance'!AK$5:AK$40,'TRA balance'!$C$5:$C$40,Assumptions!$C6,'TRA balance'!$D$5:$D$40,Assumptions!$B6)*EE6*AN6,"")</f>
        <v>0</v>
      </c>
      <c r="CK6" s="40">
        <f ca="1">IFERROR(SUMIFS('TRA balance'!AL$5:AL$40,'TRA balance'!$C$5:$C$40,Assumptions!$C6,'TRA balance'!$D$5:$D$40,Assumptions!$B6)*EF6*AO6,"")</f>
        <v>0</v>
      </c>
      <c r="CL6" s="40">
        <f ca="1">IFERROR(SUMIFS('TRA balance'!AM$5:AM$40,'TRA balance'!$C$5:$C$40,Assumptions!$C6,'TRA balance'!$D$5:$D$40,Assumptions!$B6)*EG6*AP6,"")</f>
        <v>0</v>
      </c>
      <c r="CM6" s="40">
        <f ca="1">IFERROR(SUMIFS('TRA balance'!AN$5:AN$40,'TRA balance'!$C$5:$C$40,Assumptions!$C6,'TRA balance'!$D$5:$D$40,Assumptions!$B6)*EH6*AQ6,"")</f>
        <v>0</v>
      </c>
      <c r="CN6" s="40">
        <f ca="1">IFERROR(SUMIFS('TRA balance'!AO$5:AO$40,'TRA balance'!$C$5:$C$40,Assumptions!$C6,'TRA balance'!$D$5:$D$40,Assumptions!$B6)*EI6*AR6,"")</f>
        <v>0</v>
      </c>
      <c r="CO6" s="40">
        <f ca="1">IFERROR(SUMIFS('TRA balance'!AP$5:AP$40,'TRA balance'!$C$5:$C$40,Assumptions!$C6,'TRA balance'!$D$5:$D$40,Assumptions!$B6)*EJ6*AS6,"")</f>
        <v>0</v>
      </c>
      <c r="CP6" s="40">
        <f ca="1">IFERROR(SUMIFS('TRA balance'!AQ$5:AQ$40,'TRA balance'!$C$5:$C$40,Assumptions!$C6,'TRA balance'!$D$5:$D$40,Assumptions!$B6)*EK6*AT6,"")</f>
        <v>0</v>
      </c>
      <c r="CQ6" s="40">
        <f ca="1">IFERROR(SUMIFS('TRA balance'!AR$5:AR$40,'TRA balance'!$C$5:$C$40,Assumptions!$C6,'TRA balance'!$D$5:$D$40,Assumptions!$B6)*EL6*AU6,"")</f>
        <v>0</v>
      </c>
      <c r="CR6" s="40">
        <f ca="1">IFERROR(SUMIFS('TRA balance'!AS$5:AS$40,'TRA balance'!$C$5:$C$40,Assumptions!$C6,'TRA balance'!$D$5:$D$40,Assumptions!$B6)*EM6*AV6,"")</f>
        <v>0</v>
      </c>
      <c r="CS6" s="40">
        <f ca="1">IFERROR(SUMIFS('TRA balance'!AT$5:AT$40,'TRA balance'!$C$5:$C$40,Assumptions!$C6,'TRA balance'!$D$5:$D$40,Assumptions!$B6)*EN6*AW6,"")</f>
        <v>0</v>
      </c>
      <c r="CT6" s="40">
        <f ca="1">IFERROR(SUMIFS('TRA balance'!AU$5:AU$40,'TRA balance'!$C$5:$C$40,Assumptions!$C6,'TRA balance'!$D$5:$D$40,Assumptions!$B6)*EO6*AX6,"")</f>
        <v>0</v>
      </c>
      <c r="CU6" s="40">
        <f ca="1">IFERROR(SUMIFS('TRA balance'!AV$5:AV$40,'TRA balance'!$C$5:$C$40,Assumptions!$C6,'TRA balance'!$D$5:$D$40,Assumptions!$B6)*EP6*AY6,"")</f>
        <v>0</v>
      </c>
      <c r="CV6" s="40">
        <f ca="1">IFERROR(SUMIFS('TRA balance'!AW$5:AW$40,'TRA balance'!$C$5:$C$40,Assumptions!$C6,'TRA balance'!$D$5:$D$40,Assumptions!$B6)*EQ6*AZ6,"")</f>
        <v>0</v>
      </c>
      <c r="CW6" s="40">
        <f ca="1">IFERROR(SUMIFS('TRA balance'!AX$5:AX$40,'TRA balance'!$C$5:$C$40,Assumptions!$C6,'TRA balance'!$D$5:$D$40,Assumptions!$B6)*ER6*BA6,"")</f>
        <v>0</v>
      </c>
      <c r="CY6" s="39">
        <f ca="1" t="shared" si="2"/>
        <v>1</v>
      </c>
      <c r="CZ6" s="39">
        <f ca="1" t="shared" si="3"/>
        <v>1</v>
      </c>
      <c r="DA6" s="39">
        <f ca="1" t="shared" si="4"/>
        <v>1</v>
      </c>
      <c r="DB6" s="39">
        <f ca="1" t="shared" si="5"/>
        <v>1</v>
      </c>
      <c r="DC6" s="39">
        <f ca="1" t="shared" si="6"/>
        <v>1</v>
      </c>
      <c r="DD6" s="39">
        <f ca="1" t="shared" si="7"/>
        <v>1</v>
      </c>
      <c r="DE6" s="39">
        <f ca="1" t="shared" si="8"/>
        <v>1</v>
      </c>
      <c r="DF6" s="39">
        <f ca="1" t="shared" si="9"/>
        <v>1</v>
      </c>
      <c r="DG6" s="39">
        <f ca="1" t="shared" si="10"/>
        <v>1</v>
      </c>
      <c r="DH6" s="39">
        <f ca="1" t="shared" si="11"/>
        <v>1</v>
      </c>
      <c r="DI6" s="39">
        <f ca="1" t="shared" si="12"/>
        <v>1</v>
      </c>
      <c r="DJ6" s="39">
        <f ca="1" t="shared" si="13"/>
        <v>1</v>
      </c>
      <c r="DK6" s="39">
        <f ca="1" t="shared" si="14"/>
        <v>1</v>
      </c>
      <c r="DL6" s="39">
        <f ca="1" t="shared" si="15"/>
        <v>1</v>
      </c>
      <c r="DM6" s="39">
        <f ca="1" t="shared" si="16"/>
        <v>1</v>
      </c>
      <c r="DN6" s="39">
        <f ca="1" t="shared" si="17"/>
        <v>1</v>
      </c>
      <c r="DO6" s="39">
        <f ca="1" t="shared" si="18"/>
        <v>1</v>
      </c>
      <c r="DP6" s="39">
        <f ca="1" t="shared" si="19"/>
        <v>1</v>
      </c>
      <c r="DQ6" s="39">
        <f ca="1" t="shared" si="20"/>
        <v>1</v>
      </c>
      <c r="DR6" s="39">
        <f ca="1" t="shared" si="21"/>
        <v>1</v>
      </c>
      <c r="DS6" s="39">
        <f ca="1" t="shared" si="22"/>
        <v>1</v>
      </c>
      <c r="DT6" s="39">
        <f ca="1" t="shared" si="23"/>
        <v>1</v>
      </c>
      <c r="DU6" s="39">
        <f ca="1" t="shared" si="24"/>
        <v>1</v>
      </c>
      <c r="DV6" s="39">
        <f ca="1" t="shared" si="25"/>
        <v>1</v>
      </c>
      <c r="DW6" s="39">
        <f ca="1" t="shared" si="26"/>
        <v>1</v>
      </c>
      <c r="DX6" s="39">
        <f ca="1" t="shared" si="27"/>
        <v>1</v>
      </c>
      <c r="DY6" s="39">
        <f ca="1" t="shared" si="28"/>
        <v>1</v>
      </c>
      <c r="DZ6" s="39">
        <f ca="1" t="shared" si="29"/>
        <v>1</v>
      </c>
      <c r="EA6" s="39">
        <f ca="1" t="shared" si="30"/>
        <v>1</v>
      </c>
      <c r="EB6" s="39">
        <f ca="1" t="shared" si="31"/>
        <v>1</v>
      </c>
      <c r="EC6" s="39">
        <f ca="1" t="shared" si="32"/>
        <v>1</v>
      </c>
      <c r="ED6" s="39">
        <f ca="1" t="shared" si="33"/>
        <v>1</v>
      </c>
      <c r="EE6" s="39">
        <f ca="1" t="shared" si="34"/>
        <v>1</v>
      </c>
      <c r="EF6" s="39">
        <f ca="1" t="shared" si="35"/>
        <v>1</v>
      </c>
      <c r="EG6" s="39">
        <f ca="1" t="shared" si="36"/>
        <v>1</v>
      </c>
      <c r="EH6" s="39">
        <f ca="1" t="shared" si="37"/>
        <v>1</v>
      </c>
      <c r="EI6" s="39">
        <f ca="1" t="shared" si="38"/>
        <v>1</v>
      </c>
      <c r="EJ6" s="39">
        <f ca="1" t="shared" si="39"/>
        <v>1</v>
      </c>
      <c r="EK6" s="39">
        <f ca="1" t="shared" si="40"/>
        <v>1</v>
      </c>
      <c r="EL6" s="39">
        <f ca="1" t="shared" si="41"/>
        <v>1</v>
      </c>
      <c r="EM6" s="39">
        <f ca="1" t="shared" si="42"/>
        <v>1</v>
      </c>
      <c r="EN6" s="39">
        <f ca="1" t="shared" si="43"/>
        <v>1</v>
      </c>
      <c r="EO6" s="39">
        <f ca="1" t="shared" si="44"/>
        <v>1</v>
      </c>
      <c r="EP6" s="39">
        <f ca="1" t="shared" si="45"/>
        <v>1</v>
      </c>
      <c r="EQ6" s="39">
        <f ca="1" t="shared" si="46"/>
        <v>1</v>
      </c>
      <c r="ER6" s="39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4" t="str">
        <f t="shared" si="48"/>
        <v>TR</v>
      </c>
      <c r="D7" s="55" t="s">
        <v>200</v>
      </c>
      <c r="E7" s="66" t="s">
        <v>202</v>
      </c>
      <c r="F7" s="56" t="str">
        <f>F6</f>
        <v>Diesel</v>
      </c>
      <c r="G7" s="54" t="s">
        <v>203</v>
      </c>
      <c r="H7" s="57">
        <f ca="1">OFFSET(TIAM15_assumptions!$G7,0,MATCH(VLOOKUP(Assumptions!H$2,TIAM15_assumptions!$Y$3:$Z$87,2,FALSE),TIAM15_assumptions!$H$2:$V$2,0))</f>
        <v>0.5</v>
      </c>
      <c r="I7" s="57">
        <f ca="1">OFFSET(TIAM15_assumptions!$G7,0,MATCH(VLOOKUP(Assumptions!I$2,TIAM15_assumptions!$Y$3:$Z$87,2,FALSE),TIAM15_assumptions!$H$2:$V$2,0))</f>
        <v>0.5</v>
      </c>
      <c r="J7" s="57">
        <f ca="1">OFFSET(TIAM15_assumptions!$G7,0,MATCH(VLOOKUP(Assumptions!J$2,TIAM15_assumptions!$Y$3:$Z$87,2,FALSE),TIAM15_assumptions!$H$2:$V$2,0))</f>
        <v>0.3</v>
      </c>
      <c r="K7" s="57">
        <f ca="1">OFFSET(TIAM15_assumptions!$G7,0,MATCH(VLOOKUP(Assumptions!K$2,TIAM15_assumptions!$Y$3:$Z$87,2,FALSE),TIAM15_assumptions!$H$2:$V$2,0))</f>
        <v>0.8</v>
      </c>
      <c r="L7" s="57">
        <f ca="1">OFFSET(TIAM15_assumptions!$G7,0,MATCH(VLOOKUP(Assumptions!L$2,TIAM15_assumptions!$Y$3:$Z$87,2,FALSE),TIAM15_assumptions!$H$2:$V$2,0))</f>
        <v>0.51</v>
      </c>
      <c r="M7" s="57">
        <f ca="1">OFFSET(TIAM15_assumptions!$G7,0,MATCH(VLOOKUP(Assumptions!M$2,TIAM15_assumptions!$Y$3:$Z$87,2,FALSE),TIAM15_assumptions!$H$2:$V$2,0))</f>
        <v>0.8</v>
      </c>
      <c r="N7" s="57">
        <f ca="1">OFFSET(TIAM15_assumptions!$G7,0,MATCH(VLOOKUP(Assumptions!N$2,TIAM15_assumptions!$Y$3:$Z$87,2,FALSE),TIAM15_assumptions!$H$2:$V$2,0))</f>
        <v>0.3</v>
      </c>
      <c r="O7" s="57">
        <f ca="1">OFFSET(TIAM15_assumptions!$G7,0,MATCH(VLOOKUP(Assumptions!O$2,TIAM15_assumptions!$Y$3:$Z$87,2,FALSE),TIAM15_assumptions!$H$2:$V$2,0))</f>
        <v>0.2</v>
      </c>
      <c r="P7" s="57">
        <f ca="1">OFFSET(TIAM15_assumptions!$G7,0,MATCH(VLOOKUP(Assumptions!P$2,TIAM15_assumptions!$Y$3:$Z$87,2,FALSE),TIAM15_assumptions!$H$2:$V$2,0))</f>
        <v>0.51</v>
      </c>
      <c r="Q7" s="57">
        <f ca="1">OFFSET(TIAM15_assumptions!$G7,0,MATCH(VLOOKUP(Assumptions!Q$2,TIAM15_assumptions!$Y$3:$Z$87,2,FALSE),TIAM15_assumptions!$H$2:$V$2,0))</f>
        <v>0.51</v>
      </c>
      <c r="R7" s="57">
        <f ca="1">OFFSET(TIAM15_assumptions!$G7,0,MATCH(VLOOKUP(Assumptions!R$2,TIAM15_assumptions!$Y$3:$Z$87,2,FALSE),TIAM15_assumptions!$H$2:$V$2,0))</f>
        <v>0.8</v>
      </c>
      <c r="S7" s="57">
        <f ca="1">OFFSET(TIAM15_assumptions!$G7,0,MATCH(VLOOKUP(Assumptions!S$2,TIAM15_assumptions!$Y$3:$Z$87,2,FALSE),TIAM15_assumptions!$H$2:$V$2,0))</f>
        <v>0.8</v>
      </c>
      <c r="T7" s="57">
        <f ca="1">OFFSET(TIAM15_assumptions!$G7,0,MATCH(VLOOKUP(Assumptions!T$2,TIAM15_assumptions!$Y$3:$Z$87,2,FALSE),TIAM15_assumptions!$H$2:$V$2,0))</f>
        <v>0.8</v>
      </c>
      <c r="U7" s="57">
        <f ca="1">OFFSET(TIAM15_assumptions!$G7,0,MATCH(VLOOKUP(Assumptions!U$2,TIAM15_assumptions!$Y$3:$Z$87,2,FALSE),TIAM15_assumptions!$H$2:$V$2,0))</f>
        <v>0.51</v>
      </c>
      <c r="V7" s="57">
        <f ca="1">OFFSET(TIAM15_assumptions!$G7,0,MATCH(VLOOKUP(Assumptions!V$2,TIAM15_assumptions!$Y$3:$Z$87,2,FALSE),TIAM15_assumptions!$H$2:$V$2,0))</f>
        <v>0.8</v>
      </c>
      <c r="W7" s="57">
        <f ca="1">OFFSET(TIAM15_assumptions!$G7,0,MATCH(VLOOKUP(Assumptions!W$2,TIAM15_assumptions!$Y$3:$Z$87,2,FALSE),TIAM15_assumptions!$H$2:$V$2,0))</f>
        <v>0.4</v>
      </c>
      <c r="X7" s="57">
        <f ca="1">OFFSET(TIAM15_assumptions!$G7,0,MATCH(VLOOKUP(Assumptions!X$2,TIAM15_assumptions!$Y$3:$Z$87,2,FALSE),TIAM15_assumptions!$H$2:$V$2,0))</f>
        <v>0.8</v>
      </c>
      <c r="Y7" s="57">
        <f ca="1">OFFSET(TIAM15_assumptions!$G7,0,MATCH(VLOOKUP(Assumptions!Y$2,TIAM15_assumptions!$Y$3:$Z$87,2,FALSE),TIAM15_assumptions!$H$2:$V$2,0))</f>
        <v>0.8</v>
      </c>
      <c r="Z7" s="57">
        <f ca="1">OFFSET(TIAM15_assumptions!$G7,0,MATCH(VLOOKUP(Assumptions!Z$2,TIAM15_assumptions!$Y$3:$Z$87,2,FALSE),TIAM15_assumptions!$H$2:$V$2,0))</f>
        <v>0.46</v>
      </c>
      <c r="AA7" s="57">
        <f ca="1">OFFSET(TIAM15_assumptions!$G7,0,MATCH(VLOOKUP(Assumptions!AA$2,TIAM15_assumptions!$Y$3:$Z$87,2,FALSE),TIAM15_assumptions!$H$2:$V$2,0))</f>
        <v>0.3</v>
      </c>
      <c r="AB7" s="57">
        <f ca="1">OFFSET(TIAM15_assumptions!$G7,0,MATCH(VLOOKUP(Assumptions!AB$2,TIAM15_assumptions!$Y$3:$Z$87,2,FALSE),TIAM15_assumptions!$H$2:$V$2,0))</f>
        <v>0.2</v>
      </c>
      <c r="AC7" s="57">
        <f ca="1">OFFSET(TIAM15_assumptions!$G7,0,MATCH(VLOOKUP(Assumptions!AC$2,TIAM15_assumptions!$Y$3:$Z$87,2,FALSE),TIAM15_assumptions!$H$2:$V$2,0))</f>
        <v>0.391737102078734</v>
      </c>
      <c r="AD7" s="57">
        <f ca="1">OFFSET(TIAM15_assumptions!$G7,0,MATCH(VLOOKUP(Assumptions!AD$2,TIAM15_assumptions!$Y$3:$Z$87,2,FALSE),TIAM15_assumptions!$H$2:$V$2,0))</f>
        <v>0.8</v>
      </c>
      <c r="AE7" s="57">
        <f ca="1">OFFSET(TIAM15_assumptions!$G7,0,MATCH(VLOOKUP(Assumptions!AE$2,TIAM15_assumptions!$Y$3:$Z$87,2,FALSE),TIAM15_assumptions!$H$2:$V$2,0))</f>
        <v>0.51</v>
      </c>
      <c r="AF7" s="57">
        <f ca="1">OFFSET(TIAM15_assumptions!$G7,0,MATCH(VLOOKUP(Assumptions!AF$2,TIAM15_assumptions!$Y$3:$Z$87,2,FALSE),TIAM15_assumptions!$H$2:$V$2,0))</f>
        <v>0.34</v>
      </c>
      <c r="AG7" s="57">
        <f ca="1">OFFSET(TIAM15_assumptions!$G7,0,MATCH(VLOOKUP(Assumptions!AG$2,TIAM15_assumptions!$Y$3:$Z$87,2,FALSE),TIAM15_assumptions!$H$2:$V$2,0))</f>
        <v>0.51</v>
      </c>
      <c r="AH7" s="57">
        <f ca="1">OFFSET(TIAM15_assumptions!$G7,0,MATCH(VLOOKUP(Assumptions!AH$2,TIAM15_assumptions!$Y$3:$Z$87,2,FALSE),TIAM15_assumptions!$H$2:$V$2,0))</f>
        <v>0.2</v>
      </c>
      <c r="AI7" s="57">
        <f ca="1">OFFSET(TIAM15_assumptions!$G7,0,MATCH(VLOOKUP(Assumptions!AI$2,TIAM15_assumptions!$Y$3:$Z$87,2,FALSE),TIAM15_assumptions!$H$2:$V$2,0))</f>
        <v>0.5</v>
      </c>
      <c r="AJ7" s="57">
        <f ca="1">OFFSET(TIAM15_assumptions!$G7,0,MATCH(VLOOKUP(Assumptions!AJ$2,TIAM15_assumptions!$Y$3:$Z$87,2,FALSE),TIAM15_assumptions!$H$2:$V$2,0))</f>
        <v>0.8</v>
      </c>
      <c r="AK7" s="57">
        <f ca="1">OFFSET(TIAM15_assumptions!$G7,0,MATCH(VLOOKUP(Assumptions!AK$2,TIAM15_assumptions!$Y$3:$Z$87,2,FALSE),TIAM15_assumptions!$H$2:$V$2,0))</f>
        <v>0.8</v>
      </c>
      <c r="AL7" s="57">
        <f ca="1">OFFSET(TIAM15_assumptions!$G7,0,MATCH(VLOOKUP(Assumptions!AL$2,TIAM15_assumptions!$Y$3:$Z$87,2,FALSE),TIAM15_assumptions!$H$2:$V$2,0))</f>
        <v>0.8</v>
      </c>
      <c r="AM7" s="57">
        <f ca="1">OFFSET(TIAM15_assumptions!$G7,0,MATCH(VLOOKUP(Assumptions!AM$2,TIAM15_assumptions!$Y$3:$Z$87,2,FALSE),TIAM15_assumptions!$H$2:$V$2,0))</f>
        <v>0.2</v>
      </c>
      <c r="AN7" s="57">
        <f ca="1">OFFSET(TIAM15_assumptions!$G7,0,MATCH(VLOOKUP(Assumptions!AN$2,TIAM15_assumptions!$Y$3:$Z$87,2,FALSE),TIAM15_assumptions!$H$2:$V$2,0))</f>
        <v>0.8</v>
      </c>
      <c r="AO7" s="57">
        <f ca="1">OFFSET(TIAM15_assumptions!$G7,0,MATCH(VLOOKUP(Assumptions!AO$2,TIAM15_assumptions!$Y$3:$Z$87,2,FALSE),TIAM15_assumptions!$H$2:$V$2,0))</f>
        <v>0.51</v>
      </c>
      <c r="AP7" s="57">
        <f ca="1">OFFSET(TIAM15_assumptions!$G7,0,MATCH(VLOOKUP(Assumptions!AP$2,TIAM15_assumptions!$Y$3:$Z$87,2,FALSE),TIAM15_assumptions!$H$2:$V$2,0))</f>
        <v>0.51</v>
      </c>
      <c r="AQ7" s="57">
        <f ca="1">OFFSET(TIAM15_assumptions!$G7,0,MATCH(VLOOKUP(Assumptions!AQ$2,TIAM15_assumptions!$Y$3:$Z$87,2,FALSE),TIAM15_assumptions!$H$2:$V$2,0))</f>
        <v>0.391737102078734</v>
      </c>
      <c r="AR7" s="57">
        <f ca="1">OFFSET(TIAM15_assumptions!$G7,0,MATCH(VLOOKUP(Assumptions!AR$2,TIAM15_assumptions!$Y$3:$Z$87,2,FALSE),TIAM15_assumptions!$H$2:$V$2,0))</f>
        <v>0.391737102078734</v>
      </c>
      <c r="AS7" s="57">
        <f ca="1">OFFSET(TIAM15_assumptions!$G7,0,MATCH(VLOOKUP(Assumptions!AS$2,TIAM15_assumptions!$Y$3:$Z$87,2,FALSE),TIAM15_assumptions!$H$2:$V$2,0))</f>
        <v>0.391737102078734</v>
      </c>
      <c r="AT7" s="57">
        <f ca="1">OFFSET(TIAM15_assumptions!$G7,0,MATCH(VLOOKUP(Assumptions!AT$2,TIAM15_assumptions!$Y$3:$Z$87,2,FALSE),TIAM15_assumptions!$H$2:$V$2,0))</f>
        <v>0.391737102078734</v>
      </c>
      <c r="AU7" s="57">
        <f ca="1">OFFSET(TIAM15_assumptions!$G7,0,MATCH(VLOOKUP(Assumptions!AU$2,TIAM15_assumptions!$Y$3:$Z$87,2,FALSE),TIAM15_assumptions!$H$2:$V$2,0))</f>
        <v>0.391737102078734</v>
      </c>
      <c r="AV7" s="57">
        <f ca="1">OFFSET(TIAM15_assumptions!$G7,0,MATCH(VLOOKUP(Assumptions!AV$2,TIAM15_assumptions!$Y$3:$Z$87,2,FALSE),TIAM15_assumptions!$H$2:$V$2,0))</f>
        <v>0.391737102078734</v>
      </c>
      <c r="AW7" s="57">
        <f ca="1">OFFSET(TIAM15_assumptions!$G7,0,MATCH(VLOOKUP(Assumptions!AW$2,TIAM15_assumptions!$Y$3:$Z$87,2,FALSE),TIAM15_assumptions!$H$2:$V$2,0))</f>
        <v>0.391737102078734</v>
      </c>
      <c r="AX7" s="57">
        <f ca="1">OFFSET(TIAM15_assumptions!$G7,0,MATCH(VLOOKUP(Assumptions!AX$2,TIAM15_assumptions!$Y$3:$Z$87,2,FALSE),TIAM15_assumptions!$H$2:$V$2,0))</f>
        <v>0.391737102078734</v>
      </c>
      <c r="AY7" s="57">
        <f ca="1">OFFSET(TIAM15_assumptions!$G7,0,MATCH(VLOOKUP(Assumptions!AY$2,TIAM15_assumptions!$Y$3:$Z$87,2,FALSE),TIAM15_assumptions!$H$2:$V$2,0))</f>
        <v>0.391737102078734</v>
      </c>
      <c r="AZ7" s="57">
        <f ca="1">OFFSET(TIAM15_assumptions!$G7,0,MATCH(VLOOKUP(Assumptions!AZ$2,TIAM15_assumptions!$Y$3:$Z$87,2,FALSE),TIAM15_assumptions!$H$2:$V$2,0))</f>
        <v>0.391737102078734</v>
      </c>
      <c r="BA7" s="57">
        <f ca="1">OFFSET(TIAM15_assumptions!$G7,0,MATCH(VLOOKUP(Assumptions!BA$2,TIAM15_assumptions!$Y$3:$Z$87,2,FALSE),TIAM15_assumptions!$H$2:$V$2,0))</f>
        <v>0.391737102078734</v>
      </c>
      <c r="BD7" s="40">
        <f ca="1">IFERROR(SUMIFS('TRA balance'!E$5:E$40,'TRA balance'!$C$5:$C$40,Assumptions!$C7,'TRA balance'!$D$5:$D$40,Assumptions!$B7)*CY7*H7,"")</f>
        <v>55.6010274303</v>
      </c>
      <c r="BE7" s="40">
        <f ca="1">IFERROR(SUMIFS('TRA balance'!F$5:F$40,'TRA balance'!$C$5:$C$40,Assumptions!$C7,'TRA balance'!$D$5:$D$40,Assumptions!$B7)*CZ7*I7,"")</f>
        <v>49.41138100608</v>
      </c>
      <c r="BF7" s="40">
        <f ca="1">IFERROR(SUMIFS('TRA balance'!G$5:G$40,'TRA balance'!$C$5:$C$40,Assumptions!$C7,'TRA balance'!$D$5:$D$40,Assumptions!$B7)*DA7*J7,"")</f>
        <v>3.4538274663624</v>
      </c>
      <c r="BG7" s="40">
        <f ca="1">IFERROR(SUMIFS('TRA balance'!H$5:H$40,'TRA balance'!$C$5:$C$40,Assumptions!$C7,'TRA balance'!$D$5:$D$40,Assumptions!$B7)*DB7*K7,"")</f>
        <v>41.384086976448</v>
      </c>
      <c r="BH7" s="40">
        <f ca="1">IFERROR(SUMIFS('TRA balance'!I$5:I$40,'TRA balance'!$C$5:$C$40,Assumptions!$C7,'TRA balance'!$D$5:$D$40,Assumptions!$B7)*DC7*L7,"")</f>
        <v>3.092386400307</v>
      </c>
      <c r="BI7" s="40">
        <f ca="1">IFERROR(SUMIFS('TRA balance'!J$5:J$40,'TRA balance'!$C$5:$C$40,Assumptions!$C7,'TRA balance'!$D$5:$D$40,Assumptions!$B7)*DD7*M7,"")</f>
        <v>87.717149073216</v>
      </c>
      <c r="BJ7" s="40">
        <f ca="1">IFERROR(SUMIFS('TRA balance'!K$5:K$40,'TRA balance'!$C$5:$C$40,Assumptions!$C7,'TRA balance'!$D$5:$D$40,Assumptions!$B7)*DE7*N7,"")</f>
        <v>30.1558241933424</v>
      </c>
      <c r="BK7" s="40">
        <f ca="1">IFERROR(SUMIFS('TRA balance'!L$5:L$40,'TRA balance'!$C$5:$C$40,Assumptions!$C7,'TRA balance'!$D$5:$D$40,Assumptions!$B7)*DF7*O7,"")</f>
        <v>77.627432255688</v>
      </c>
      <c r="BL7" s="40">
        <f ca="1">IFERROR(SUMIFS('TRA balance'!M$5:M$40,'TRA balance'!$C$5:$C$40,Assumptions!$C7,'TRA balance'!$D$5:$D$40,Assumptions!$B7)*DG7*P7,"")</f>
        <v>12.290391216468</v>
      </c>
      <c r="BM7" s="40">
        <f ca="1">IFERROR(SUMIFS('TRA balance'!N$5:N$40,'TRA balance'!$C$5:$C$40,Assumptions!$C7,'TRA balance'!$D$5:$D$40,Assumptions!$B7)*DH7*Q7,"")</f>
        <v>26.3362571466336</v>
      </c>
      <c r="BN7" s="40">
        <f ca="1">IFERROR(SUMIFS('TRA balance'!O$5:O$40,'TRA balance'!$C$5:$C$40,Assumptions!$C7,'TRA balance'!$D$5:$D$40,Assumptions!$B7)*DI7*R7,"")</f>
        <v>205.824019814208</v>
      </c>
      <c r="BO7" s="40">
        <f ca="1">IFERROR(SUMIFS('TRA balance'!P$5:P$40,'TRA balance'!$C$5:$C$40,Assumptions!$C7,'TRA balance'!$D$5:$D$40,Assumptions!$B7)*DJ7*S7,"")</f>
        <v>222.2833917168</v>
      </c>
      <c r="BP7" s="40">
        <f ca="1">IFERROR(SUMIFS('TRA balance'!Q$5:Q$40,'TRA balance'!$C$5:$C$40,Assumptions!$C7,'TRA balance'!$D$5:$D$40,Assumptions!$B7)*DK7*T7,"")</f>
        <v>17.975641284288</v>
      </c>
      <c r="BQ7" s="40">
        <f ca="1">IFERROR(SUMIFS('TRA balance'!R$5:R$40,'TRA balance'!$C$5:$C$40,Assumptions!$C7,'TRA balance'!$D$5:$D$40,Assumptions!$B7)*DL7*U7,"")</f>
        <v>41.0900344555896</v>
      </c>
      <c r="BR7" s="40">
        <f ca="1">IFERROR(SUMIFS('TRA balance'!S$5:S$40,'TRA balance'!$C$5:$C$40,Assumptions!$C7,'TRA balance'!$D$5:$D$40,Assumptions!$B7)*DM7*V7,"")</f>
        <v>1.232735266368</v>
      </c>
      <c r="BS7" s="40">
        <f ca="1">IFERROR(SUMIFS('TRA balance'!T$5:T$40,'TRA balance'!$C$5:$C$40,Assumptions!$C7,'TRA balance'!$D$5:$D$40,Assumptions!$B7)*DN7*W7,"")</f>
        <v>243.36589206996</v>
      </c>
      <c r="BT7" s="40">
        <f ca="1">IFERROR(SUMIFS('TRA balance'!U$5:U$40,'TRA balance'!$C$5:$C$40,Assumptions!$C7,'TRA balance'!$D$5:$D$40,Assumptions!$B7)*DO7*X7,"")</f>
        <v>19.73514163968</v>
      </c>
      <c r="BU7" s="40">
        <f ca="1">IFERROR(SUMIFS('TRA balance'!V$5:V$40,'TRA balance'!$C$5:$C$40,Assumptions!$C7,'TRA balance'!$D$5:$D$40,Assumptions!$B7)*DP7*Y7,"")</f>
        <v>144.007197300288</v>
      </c>
      <c r="BV7" s="40">
        <f ca="1">IFERROR(SUMIFS('TRA balance'!W$5:W$40,'TRA balance'!$C$5:$C$40,Assumptions!$C7,'TRA balance'!$D$5:$D$40,Assumptions!$B7)*DQ7*Z7,"")</f>
        <v>21.0052326284028</v>
      </c>
      <c r="BW7" s="40">
        <f ca="1">IFERROR(SUMIFS('TRA balance'!X$5:X$40,'TRA balance'!$C$5:$C$40,Assumptions!$C7,'TRA balance'!$D$5:$D$40,Assumptions!$B7)*DR7*AA7,"")</f>
        <v>30.9617266882896</v>
      </c>
      <c r="BX7" s="40">
        <f ca="1">IFERROR(SUMIFS('TRA balance'!Y$5:Y$40,'TRA balance'!$C$5:$C$40,Assumptions!$C7,'TRA balance'!$D$5:$D$40,Assumptions!$B7)*DS7*AB7,"")</f>
        <v>29.955318559056</v>
      </c>
      <c r="BY7" s="40">
        <f ca="1">IFERROR(SUMIFS('TRA balance'!Z$5:Z$40,'TRA balance'!$C$5:$C$40,Assumptions!$C7,'TRA balance'!$D$5:$D$40,Assumptions!$B7)*DT7*AC7,"")</f>
        <v>60.2350730707134</v>
      </c>
      <c r="BZ7" s="40">
        <f ca="1">IFERROR(SUMIFS('TRA balance'!AA$5:AA$40,'TRA balance'!$C$5:$C$40,Assumptions!$C7,'TRA balance'!$D$5:$D$40,Assumptions!$B7)*DU7*AD7,"")</f>
        <v>14.17602583008</v>
      </c>
      <c r="CA7" s="40">
        <f ca="1">IFERROR(SUMIFS('TRA balance'!AB$5:AB$40,'TRA balance'!$C$5:$C$40,Assumptions!$C7,'TRA balance'!$D$5:$D$40,Assumptions!$B7)*DV7*AE7,"")</f>
        <v>60.4654178527656</v>
      </c>
      <c r="CB7" s="40">
        <f ca="1">IFERROR(SUMIFS('TRA balance'!AC$5:AC$40,'TRA balance'!$C$5:$C$40,Assumptions!$C7,'TRA balance'!$D$5:$D$40,Assumptions!$B7)*DW7*AF7,"")</f>
        <v>109.218101473538</v>
      </c>
      <c r="CC7" s="40">
        <f ca="1">IFERROR(SUMIFS('TRA balance'!AD$5:AD$40,'TRA balance'!$C$5:$C$40,Assumptions!$C7,'TRA balance'!$D$5:$D$40,Assumptions!$B7)*DX7*AG7,"")</f>
        <v>17.883902969712</v>
      </c>
      <c r="CD7" s="40">
        <f ca="1">IFERROR(SUMIFS('TRA balance'!AE$5:AE$40,'TRA balance'!$C$5:$C$40,Assumptions!$C7,'TRA balance'!$D$5:$D$40,Assumptions!$B7)*DY7*AH7,"")</f>
        <v>17.03597448168</v>
      </c>
      <c r="CE7" s="40">
        <f ca="1">IFERROR(SUMIFS('TRA balance'!AF$5:AF$40,'TRA balance'!$C$5:$C$40,Assumptions!$C7,'TRA balance'!$D$5:$D$40,Assumptions!$B7)*DZ7*AI7,"")</f>
        <v>17.35640954496</v>
      </c>
      <c r="CF7" s="40">
        <f ca="1">IFERROR(SUMIFS('TRA balance'!AG$5:AG$40,'TRA balance'!$C$5:$C$40,Assumptions!$C7,'TRA balance'!$D$5:$D$40,Assumptions!$B7)*EA7*AJ7,"")</f>
        <v>171.86916827808</v>
      </c>
      <c r="CG7" s="40">
        <f ca="1">IFERROR(SUMIFS('TRA balance'!AH$5:AH$40,'TRA balance'!$C$5:$C$40,Assumptions!$C7,'TRA balance'!$D$5:$D$40,Assumptions!$B7)*EB7*AK7,"")</f>
        <v>51.594066358272</v>
      </c>
      <c r="CH7" s="40">
        <f ca="1">IFERROR(SUMIFS('TRA balance'!AI$5:AI$40,'TRA balance'!$C$5:$C$40,Assumptions!$C7,'TRA balance'!$D$5:$D$40,Assumptions!$B7)*EC7*AL7,"")</f>
        <v>18.21042965952</v>
      </c>
      <c r="CI7" s="40">
        <f ca="1">IFERROR(SUMIFS('TRA balance'!AJ$5:AJ$40,'TRA balance'!$C$5:$C$40,Assumptions!$C7,'TRA balance'!$D$5:$D$40,Assumptions!$B7)*ED7*AM7,"")</f>
        <v>16.447008030984</v>
      </c>
      <c r="CJ7" s="40">
        <f ca="1">IFERROR(SUMIFS('TRA balance'!AK$5:AK$40,'TRA balance'!$C$5:$C$40,Assumptions!$C7,'TRA balance'!$D$5:$D$40,Assumptions!$B7)*EE7*AN7,"")</f>
        <v>162.262309159296</v>
      </c>
      <c r="CK7" s="40">
        <f ca="1">IFERROR(SUMIFS('TRA balance'!AL$5:AL$40,'TRA balance'!$C$5:$C$40,Assumptions!$C7,'TRA balance'!$D$5:$D$40,Assumptions!$B7)*EF7*AO7,"")</f>
        <v>4.6357572565998</v>
      </c>
      <c r="CL7" s="40">
        <f ca="1">IFERROR(SUMIFS('TRA balance'!AM$5:AM$40,'TRA balance'!$C$5:$C$40,Assumptions!$C7,'TRA balance'!$D$5:$D$40,Assumptions!$B7)*EG7*AP7,"")</f>
        <v>19.147501190412</v>
      </c>
      <c r="CM7" s="40">
        <f ca="1">IFERROR(SUMIFS('TRA balance'!AN$5:AN$40,'TRA balance'!$C$5:$C$40,Assumptions!$C7,'TRA balance'!$D$5:$D$40,Assumptions!$B7)*EH7*AQ7,"")</f>
        <v>0</v>
      </c>
      <c r="CN7" s="40">
        <f ca="1">IFERROR(SUMIFS('TRA balance'!AO$5:AO$40,'TRA balance'!$C$5:$C$40,Assumptions!$C7,'TRA balance'!$D$5:$D$40,Assumptions!$B7)*EI7*AR7,"")</f>
        <v>0</v>
      </c>
      <c r="CO7" s="40">
        <f ca="1">IFERROR(SUMIFS('TRA balance'!AP$5:AP$40,'TRA balance'!$C$5:$C$40,Assumptions!$C7,'TRA balance'!$D$5:$D$40,Assumptions!$B7)*EJ7*AS7,"")</f>
        <v>0</v>
      </c>
      <c r="CP7" s="40">
        <f ca="1">IFERROR(SUMIFS('TRA balance'!AQ$5:AQ$40,'TRA balance'!$C$5:$C$40,Assumptions!$C7,'TRA balance'!$D$5:$D$40,Assumptions!$B7)*EK7*AT7,"")</f>
        <v>0</v>
      </c>
      <c r="CQ7" s="40">
        <f ca="1">IFERROR(SUMIFS('TRA balance'!AR$5:AR$40,'TRA balance'!$C$5:$C$40,Assumptions!$C7,'TRA balance'!$D$5:$D$40,Assumptions!$B7)*EL7*AU7,"")</f>
        <v>0</v>
      </c>
      <c r="CR7" s="40">
        <f ca="1">IFERROR(SUMIFS('TRA balance'!AS$5:AS$40,'TRA balance'!$C$5:$C$40,Assumptions!$C7,'TRA balance'!$D$5:$D$40,Assumptions!$B7)*EM7*AV7,"")</f>
        <v>0</v>
      </c>
      <c r="CS7" s="40">
        <f ca="1">IFERROR(SUMIFS('TRA balance'!AT$5:AT$40,'TRA balance'!$C$5:$C$40,Assumptions!$C7,'TRA balance'!$D$5:$D$40,Assumptions!$B7)*EN7*AW7,"")</f>
        <v>0</v>
      </c>
      <c r="CT7" s="40">
        <f ca="1">IFERROR(SUMIFS('TRA balance'!AU$5:AU$40,'TRA balance'!$C$5:$C$40,Assumptions!$C7,'TRA balance'!$D$5:$D$40,Assumptions!$B7)*EO7*AX7,"")</f>
        <v>0</v>
      </c>
      <c r="CU7" s="40">
        <f ca="1">IFERROR(SUMIFS('TRA balance'!AV$5:AV$40,'TRA balance'!$C$5:$C$40,Assumptions!$C7,'TRA balance'!$D$5:$D$40,Assumptions!$B7)*EP7*AY7,"")</f>
        <v>0</v>
      </c>
      <c r="CV7" s="40">
        <f ca="1">IFERROR(SUMIFS('TRA balance'!AW$5:AW$40,'TRA balance'!$C$5:$C$40,Assumptions!$C7,'TRA balance'!$D$5:$D$40,Assumptions!$B7)*EQ7*AZ7,"")</f>
        <v>0</v>
      </c>
      <c r="CW7" s="40">
        <f ca="1">IFERROR(SUMIFS('TRA balance'!AX$5:AX$40,'TRA balance'!$C$5:$C$40,Assumptions!$C7,'TRA balance'!$D$5:$D$40,Assumptions!$B7)*ER7*BA7,"")</f>
        <v>0</v>
      </c>
      <c r="CY7" s="39">
        <f ca="1" t="shared" si="2"/>
        <v>0.1</v>
      </c>
      <c r="CZ7" s="39">
        <f ca="1" t="shared" si="3"/>
        <v>0.1</v>
      </c>
      <c r="DA7" s="39">
        <f ca="1" t="shared" si="4"/>
        <v>0.02</v>
      </c>
      <c r="DB7" s="39">
        <f ca="1" t="shared" si="5"/>
        <v>0.2</v>
      </c>
      <c r="DC7" s="39">
        <f ca="1" t="shared" si="6"/>
        <v>0.05</v>
      </c>
      <c r="DD7" s="39">
        <f ca="1" t="shared" si="7"/>
        <v>0.2</v>
      </c>
      <c r="DE7" s="39">
        <f ca="1" t="shared" si="8"/>
        <v>0.07</v>
      </c>
      <c r="DF7" s="39">
        <f ca="1" t="shared" si="9"/>
        <v>0.1</v>
      </c>
      <c r="DG7" s="39">
        <f ca="1" t="shared" si="10"/>
        <v>0.2</v>
      </c>
      <c r="DH7" s="39">
        <f ca="1" t="shared" si="11"/>
        <v>0.2</v>
      </c>
      <c r="DI7" s="39">
        <f ca="1" t="shared" si="12"/>
        <v>0.2</v>
      </c>
      <c r="DJ7" s="39">
        <f ca="1" t="shared" si="13"/>
        <v>0.2</v>
      </c>
      <c r="DK7" s="39">
        <f ca="1" t="shared" si="14"/>
        <v>0.2</v>
      </c>
      <c r="DL7" s="39">
        <f ca="1" t="shared" si="15"/>
        <v>0.2</v>
      </c>
      <c r="DM7" s="39">
        <f ca="1" t="shared" si="16"/>
        <v>0.2</v>
      </c>
      <c r="DN7" s="39">
        <f ca="1" t="shared" si="17"/>
        <v>0.25</v>
      </c>
      <c r="DO7" s="39">
        <f ca="1" t="shared" si="18"/>
        <v>0.2</v>
      </c>
      <c r="DP7" s="39">
        <f ca="1" t="shared" si="19"/>
        <v>0.2</v>
      </c>
      <c r="DQ7" s="39">
        <f ca="1" t="shared" si="20"/>
        <v>0.05</v>
      </c>
      <c r="DR7" s="39">
        <f ca="1" t="shared" si="21"/>
        <v>0.07</v>
      </c>
      <c r="DS7" s="39">
        <f ca="1" t="shared" si="22"/>
        <v>0.1</v>
      </c>
      <c r="DT7" s="39">
        <f ca="1" t="shared" si="23"/>
        <v>0.0244064218226165</v>
      </c>
      <c r="DU7" s="39">
        <f ca="1" t="shared" si="24"/>
        <v>0.2</v>
      </c>
      <c r="DV7" s="39">
        <f ca="1" t="shared" si="25"/>
        <v>0.2</v>
      </c>
      <c r="DW7" s="39">
        <f ca="1" t="shared" si="26"/>
        <v>0.08</v>
      </c>
      <c r="DX7" s="39">
        <f ca="1" t="shared" si="27"/>
        <v>0.05</v>
      </c>
      <c r="DY7" s="39">
        <f ca="1" t="shared" si="28"/>
        <v>0.1</v>
      </c>
      <c r="DZ7" s="39">
        <f ca="1" t="shared" si="29"/>
        <v>0.1</v>
      </c>
      <c r="EA7" s="39">
        <f ca="1" t="shared" si="30"/>
        <v>0.2</v>
      </c>
      <c r="EB7" s="39">
        <f ca="1" t="shared" si="31"/>
        <v>0.2</v>
      </c>
      <c r="EC7" s="39">
        <f ca="1" t="shared" si="32"/>
        <v>0.2</v>
      </c>
      <c r="ED7" s="39">
        <f ca="1" t="shared" si="33"/>
        <v>0.1</v>
      </c>
      <c r="EE7" s="39">
        <f ca="1" t="shared" si="34"/>
        <v>0.2</v>
      </c>
      <c r="EF7" s="39">
        <f ca="1" t="shared" si="35"/>
        <v>0.05</v>
      </c>
      <c r="EG7" s="39">
        <f ca="1" t="shared" si="36"/>
        <v>0.2</v>
      </c>
      <c r="EH7" s="39">
        <f ca="1" t="shared" si="37"/>
        <v>0.0244064218226165</v>
      </c>
      <c r="EI7" s="39">
        <f ca="1" t="shared" si="38"/>
        <v>0.0244064218226165</v>
      </c>
      <c r="EJ7" s="39">
        <f ca="1" t="shared" si="39"/>
        <v>0.0244064218226165</v>
      </c>
      <c r="EK7" s="39">
        <f ca="1" t="shared" si="40"/>
        <v>0.0244064218226165</v>
      </c>
      <c r="EL7" s="39">
        <f ca="1" t="shared" si="41"/>
        <v>0.0244064218226165</v>
      </c>
      <c r="EM7" s="39">
        <f ca="1" t="shared" si="42"/>
        <v>0.0244064218226165</v>
      </c>
      <c r="EN7" s="39">
        <f ca="1" t="shared" si="43"/>
        <v>0.0244064218226165</v>
      </c>
      <c r="EO7" s="39">
        <f ca="1" t="shared" si="44"/>
        <v>0.0244064218226165</v>
      </c>
      <c r="EP7" s="39">
        <f ca="1" t="shared" si="45"/>
        <v>0.0244064218226165</v>
      </c>
      <c r="EQ7" s="39">
        <f ca="1" t="shared" si="46"/>
        <v>0.0244064218226165</v>
      </c>
      <c r="ER7" s="39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4" t="str">
        <f t="shared" si="48"/>
        <v>TR</v>
      </c>
      <c r="D8" s="55" t="s">
        <v>200</v>
      </c>
      <c r="E8" s="66" t="s">
        <v>204</v>
      </c>
      <c r="F8" s="56" t="str">
        <f t="shared" ref="F8:F13" si="52">F7</f>
        <v>Diesel</v>
      </c>
      <c r="G8" s="54" t="s">
        <v>205</v>
      </c>
      <c r="H8" s="57">
        <f ca="1">OFFSET(TIAM15_assumptions!$G8,0,MATCH(VLOOKUP(Assumptions!H$2,TIAM15_assumptions!$Y$3:$Z$87,2,FALSE),TIAM15_assumptions!$H$2:$V$2,0))</f>
        <v>0.5</v>
      </c>
      <c r="I8" s="57">
        <f ca="1">OFFSET(TIAM15_assumptions!$G8,0,MATCH(VLOOKUP(Assumptions!I$2,TIAM15_assumptions!$Y$3:$Z$87,2,FALSE),TIAM15_assumptions!$H$2:$V$2,0))</f>
        <v>0.5</v>
      </c>
      <c r="J8" s="57">
        <f ca="1">OFFSET(TIAM15_assumptions!$G8,0,MATCH(VLOOKUP(Assumptions!J$2,TIAM15_assumptions!$Y$3:$Z$87,2,FALSE),TIAM15_assumptions!$H$2:$V$2,0))</f>
        <v>0.7</v>
      </c>
      <c r="K8" s="57">
        <f ca="1">OFFSET(TIAM15_assumptions!$G8,0,MATCH(VLOOKUP(Assumptions!K$2,TIAM15_assumptions!$Y$3:$Z$87,2,FALSE),TIAM15_assumptions!$H$2:$V$2,0))</f>
        <v>0.2</v>
      </c>
      <c r="L8" s="57">
        <f ca="1">OFFSET(TIAM15_assumptions!$G8,0,MATCH(VLOOKUP(Assumptions!L$2,TIAM15_assumptions!$Y$3:$Z$87,2,FALSE),TIAM15_assumptions!$H$2:$V$2,0))</f>
        <v>0.49</v>
      </c>
      <c r="M8" s="57">
        <f ca="1">OFFSET(TIAM15_assumptions!$G8,0,MATCH(VLOOKUP(Assumptions!M$2,TIAM15_assumptions!$Y$3:$Z$87,2,FALSE),TIAM15_assumptions!$H$2:$V$2,0))</f>
        <v>0.2</v>
      </c>
      <c r="N8" s="57">
        <f ca="1">OFFSET(TIAM15_assumptions!$G8,0,MATCH(VLOOKUP(Assumptions!N$2,TIAM15_assumptions!$Y$3:$Z$87,2,FALSE),TIAM15_assumptions!$H$2:$V$2,0))</f>
        <v>0.69</v>
      </c>
      <c r="O8" s="57">
        <f ca="1">OFFSET(TIAM15_assumptions!$G8,0,MATCH(VLOOKUP(Assumptions!O$2,TIAM15_assumptions!$Y$3:$Z$87,2,FALSE),TIAM15_assumptions!$H$2:$V$2,0))</f>
        <v>0.2</v>
      </c>
      <c r="P8" s="57">
        <f ca="1">OFFSET(TIAM15_assumptions!$G8,0,MATCH(VLOOKUP(Assumptions!P$2,TIAM15_assumptions!$Y$3:$Z$87,2,FALSE),TIAM15_assumptions!$H$2:$V$2,0))</f>
        <v>0.49</v>
      </c>
      <c r="Q8" s="57">
        <f ca="1">OFFSET(TIAM15_assumptions!$G8,0,MATCH(VLOOKUP(Assumptions!Q$2,TIAM15_assumptions!$Y$3:$Z$87,2,FALSE),TIAM15_assumptions!$H$2:$V$2,0))</f>
        <v>0.49</v>
      </c>
      <c r="R8" s="57">
        <f ca="1">OFFSET(TIAM15_assumptions!$G8,0,MATCH(VLOOKUP(Assumptions!R$2,TIAM15_assumptions!$Y$3:$Z$87,2,FALSE),TIAM15_assumptions!$H$2:$V$2,0))</f>
        <v>0.2</v>
      </c>
      <c r="S8" s="57">
        <f ca="1">OFFSET(TIAM15_assumptions!$G8,0,MATCH(VLOOKUP(Assumptions!S$2,TIAM15_assumptions!$Y$3:$Z$87,2,FALSE),TIAM15_assumptions!$H$2:$V$2,0))</f>
        <v>0.2</v>
      </c>
      <c r="T8" s="57">
        <f ca="1">OFFSET(TIAM15_assumptions!$G8,0,MATCH(VLOOKUP(Assumptions!T$2,TIAM15_assumptions!$Y$3:$Z$87,2,FALSE),TIAM15_assumptions!$H$2:$V$2,0))</f>
        <v>0.2</v>
      </c>
      <c r="U8" s="57">
        <f ca="1">OFFSET(TIAM15_assumptions!$G8,0,MATCH(VLOOKUP(Assumptions!U$2,TIAM15_assumptions!$Y$3:$Z$87,2,FALSE),TIAM15_assumptions!$H$2:$V$2,0))</f>
        <v>0.49</v>
      </c>
      <c r="V8" s="57">
        <f ca="1">OFFSET(TIAM15_assumptions!$G8,0,MATCH(VLOOKUP(Assumptions!V$2,TIAM15_assumptions!$Y$3:$Z$87,2,FALSE),TIAM15_assumptions!$H$2:$V$2,0))</f>
        <v>0.2</v>
      </c>
      <c r="W8" s="57">
        <f ca="1">OFFSET(TIAM15_assumptions!$G8,0,MATCH(VLOOKUP(Assumptions!W$2,TIAM15_assumptions!$Y$3:$Z$87,2,FALSE),TIAM15_assumptions!$H$2:$V$2,0))</f>
        <v>0.35</v>
      </c>
      <c r="X8" s="57">
        <f ca="1">OFFSET(TIAM15_assumptions!$G8,0,MATCH(VLOOKUP(Assumptions!X$2,TIAM15_assumptions!$Y$3:$Z$87,2,FALSE),TIAM15_assumptions!$H$2:$V$2,0))</f>
        <v>0.2</v>
      </c>
      <c r="Y8" s="57">
        <f ca="1">OFFSET(TIAM15_assumptions!$G8,0,MATCH(VLOOKUP(Assumptions!Y$2,TIAM15_assumptions!$Y$3:$Z$87,2,FALSE),TIAM15_assumptions!$H$2:$V$2,0))</f>
        <v>0.2</v>
      </c>
      <c r="Z8" s="57">
        <f ca="1">OFFSET(TIAM15_assumptions!$G8,0,MATCH(VLOOKUP(Assumptions!Z$2,TIAM15_assumptions!$Y$3:$Z$87,2,FALSE),TIAM15_assumptions!$H$2:$V$2,0))</f>
        <v>0.53</v>
      </c>
      <c r="AA8" s="57">
        <f ca="1">OFFSET(TIAM15_assumptions!$G8,0,MATCH(VLOOKUP(Assumptions!AA$2,TIAM15_assumptions!$Y$3:$Z$87,2,FALSE),TIAM15_assumptions!$H$2:$V$2,0))</f>
        <v>0.69</v>
      </c>
      <c r="AB8" s="57">
        <f ca="1">OFFSET(TIAM15_assumptions!$G8,0,MATCH(VLOOKUP(Assumptions!AB$2,TIAM15_assumptions!$Y$3:$Z$87,2,FALSE),TIAM15_assumptions!$H$2:$V$2,0))</f>
        <v>0.8</v>
      </c>
      <c r="AC8" s="57">
        <f ca="1">OFFSET(TIAM15_assumptions!$G8,0,MATCH(VLOOKUP(Assumptions!AC$2,TIAM15_assumptions!$Y$3:$Z$87,2,FALSE),TIAM15_assumptions!$H$2:$V$2,0))</f>
        <v>0.608262897921266</v>
      </c>
      <c r="AD8" s="57">
        <f ca="1">OFFSET(TIAM15_assumptions!$G8,0,MATCH(VLOOKUP(Assumptions!AD$2,TIAM15_assumptions!$Y$3:$Z$87,2,FALSE),TIAM15_assumptions!$H$2:$V$2,0))</f>
        <v>0.2</v>
      </c>
      <c r="AE8" s="57">
        <f ca="1">OFFSET(TIAM15_assumptions!$G8,0,MATCH(VLOOKUP(Assumptions!AE$2,TIAM15_assumptions!$Y$3:$Z$87,2,FALSE),TIAM15_assumptions!$H$2:$V$2,0))</f>
        <v>0.49</v>
      </c>
      <c r="AF8" s="57">
        <f ca="1">OFFSET(TIAM15_assumptions!$G8,0,MATCH(VLOOKUP(Assumptions!AF$2,TIAM15_assumptions!$Y$3:$Z$87,2,FALSE),TIAM15_assumptions!$H$2:$V$2,0))</f>
        <v>0.66</v>
      </c>
      <c r="AG8" s="57">
        <f ca="1">OFFSET(TIAM15_assumptions!$G8,0,MATCH(VLOOKUP(Assumptions!AG$2,TIAM15_assumptions!$Y$3:$Z$87,2,FALSE),TIAM15_assumptions!$H$2:$V$2,0))</f>
        <v>0.49</v>
      </c>
      <c r="AH8" s="57">
        <f ca="1">OFFSET(TIAM15_assumptions!$G8,0,MATCH(VLOOKUP(Assumptions!AH$2,TIAM15_assumptions!$Y$3:$Z$87,2,FALSE),TIAM15_assumptions!$H$2:$V$2,0))</f>
        <v>0.8</v>
      </c>
      <c r="AI8" s="57">
        <f ca="1">OFFSET(TIAM15_assumptions!$G8,0,MATCH(VLOOKUP(Assumptions!AI$2,TIAM15_assumptions!$Y$3:$Z$87,2,FALSE),TIAM15_assumptions!$H$2:$V$2,0))</f>
        <v>0.5</v>
      </c>
      <c r="AJ8" s="57">
        <f ca="1">OFFSET(TIAM15_assumptions!$G8,0,MATCH(VLOOKUP(Assumptions!AJ$2,TIAM15_assumptions!$Y$3:$Z$87,2,FALSE),TIAM15_assumptions!$H$2:$V$2,0))</f>
        <v>0.2</v>
      </c>
      <c r="AK8" s="57">
        <f ca="1">OFFSET(TIAM15_assumptions!$G8,0,MATCH(VLOOKUP(Assumptions!AK$2,TIAM15_assumptions!$Y$3:$Z$87,2,FALSE),TIAM15_assumptions!$H$2:$V$2,0))</f>
        <v>0.2</v>
      </c>
      <c r="AL8" s="57">
        <f ca="1">OFFSET(TIAM15_assumptions!$G8,0,MATCH(VLOOKUP(Assumptions!AL$2,TIAM15_assumptions!$Y$3:$Z$87,2,FALSE),TIAM15_assumptions!$H$2:$V$2,0))</f>
        <v>0.2</v>
      </c>
      <c r="AM8" s="57">
        <f ca="1">OFFSET(TIAM15_assumptions!$G8,0,MATCH(VLOOKUP(Assumptions!AM$2,TIAM15_assumptions!$Y$3:$Z$87,2,FALSE),TIAM15_assumptions!$H$2:$V$2,0))</f>
        <v>0.8</v>
      </c>
      <c r="AN8" s="57">
        <f ca="1">OFFSET(TIAM15_assumptions!$G8,0,MATCH(VLOOKUP(Assumptions!AN$2,TIAM15_assumptions!$Y$3:$Z$87,2,FALSE),TIAM15_assumptions!$H$2:$V$2,0))</f>
        <v>0.2</v>
      </c>
      <c r="AO8" s="57">
        <f ca="1">OFFSET(TIAM15_assumptions!$G8,0,MATCH(VLOOKUP(Assumptions!AO$2,TIAM15_assumptions!$Y$3:$Z$87,2,FALSE),TIAM15_assumptions!$H$2:$V$2,0))</f>
        <v>0.49</v>
      </c>
      <c r="AP8" s="57">
        <f ca="1">OFFSET(TIAM15_assumptions!$G8,0,MATCH(VLOOKUP(Assumptions!AP$2,TIAM15_assumptions!$Y$3:$Z$87,2,FALSE),TIAM15_assumptions!$H$2:$V$2,0))</f>
        <v>0.49</v>
      </c>
      <c r="AQ8" s="57">
        <f ca="1">OFFSET(TIAM15_assumptions!$G8,0,MATCH(VLOOKUP(Assumptions!AQ$2,TIAM15_assumptions!$Y$3:$Z$87,2,FALSE),TIAM15_assumptions!$H$2:$V$2,0))</f>
        <v>0.608262897921266</v>
      </c>
      <c r="AR8" s="57">
        <f ca="1">OFFSET(TIAM15_assumptions!$G8,0,MATCH(VLOOKUP(Assumptions!AR$2,TIAM15_assumptions!$Y$3:$Z$87,2,FALSE),TIAM15_assumptions!$H$2:$V$2,0))</f>
        <v>0.608262897921266</v>
      </c>
      <c r="AS8" s="57">
        <f ca="1">OFFSET(TIAM15_assumptions!$G8,0,MATCH(VLOOKUP(Assumptions!AS$2,TIAM15_assumptions!$Y$3:$Z$87,2,FALSE),TIAM15_assumptions!$H$2:$V$2,0))</f>
        <v>0.608262897921266</v>
      </c>
      <c r="AT8" s="57">
        <f ca="1">OFFSET(TIAM15_assumptions!$G8,0,MATCH(VLOOKUP(Assumptions!AT$2,TIAM15_assumptions!$Y$3:$Z$87,2,FALSE),TIAM15_assumptions!$H$2:$V$2,0))</f>
        <v>0.608262897921266</v>
      </c>
      <c r="AU8" s="57">
        <f ca="1">OFFSET(TIAM15_assumptions!$G8,0,MATCH(VLOOKUP(Assumptions!AU$2,TIAM15_assumptions!$Y$3:$Z$87,2,FALSE),TIAM15_assumptions!$H$2:$V$2,0))</f>
        <v>0.608262897921266</v>
      </c>
      <c r="AV8" s="57">
        <f ca="1">OFFSET(TIAM15_assumptions!$G8,0,MATCH(VLOOKUP(Assumptions!AV$2,TIAM15_assumptions!$Y$3:$Z$87,2,FALSE),TIAM15_assumptions!$H$2:$V$2,0))</f>
        <v>0.608262897921266</v>
      </c>
      <c r="AW8" s="57">
        <f ca="1">OFFSET(TIAM15_assumptions!$G8,0,MATCH(VLOOKUP(Assumptions!AW$2,TIAM15_assumptions!$Y$3:$Z$87,2,FALSE),TIAM15_assumptions!$H$2:$V$2,0))</f>
        <v>0.608262897921266</v>
      </c>
      <c r="AX8" s="57">
        <f ca="1">OFFSET(TIAM15_assumptions!$G8,0,MATCH(VLOOKUP(Assumptions!AX$2,TIAM15_assumptions!$Y$3:$Z$87,2,FALSE),TIAM15_assumptions!$H$2:$V$2,0))</f>
        <v>0.608262897921266</v>
      </c>
      <c r="AY8" s="57">
        <f ca="1">OFFSET(TIAM15_assumptions!$G8,0,MATCH(VLOOKUP(Assumptions!AY$2,TIAM15_assumptions!$Y$3:$Z$87,2,FALSE),TIAM15_assumptions!$H$2:$V$2,0))</f>
        <v>0.608262897921266</v>
      </c>
      <c r="AZ8" s="57">
        <f ca="1">OFFSET(TIAM15_assumptions!$G8,0,MATCH(VLOOKUP(Assumptions!AZ$2,TIAM15_assumptions!$Y$3:$Z$87,2,FALSE),TIAM15_assumptions!$H$2:$V$2,0))</f>
        <v>0.608262897921266</v>
      </c>
      <c r="BA8" s="57">
        <f ca="1">OFFSET(TIAM15_assumptions!$G8,0,MATCH(VLOOKUP(Assumptions!BA$2,TIAM15_assumptions!$Y$3:$Z$87,2,FALSE),TIAM15_assumptions!$H$2:$V$2,0))</f>
        <v>0.608262897921266</v>
      </c>
      <c r="BD8" s="40">
        <f ca="1">IFERROR(SUMIFS('TRA balance'!E$5:E$40,'TRA balance'!$C$5:$C$40,Assumptions!$C8,'TRA balance'!$D$5:$D$40,Assumptions!$B8)*CY8*H8,"")</f>
        <v>55.6010274303</v>
      </c>
      <c r="BE8" s="40">
        <f ca="1">IFERROR(SUMIFS('TRA balance'!F$5:F$40,'TRA balance'!$C$5:$C$40,Assumptions!$C8,'TRA balance'!$D$5:$D$40,Assumptions!$B8)*CZ8*I8,"")</f>
        <v>49.41138100608</v>
      </c>
      <c r="BF8" s="40">
        <f ca="1">IFERROR(SUMIFS('TRA balance'!G$5:G$40,'TRA balance'!$C$5:$C$40,Assumptions!$C8,'TRA balance'!$D$5:$D$40,Assumptions!$B8)*DA8*J8,"")</f>
        <v>8.0589307548456</v>
      </c>
      <c r="BG8" s="40">
        <f ca="1">IFERROR(SUMIFS('TRA balance'!H$5:H$40,'TRA balance'!$C$5:$C$40,Assumptions!$C8,'TRA balance'!$D$5:$D$40,Assumptions!$B8)*DB8*K8,"")</f>
        <v>10.346021744112</v>
      </c>
      <c r="BH8" s="40">
        <f ca="1">IFERROR(SUMIFS('TRA balance'!I$5:I$40,'TRA balance'!$C$5:$C$40,Assumptions!$C8,'TRA balance'!$D$5:$D$40,Assumptions!$B8)*DC8*L8,"")</f>
        <v>2.971116345393</v>
      </c>
      <c r="BI8" s="40">
        <f ca="1">IFERROR(SUMIFS('TRA balance'!J$5:J$40,'TRA balance'!$C$5:$C$40,Assumptions!$C8,'TRA balance'!$D$5:$D$40,Assumptions!$B8)*DD8*M8,"")</f>
        <v>21.929287268304</v>
      </c>
      <c r="BJ8" s="40">
        <f ca="1">IFERROR(SUMIFS('TRA balance'!K$5:K$40,'TRA balance'!$C$5:$C$40,Assumptions!$C8,'TRA balance'!$D$5:$D$40,Assumptions!$B8)*DE8*N8,"")</f>
        <v>69.3583956446875</v>
      </c>
      <c r="BK8" s="40">
        <f ca="1">IFERROR(SUMIFS('TRA balance'!L$5:L$40,'TRA balance'!$C$5:$C$40,Assumptions!$C8,'TRA balance'!$D$5:$D$40,Assumptions!$B8)*DF8*O8,"")</f>
        <v>77.627432255688</v>
      </c>
      <c r="BL8" s="40">
        <f ca="1">IFERROR(SUMIFS('TRA balance'!M$5:M$40,'TRA balance'!$C$5:$C$40,Assumptions!$C8,'TRA balance'!$D$5:$D$40,Assumptions!$B8)*DG8*P8,"")</f>
        <v>11.808415090332</v>
      </c>
      <c r="BM8" s="40">
        <f ca="1">IFERROR(SUMIFS('TRA balance'!N$5:N$40,'TRA balance'!$C$5:$C$40,Assumptions!$C8,'TRA balance'!$D$5:$D$40,Assumptions!$B8)*DH8*Q8,"")</f>
        <v>25.3034627487264</v>
      </c>
      <c r="BN8" s="40">
        <f ca="1">IFERROR(SUMIFS('TRA balance'!O$5:O$40,'TRA balance'!$C$5:$C$40,Assumptions!$C8,'TRA balance'!$D$5:$D$40,Assumptions!$B8)*DI8*R8,"")</f>
        <v>51.456004953552</v>
      </c>
      <c r="BO8" s="40">
        <f ca="1">IFERROR(SUMIFS('TRA balance'!P$5:P$40,'TRA balance'!$C$5:$C$40,Assumptions!$C8,'TRA balance'!$D$5:$D$40,Assumptions!$B8)*DJ8*S8,"")</f>
        <v>55.5708479292</v>
      </c>
      <c r="BP8" s="40">
        <f ca="1">IFERROR(SUMIFS('TRA balance'!Q$5:Q$40,'TRA balance'!$C$5:$C$40,Assumptions!$C8,'TRA balance'!$D$5:$D$40,Assumptions!$B8)*DK8*T8,"")</f>
        <v>4.493910321072</v>
      </c>
      <c r="BQ8" s="40">
        <f ca="1">IFERROR(SUMIFS('TRA balance'!R$5:R$40,'TRA balance'!$C$5:$C$40,Assumptions!$C8,'TRA balance'!$D$5:$D$40,Assumptions!$B8)*DL8*U8,"")</f>
        <v>39.4786605553704</v>
      </c>
      <c r="BR8" s="40">
        <f ca="1">IFERROR(SUMIFS('TRA balance'!S$5:S$40,'TRA balance'!$C$5:$C$40,Assumptions!$C8,'TRA balance'!$D$5:$D$40,Assumptions!$B8)*DM8*V8,"")</f>
        <v>0.308183816592</v>
      </c>
      <c r="BS8" s="40">
        <f ca="1">IFERROR(SUMIFS('TRA balance'!T$5:T$40,'TRA balance'!$C$5:$C$40,Assumptions!$C8,'TRA balance'!$D$5:$D$40,Assumptions!$B8)*DN8*W8,"")</f>
        <v>212.945155561215</v>
      </c>
      <c r="BT8" s="40">
        <f ca="1">IFERROR(SUMIFS('TRA balance'!U$5:U$40,'TRA balance'!$C$5:$C$40,Assumptions!$C8,'TRA balance'!$D$5:$D$40,Assumptions!$B8)*DO8*X8,"")</f>
        <v>4.93378540992</v>
      </c>
      <c r="BU8" s="40">
        <f ca="1">IFERROR(SUMIFS('TRA balance'!V$5:V$40,'TRA balance'!$C$5:$C$40,Assumptions!$C8,'TRA balance'!$D$5:$D$40,Assumptions!$B8)*DP8*Y8,"")</f>
        <v>36.001799325072</v>
      </c>
      <c r="BV8" s="40">
        <f ca="1">IFERROR(SUMIFS('TRA balance'!W$5:W$40,'TRA balance'!$C$5:$C$40,Assumptions!$C8,'TRA balance'!$D$5:$D$40,Assumptions!$B8)*DQ8*Z8,"")</f>
        <v>24.2016810718554</v>
      </c>
      <c r="BW8" s="40">
        <f ca="1">IFERROR(SUMIFS('TRA balance'!X$5:X$40,'TRA balance'!$C$5:$C$40,Assumptions!$C8,'TRA balance'!$D$5:$D$40,Assumptions!$B8)*DR8*AA8,"")</f>
        <v>71.2119713830661</v>
      </c>
      <c r="BX8" s="40">
        <f ca="1">IFERROR(SUMIFS('TRA balance'!Y$5:Y$40,'TRA balance'!$C$5:$C$40,Assumptions!$C8,'TRA balance'!$D$5:$D$40,Assumptions!$B8)*DS8*AB8,"")</f>
        <v>119.821274236224</v>
      </c>
      <c r="BY8" s="40">
        <f ca="1">IFERROR(SUMIFS('TRA balance'!Z$5:Z$40,'TRA balance'!$C$5:$C$40,Assumptions!$C8,'TRA balance'!$D$5:$D$40,Assumptions!$B8)*DT8*AC8,"")</f>
        <v>93.5289506867476</v>
      </c>
      <c r="BZ8" s="40">
        <f ca="1">IFERROR(SUMIFS('TRA balance'!AA$5:AA$40,'TRA balance'!$C$5:$C$40,Assumptions!$C8,'TRA balance'!$D$5:$D$40,Assumptions!$B8)*DU8*AD8,"")</f>
        <v>3.54400645752</v>
      </c>
      <c r="CA8" s="40">
        <f ca="1">IFERROR(SUMIFS('TRA balance'!AB$5:AB$40,'TRA balance'!$C$5:$C$40,Assumptions!$C8,'TRA balance'!$D$5:$D$40,Assumptions!$B8)*DV8*AE8,"")</f>
        <v>58.0942249957944</v>
      </c>
      <c r="CB8" s="40">
        <f ca="1">IFERROR(SUMIFS('TRA balance'!AC$5:AC$40,'TRA balance'!$C$5:$C$40,Assumptions!$C8,'TRA balance'!$D$5:$D$40,Assumptions!$B8)*DW8*AF8,"")</f>
        <v>212.01160874275</v>
      </c>
      <c r="CC8" s="40">
        <f ca="1">IFERROR(SUMIFS('TRA balance'!AD$5:AD$40,'TRA balance'!$C$5:$C$40,Assumptions!$C8,'TRA balance'!$D$5:$D$40,Assumptions!$B8)*DX8*AG8,"")</f>
        <v>17.182573441488</v>
      </c>
      <c r="CD8" s="40">
        <f ca="1">IFERROR(SUMIFS('TRA balance'!AE$5:AE$40,'TRA balance'!$C$5:$C$40,Assumptions!$C8,'TRA balance'!$D$5:$D$40,Assumptions!$B8)*DY8*AH8,"")</f>
        <v>68.14389792672</v>
      </c>
      <c r="CE8" s="40">
        <f ca="1">IFERROR(SUMIFS('TRA balance'!AF$5:AF$40,'TRA balance'!$C$5:$C$40,Assumptions!$C8,'TRA balance'!$D$5:$D$40,Assumptions!$B8)*DZ8*AI8,"")</f>
        <v>17.35640954496</v>
      </c>
      <c r="CF8" s="40">
        <f ca="1">IFERROR(SUMIFS('TRA balance'!AG$5:AG$40,'TRA balance'!$C$5:$C$40,Assumptions!$C8,'TRA balance'!$D$5:$D$40,Assumptions!$B8)*EA8*AJ8,"")</f>
        <v>42.96729206952</v>
      </c>
      <c r="CG8" s="40">
        <f ca="1">IFERROR(SUMIFS('TRA balance'!AH$5:AH$40,'TRA balance'!$C$5:$C$40,Assumptions!$C8,'TRA balance'!$D$5:$D$40,Assumptions!$B8)*EB8*AK8,"")</f>
        <v>12.898516589568</v>
      </c>
      <c r="CH8" s="40">
        <f ca="1">IFERROR(SUMIFS('TRA balance'!AI$5:AI$40,'TRA balance'!$C$5:$C$40,Assumptions!$C8,'TRA balance'!$D$5:$D$40,Assumptions!$B8)*EC8*AL8,"")</f>
        <v>4.55260741488</v>
      </c>
      <c r="CI8" s="40">
        <f ca="1">IFERROR(SUMIFS('TRA balance'!AJ$5:AJ$40,'TRA balance'!$C$5:$C$40,Assumptions!$C8,'TRA balance'!$D$5:$D$40,Assumptions!$B8)*ED8*AM8,"")</f>
        <v>65.788032123936</v>
      </c>
      <c r="CJ8" s="40">
        <f ca="1">IFERROR(SUMIFS('TRA balance'!AK$5:AK$40,'TRA balance'!$C$5:$C$40,Assumptions!$C8,'TRA balance'!$D$5:$D$40,Assumptions!$B8)*EE8*AN8,"")</f>
        <v>40.565577289824</v>
      </c>
      <c r="CK8" s="40">
        <f ca="1">IFERROR(SUMIFS('TRA balance'!AL$5:AL$40,'TRA balance'!$C$5:$C$40,Assumptions!$C8,'TRA balance'!$D$5:$D$40,Assumptions!$B8)*EF8*AO8,"")</f>
        <v>4.4539628543802</v>
      </c>
      <c r="CL8" s="40">
        <f ca="1">IFERROR(SUMIFS('TRA balance'!AM$5:AM$40,'TRA balance'!$C$5:$C$40,Assumptions!$C8,'TRA balance'!$D$5:$D$40,Assumptions!$B8)*EG8*AP8,"")</f>
        <v>18.396618790788</v>
      </c>
      <c r="CM8" s="40">
        <f ca="1">IFERROR(SUMIFS('TRA balance'!AN$5:AN$40,'TRA balance'!$C$5:$C$40,Assumptions!$C8,'TRA balance'!$D$5:$D$40,Assumptions!$B8)*EH8*AQ8,"")</f>
        <v>0</v>
      </c>
      <c r="CN8" s="40">
        <f ca="1">IFERROR(SUMIFS('TRA balance'!AO$5:AO$40,'TRA balance'!$C$5:$C$40,Assumptions!$C8,'TRA balance'!$D$5:$D$40,Assumptions!$B8)*EI8*AR8,"")</f>
        <v>0</v>
      </c>
      <c r="CO8" s="40">
        <f ca="1">IFERROR(SUMIFS('TRA balance'!AP$5:AP$40,'TRA balance'!$C$5:$C$40,Assumptions!$C8,'TRA balance'!$D$5:$D$40,Assumptions!$B8)*EJ8*AS8,"")</f>
        <v>0</v>
      </c>
      <c r="CP8" s="40">
        <f ca="1">IFERROR(SUMIFS('TRA balance'!AQ$5:AQ$40,'TRA balance'!$C$5:$C$40,Assumptions!$C8,'TRA balance'!$D$5:$D$40,Assumptions!$B8)*EK8*AT8,"")</f>
        <v>0</v>
      </c>
      <c r="CQ8" s="40">
        <f ca="1">IFERROR(SUMIFS('TRA balance'!AR$5:AR$40,'TRA balance'!$C$5:$C$40,Assumptions!$C8,'TRA balance'!$D$5:$D$40,Assumptions!$B8)*EL8*AU8,"")</f>
        <v>0</v>
      </c>
      <c r="CR8" s="40">
        <f ca="1">IFERROR(SUMIFS('TRA balance'!AS$5:AS$40,'TRA balance'!$C$5:$C$40,Assumptions!$C8,'TRA balance'!$D$5:$D$40,Assumptions!$B8)*EM8*AV8,"")</f>
        <v>0</v>
      </c>
      <c r="CS8" s="40">
        <f ca="1">IFERROR(SUMIFS('TRA balance'!AT$5:AT$40,'TRA balance'!$C$5:$C$40,Assumptions!$C8,'TRA balance'!$D$5:$D$40,Assumptions!$B8)*EN8*AW8,"")</f>
        <v>0</v>
      </c>
      <c r="CT8" s="40">
        <f ca="1">IFERROR(SUMIFS('TRA balance'!AU$5:AU$40,'TRA balance'!$C$5:$C$40,Assumptions!$C8,'TRA balance'!$D$5:$D$40,Assumptions!$B8)*EO8*AX8,"")</f>
        <v>0</v>
      </c>
      <c r="CU8" s="40">
        <f ca="1">IFERROR(SUMIFS('TRA balance'!AV$5:AV$40,'TRA balance'!$C$5:$C$40,Assumptions!$C8,'TRA balance'!$D$5:$D$40,Assumptions!$B8)*EP8*AY8,"")</f>
        <v>0</v>
      </c>
      <c r="CV8" s="40">
        <f ca="1">IFERROR(SUMIFS('TRA balance'!AW$5:AW$40,'TRA balance'!$C$5:$C$40,Assumptions!$C8,'TRA balance'!$D$5:$D$40,Assumptions!$B8)*EQ8*AZ8,"")</f>
        <v>0</v>
      </c>
      <c r="CW8" s="40">
        <f ca="1">IFERROR(SUMIFS('TRA balance'!AX$5:AX$40,'TRA balance'!$C$5:$C$40,Assumptions!$C8,'TRA balance'!$D$5:$D$40,Assumptions!$B8)*ER8*BA8,"")</f>
        <v>0</v>
      </c>
      <c r="CY8" s="39">
        <f ca="1" t="shared" si="2"/>
        <v>0.1</v>
      </c>
      <c r="CZ8" s="39">
        <f ca="1" t="shared" si="3"/>
        <v>0.1</v>
      </c>
      <c r="DA8" s="39">
        <f ca="1" t="shared" si="4"/>
        <v>0.02</v>
      </c>
      <c r="DB8" s="39">
        <f ca="1" t="shared" si="5"/>
        <v>0.2</v>
      </c>
      <c r="DC8" s="39">
        <f ca="1" t="shared" si="6"/>
        <v>0.05</v>
      </c>
      <c r="DD8" s="39">
        <f ca="1" t="shared" si="7"/>
        <v>0.2</v>
      </c>
      <c r="DE8" s="39">
        <f ca="1" t="shared" si="8"/>
        <v>0.07</v>
      </c>
      <c r="DF8" s="39">
        <f ca="1" t="shared" si="9"/>
        <v>0.1</v>
      </c>
      <c r="DG8" s="39">
        <f ca="1" t="shared" si="10"/>
        <v>0.2</v>
      </c>
      <c r="DH8" s="39">
        <f ca="1" t="shared" si="11"/>
        <v>0.2</v>
      </c>
      <c r="DI8" s="39">
        <f ca="1" t="shared" si="12"/>
        <v>0.2</v>
      </c>
      <c r="DJ8" s="39">
        <f ca="1" t="shared" si="13"/>
        <v>0.2</v>
      </c>
      <c r="DK8" s="39">
        <f ca="1" t="shared" si="14"/>
        <v>0.2</v>
      </c>
      <c r="DL8" s="39">
        <f ca="1" t="shared" si="15"/>
        <v>0.2</v>
      </c>
      <c r="DM8" s="39">
        <f ca="1" t="shared" si="16"/>
        <v>0.2</v>
      </c>
      <c r="DN8" s="39">
        <f ca="1" t="shared" si="17"/>
        <v>0.25</v>
      </c>
      <c r="DO8" s="39">
        <f ca="1" t="shared" si="18"/>
        <v>0.2</v>
      </c>
      <c r="DP8" s="39">
        <f ca="1" t="shared" si="19"/>
        <v>0.2</v>
      </c>
      <c r="DQ8" s="39">
        <f ca="1" t="shared" si="20"/>
        <v>0.05</v>
      </c>
      <c r="DR8" s="39">
        <f ca="1" t="shared" si="21"/>
        <v>0.07</v>
      </c>
      <c r="DS8" s="39">
        <f ca="1" t="shared" si="22"/>
        <v>0.1</v>
      </c>
      <c r="DT8" s="39">
        <f ca="1" t="shared" si="23"/>
        <v>0.0244064218226165</v>
      </c>
      <c r="DU8" s="39">
        <f ca="1" t="shared" si="24"/>
        <v>0.2</v>
      </c>
      <c r="DV8" s="39">
        <f ca="1" t="shared" si="25"/>
        <v>0.2</v>
      </c>
      <c r="DW8" s="39">
        <f ca="1" t="shared" si="26"/>
        <v>0.08</v>
      </c>
      <c r="DX8" s="39">
        <f ca="1" t="shared" si="27"/>
        <v>0.05</v>
      </c>
      <c r="DY8" s="39">
        <f ca="1" t="shared" si="28"/>
        <v>0.1</v>
      </c>
      <c r="DZ8" s="39">
        <f ca="1" t="shared" si="29"/>
        <v>0.1</v>
      </c>
      <c r="EA8" s="39">
        <f ca="1" t="shared" si="30"/>
        <v>0.2</v>
      </c>
      <c r="EB8" s="39">
        <f ca="1" t="shared" si="31"/>
        <v>0.2</v>
      </c>
      <c r="EC8" s="39">
        <f ca="1" t="shared" si="32"/>
        <v>0.2</v>
      </c>
      <c r="ED8" s="39">
        <f ca="1" t="shared" si="33"/>
        <v>0.1</v>
      </c>
      <c r="EE8" s="39">
        <f ca="1" t="shared" si="34"/>
        <v>0.2</v>
      </c>
      <c r="EF8" s="39">
        <f ca="1" t="shared" si="35"/>
        <v>0.05</v>
      </c>
      <c r="EG8" s="39">
        <f ca="1" t="shared" si="36"/>
        <v>0.2</v>
      </c>
      <c r="EH8" s="39">
        <f ca="1" t="shared" si="37"/>
        <v>0.0244064218226165</v>
      </c>
      <c r="EI8" s="39">
        <f ca="1" t="shared" si="38"/>
        <v>0.0244064218226165</v>
      </c>
      <c r="EJ8" s="39">
        <f ca="1" t="shared" si="39"/>
        <v>0.0244064218226165</v>
      </c>
      <c r="EK8" s="39">
        <f ca="1" t="shared" si="40"/>
        <v>0.0244064218226165</v>
      </c>
      <c r="EL8" s="39">
        <f ca="1" t="shared" si="41"/>
        <v>0.0244064218226165</v>
      </c>
      <c r="EM8" s="39">
        <f ca="1" t="shared" si="42"/>
        <v>0.0244064218226165</v>
      </c>
      <c r="EN8" s="39">
        <f ca="1" t="shared" si="43"/>
        <v>0.0244064218226165</v>
      </c>
      <c r="EO8" s="39">
        <f ca="1" t="shared" si="44"/>
        <v>0.0244064218226165</v>
      </c>
      <c r="EP8" s="39">
        <f ca="1" t="shared" si="45"/>
        <v>0.0244064218226165</v>
      </c>
      <c r="EQ8" s="39">
        <f ca="1" t="shared" si="46"/>
        <v>0.0244064218226165</v>
      </c>
      <c r="ER8" s="39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4" t="str">
        <f t="shared" si="48"/>
        <v>TR</v>
      </c>
      <c r="D9" s="55" t="s">
        <v>200</v>
      </c>
      <c r="E9" s="66" t="s">
        <v>206</v>
      </c>
      <c r="F9" s="56" t="str">
        <f t="shared" si="52"/>
        <v>Diesel</v>
      </c>
      <c r="G9" s="54" t="s">
        <v>207</v>
      </c>
      <c r="H9" s="57">
        <f ca="1">OFFSET(TIAM15_assumptions!$G9,0,MATCH(VLOOKUP(Assumptions!H$2,TIAM15_assumptions!$Y$3:$Z$87,2,FALSE),TIAM15_assumptions!$H$2:$V$2,0))</f>
        <v>0</v>
      </c>
      <c r="I9" s="57">
        <f ca="1">OFFSET(TIAM15_assumptions!$G9,0,MATCH(VLOOKUP(Assumptions!I$2,TIAM15_assumptions!$Y$3:$Z$87,2,FALSE),TIAM15_assumptions!$H$2:$V$2,0))</f>
        <v>0</v>
      </c>
      <c r="J9" s="57">
        <f ca="1">OFFSET(TIAM15_assumptions!$G9,0,MATCH(VLOOKUP(Assumptions!J$2,TIAM15_assumptions!$Y$3:$Z$87,2,FALSE),TIAM15_assumptions!$H$2:$V$2,0))</f>
        <v>0</v>
      </c>
      <c r="K9" s="57">
        <f ca="1">OFFSET(TIAM15_assumptions!$G9,0,MATCH(VLOOKUP(Assumptions!K$2,TIAM15_assumptions!$Y$3:$Z$87,2,FALSE),TIAM15_assumptions!$H$2:$V$2,0))</f>
        <v>0</v>
      </c>
      <c r="L9" s="57">
        <f ca="1">OFFSET(TIAM15_assumptions!$G9,0,MATCH(VLOOKUP(Assumptions!L$2,TIAM15_assumptions!$Y$3:$Z$87,2,FALSE),TIAM15_assumptions!$H$2:$V$2,0))</f>
        <v>0</v>
      </c>
      <c r="M9" s="57">
        <f ca="1">OFFSET(TIAM15_assumptions!$G9,0,MATCH(VLOOKUP(Assumptions!M$2,TIAM15_assumptions!$Y$3:$Z$87,2,FALSE),TIAM15_assumptions!$H$2:$V$2,0))</f>
        <v>0</v>
      </c>
      <c r="N9" s="57">
        <f ca="1">OFFSET(TIAM15_assumptions!$G9,0,MATCH(VLOOKUP(Assumptions!N$2,TIAM15_assumptions!$Y$3:$Z$87,2,FALSE),TIAM15_assumptions!$H$2:$V$2,0))</f>
        <v>0.01</v>
      </c>
      <c r="O9" s="57">
        <f ca="1">OFFSET(TIAM15_assumptions!$G9,0,MATCH(VLOOKUP(Assumptions!O$2,TIAM15_assumptions!$Y$3:$Z$87,2,FALSE),TIAM15_assumptions!$H$2:$V$2,0))</f>
        <v>0.6</v>
      </c>
      <c r="P9" s="57">
        <f ca="1">OFFSET(TIAM15_assumptions!$G9,0,MATCH(VLOOKUP(Assumptions!P$2,TIAM15_assumptions!$Y$3:$Z$87,2,FALSE),TIAM15_assumptions!$H$2:$V$2,0))</f>
        <v>0</v>
      </c>
      <c r="Q9" s="57">
        <f ca="1">OFFSET(TIAM15_assumptions!$G9,0,MATCH(VLOOKUP(Assumptions!Q$2,TIAM15_assumptions!$Y$3:$Z$87,2,FALSE),TIAM15_assumptions!$H$2:$V$2,0))</f>
        <v>0</v>
      </c>
      <c r="R9" s="57">
        <f ca="1">OFFSET(TIAM15_assumptions!$G9,0,MATCH(VLOOKUP(Assumptions!R$2,TIAM15_assumptions!$Y$3:$Z$87,2,FALSE),TIAM15_assumptions!$H$2:$V$2,0))</f>
        <v>0</v>
      </c>
      <c r="S9" s="57">
        <f ca="1">OFFSET(TIAM15_assumptions!$G9,0,MATCH(VLOOKUP(Assumptions!S$2,TIAM15_assumptions!$Y$3:$Z$87,2,FALSE),TIAM15_assumptions!$H$2:$V$2,0))</f>
        <v>0</v>
      </c>
      <c r="T9" s="57">
        <f ca="1">OFFSET(TIAM15_assumptions!$G9,0,MATCH(VLOOKUP(Assumptions!T$2,TIAM15_assumptions!$Y$3:$Z$87,2,FALSE),TIAM15_assumptions!$H$2:$V$2,0))</f>
        <v>0</v>
      </c>
      <c r="U9" s="57">
        <f ca="1">OFFSET(TIAM15_assumptions!$G9,0,MATCH(VLOOKUP(Assumptions!U$2,TIAM15_assumptions!$Y$3:$Z$87,2,FALSE),TIAM15_assumptions!$H$2:$V$2,0))</f>
        <v>0</v>
      </c>
      <c r="V9" s="57">
        <f ca="1">OFFSET(TIAM15_assumptions!$G9,0,MATCH(VLOOKUP(Assumptions!V$2,TIAM15_assumptions!$Y$3:$Z$87,2,FALSE),TIAM15_assumptions!$H$2:$V$2,0))</f>
        <v>0</v>
      </c>
      <c r="W9" s="57">
        <f ca="1">OFFSET(TIAM15_assumptions!$G9,0,MATCH(VLOOKUP(Assumptions!W$2,TIAM15_assumptions!$Y$3:$Z$87,2,FALSE),TIAM15_assumptions!$H$2:$V$2,0))</f>
        <v>0.25</v>
      </c>
      <c r="X9" s="57">
        <f ca="1">OFFSET(TIAM15_assumptions!$G9,0,MATCH(VLOOKUP(Assumptions!X$2,TIAM15_assumptions!$Y$3:$Z$87,2,FALSE),TIAM15_assumptions!$H$2:$V$2,0))</f>
        <v>0</v>
      </c>
      <c r="Y9" s="57">
        <f ca="1">OFFSET(TIAM15_assumptions!$G9,0,MATCH(VLOOKUP(Assumptions!Y$2,TIAM15_assumptions!$Y$3:$Z$87,2,FALSE),TIAM15_assumptions!$H$2:$V$2,0))</f>
        <v>0</v>
      </c>
      <c r="Z9" s="57">
        <f ca="1">OFFSET(TIAM15_assumptions!$G9,0,MATCH(VLOOKUP(Assumptions!Z$2,TIAM15_assumptions!$Y$3:$Z$87,2,FALSE),TIAM15_assumptions!$H$2:$V$2,0))</f>
        <v>0.01</v>
      </c>
      <c r="AA9" s="57">
        <f ca="1">OFFSET(TIAM15_assumptions!$G9,0,MATCH(VLOOKUP(Assumptions!AA$2,TIAM15_assumptions!$Y$3:$Z$87,2,FALSE),TIAM15_assumptions!$H$2:$V$2,0))</f>
        <v>0.01</v>
      </c>
      <c r="AB9" s="57">
        <f ca="1">OFFSET(TIAM15_assumptions!$G9,0,MATCH(VLOOKUP(Assumptions!AB$2,TIAM15_assumptions!$Y$3:$Z$87,2,FALSE),TIAM15_assumptions!$H$2:$V$2,0))</f>
        <v>0</v>
      </c>
      <c r="AC9" s="57">
        <f ca="1">OFFSET(TIAM15_assumptions!$G9,0,MATCH(VLOOKUP(Assumptions!AC$2,TIAM15_assumptions!$Y$3:$Z$87,2,FALSE),TIAM15_assumptions!$H$2:$V$2,0))</f>
        <v>0</v>
      </c>
      <c r="AD9" s="57">
        <f ca="1">OFFSET(TIAM15_assumptions!$G9,0,MATCH(VLOOKUP(Assumptions!AD$2,TIAM15_assumptions!$Y$3:$Z$87,2,FALSE),TIAM15_assumptions!$H$2:$V$2,0))</f>
        <v>0</v>
      </c>
      <c r="AE9" s="57">
        <f ca="1">OFFSET(TIAM15_assumptions!$G9,0,MATCH(VLOOKUP(Assumptions!AE$2,TIAM15_assumptions!$Y$3:$Z$87,2,FALSE),TIAM15_assumptions!$H$2:$V$2,0))</f>
        <v>0</v>
      </c>
      <c r="AF9" s="57">
        <f ca="1">OFFSET(TIAM15_assumptions!$G9,0,MATCH(VLOOKUP(Assumptions!AF$2,TIAM15_assumptions!$Y$3:$Z$87,2,FALSE),TIAM15_assumptions!$H$2:$V$2,0))</f>
        <v>0</v>
      </c>
      <c r="AG9" s="57">
        <f ca="1">OFFSET(TIAM15_assumptions!$G9,0,MATCH(VLOOKUP(Assumptions!AG$2,TIAM15_assumptions!$Y$3:$Z$87,2,FALSE),TIAM15_assumptions!$H$2:$V$2,0))</f>
        <v>0</v>
      </c>
      <c r="AH9" s="57">
        <f ca="1">OFFSET(TIAM15_assumptions!$G9,0,MATCH(VLOOKUP(Assumptions!AH$2,TIAM15_assumptions!$Y$3:$Z$87,2,FALSE),TIAM15_assumptions!$H$2:$V$2,0))</f>
        <v>0</v>
      </c>
      <c r="AI9" s="57">
        <f ca="1">OFFSET(TIAM15_assumptions!$G9,0,MATCH(VLOOKUP(Assumptions!AI$2,TIAM15_assumptions!$Y$3:$Z$87,2,FALSE),TIAM15_assumptions!$H$2:$V$2,0))</f>
        <v>0</v>
      </c>
      <c r="AJ9" s="57">
        <f ca="1">OFFSET(TIAM15_assumptions!$G9,0,MATCH(VLOOKUP(Assumptions!AJ$2,TIAM15_assumptions!$Y$3:$Z$87,2,FALSE),TIAM15_assumptions!$H$2:$V$2,0))</f>
        <v>0</v>
      </c>
      <c r="AK9" s="57">
        <f ca="1">OFFSET(TIAM15_assumptions!$G9,0,MATCH(VLOOKUP(Assumptions!AK$2,TIAM15_assumptions!$Y$3:$Z$87,2,FALSE),TIAM15_assumptions!$H$2:$V$2,0))</f>
        <v>0</v>
      </c>
      <c r="AL9" s="57">
        <f ca="1">OFFSET(TIAM15_assumptions!$G9,0,MATCH(VLOOKUP(Assumptions!AL$2,TIAM15_assumptions!$Y$3:$Z$87,2,FALSE),TIAM15_assumptions!$H$2:$V$2,0))</f>
        <v>0</v>
      </c>
      <c r="AM9" s="57">
        <f ca="1">OFFSET(TIAM15_assumptions!$G9,0,MATCH(VLOOKUP(Assumptions!AM$2,TIAM15_assumptions!$Y$3:$Z$87,2,FALSE),TIAM15_assumptions!$H$2:$V$2,0))</f>
        <v>0</v>
      </c>
      <c r="AN9" s="57">
        <f ca="1">OFFSET(TIAM15_assumptions!$G9,0,MATCH(VLOOKUP(Assumptions!AN$2,TIAM15_assumptions!$Y$3:$Z$87,2,FALSE),TIAM15_assumptions!$H$2:$V$2,0))</f>
        <v>0</v>
      </c>
      <c r="AO9" s="57">
        <f ca="1">OFFSET(TIAM15_assumptions!$G9,0,MATCH(VLOOKUP(Assumptions!AO$2,TIAM15_assumptions!$Y$3:$Z$87,2,FALSE),TIAM15_assumptions!$H$2:$V$2,0))</f>
        <v>0</v>
      </c>
      <c r="AP9" s="57">
        <f ca="1">OFFSET(TIAM15_assumptions!$G9,0,MATCH(VLOOKUP(Assumptions!AP$2,TIAM15_assumptions!$Y$3:$Z$87,2,FALSE),TIAM15_assumptions!$H$2:$V$2,0))</f>
        <v>0</v>
      </c>
      <c r="AQ9" s="57">
        <f ca="1">OFFSET(TIAM15_assumptions!$G9,0,MATCH(VLOOKUP(Assumptions!AQ$2,TIAM15_assumptions!$Y$3:$Z$87,2,FALSE),TIAM15_assumptions!$H$2:$V$2,0))</f>
        <v>0</v>
      </c>
      <c r="AR9" s="57">
        <f ca="1">OFFSET(TIAM15_assumptions!$G9,0,MATCH(VLOOKUP(Assumptions!AR$2,TIAM15_assumptions!$Y$3:$Z$87,2,FALSE),TIAM15_assumptions!$H$2:$V$2,0))</f>
        <v>0</v>
      </c>
      <c r="AS9" s="57">
        <f ca="1">OFFSET(TIAM15_assumptions!$G9,0,MATCH(VLOOKUP(Assumptions!AS$2,TIAM15_assumptions!$Y$3:$Z$87,2,FALSE),TIAM15_assumptions!$H$2:$V$2,0))</f>
        <v>0</v>
      </c>
      <c r="AT9" s="57">
        <f ca="1">OFFSET(TIAM15_assumptions!$G9,0,MATCH(VLOOKUP(Assumptions!AT$2,TIAM15_assumptions!$Y$3:$Z$87,2,FALSE),TIAM15_assumptions!$H$2:$V$2,0))</f>
        <v>0</v>
      </c>
      <c r="AU9" s="57">
        <f ca="1">OFFSET(TIAM15_assumptions!$G9,0,MATCH(VLOOKUP(Assumptions!AU$2,TIAM15_assumptions!$Y$3:$Z$87,2,FALSE),TIAM15_assumptions!$H$2:$V$2,0))</f>
        <v>0</v>
      </c>
      <c r="AV9" s="57">
        <f ca="1">OFFSET(TIAM15_assumptions!$G9,0,MATCH(VLOOKUP(Assumptions!AV$2,TIAM15_assumptions!$Y$3:$Z$87,2,FALSE),TIAM15_assumptions!$H$2:$V$2,0))</f>
        <v>0</v>
      </c>
      <c r="AW9" s="57">
        <f ca="1">OFFSET(TIAM15_assumptions!$G9,0,MATCH(VLOOKUP(Assumptions!AW$2,TIAM15_assumptions!$Y$3:$Z$87,2,FALSE),TIAM15_assumptions!$H$2:$V$2,0))</f>
        <v>0</v>
      </c>
      <c r="AX9" s="57">
        <f ca="1">OFFSET(TIAM15_assumptions!$G9,0,MATCH(VLOOKUP(Assumptions!AX$2,TIAM15_assumptions!$Y$3:$Z$87,2,FALSE),TIAM15_assumptions!$H$2:$V$2,0))</f>
        <v>0</v>
      </c>
      <c r="AY9" s="57">
        <f ca="1">OFFSET(TIAM15_assumptions!$G9,0,MATCH(VLOOKUP(Assumptions!AY$2,TIAM15_assumptions!$Y$3:$Z$87,2,FALSE),TIAM15_assumptions!$H$2:$V$2,0))</f>
        <v>0</v>
      </c>
      <c r="AZ9" s="57">
        <f ca="1">OFFSET(TIAM15_assumptions!$G9,0,MATCH(VLOOKUP(Assumptions!AZ$2,TIAM15_assumptions!$Y$3:$Z$87,2,FALSE),TIAM15_assumptions!$H$2:$V$2,0))</f>
        <v>0</v>
      </c>
      <c r="BA9" s="57">
        <f ca="1">OFFSET(TIAM15_assumptions!$G9,0,MATCH(VLOOKUP(Assumptions!BA$2,TIAM15_assumptions!$Y$3:$Z$87,2,FALSE),TIAM15_assumptions!$H$2:$V$2,0))</f>
        <v>0</v>
      </c>
      <c r="BD9" s="40">
        <f ca="1">IFERROR(SUMIFS('TRA balance'!E$5:E$40,'TRA balance'!$C$5:$C$40,Assumptions!$C9,'TRA balance'!$D$5:$D$40,Assumptions!$B9)*CY9*H9,"")</f>
        <v>0</v>
      </c>
      <c r="BE9" s="40">
        <f ca="1">IFERROR(SUMIFS('TRA balance'!F$5:F$40,'TRA balance'!$C$5:$C$40,Assumptions!$C9,'TRA balance'!$D$5:$D$40,Assumptions!$B9)*CZ9*I9,"")</f>
        <v>0</v>
      </c>
      <c r="BF9" s="40">
        <f ca="1">IFERROR(SUMIFS('TRA balance'!G$5:G$40,'TRA balance'!$C$5:$C$40,Assumptions!$C9,'TRA balance'!$D$5:$D$40,Assumptions!$B9)*DA9*J9,"")</f>
        <v>0</v>
      </c>
      <c r="BG9" s="40">
        <f ca="1">IFERROR(SUMIFS('TRA balance'!H$5:H$40,'TRA balance'!$C$5:$C$40,Assumptions!$C9,'TRA balance'!$D$5:$D$40,Assumptions!$B9)*DB9*K9,"")</f>
        <v>0</v>
      </c>
      <c r="BH9" s="40">
        <f ca="1">IFERROR(SUMIFS('TRA balance'!I$5:I$40,'TRA balance'!$C$5:$C$40,Assumptions!$C9,'TRA balance'!$D$5:$D$40,Assumptions!$B9)*DC9*L9,"")</f>
        <v>0</v>
      </c>
      <c r="BI9" s="40">
        <f ca="1">IFERROR(SUMIFS('TRA balance'!J$5:J$40,'TRA balance'!$C$5:$C$40,Assumptions!$C9,'TRA balance'!$D$5:$D$40,Assumptions!$B9)*DD9*M9,"")</f>
        <v>0</v>
      </c>
      <c r="BJ9" s="40">
        <f ca="1">IFERROR(SUMIFS('TRA balance'!K$5:K$40,'TRA balance'!$C$5:$C$40,Assumptions!$C9,'TRA balance'!$D$5:$D$40,Assumptions!$B9)*DE9*N9,"")</f>
        <v>1.00519413977808</v>
      </c>
      <c r="BK9" s="40">
        <f ca="1">IFERROR(SUMIFS('TRA balance'!L$5:L$40,'TRA balance'!$C$5:$C$40,Assumptions!$C9,'TRA balance'!$D$5:$D$40,Assumptions!$B9)*DF9*O9,"")</f>
        <v>232.882296767064</v>
      </c>
      <c r="BL9" s="40">
        <f ca="1">IFERROR(SUMIFS('TRA balance'!M$5:M$40,'TRA balance'!$C$5:$C$40,Assumptions!$C9,'TRA balance'!$D$5:$D$40,Assumptions!$B9)*DG9*P9,"")</f>
        <v>0</v>
      </c>
      <c r="BM9" s="40">
        <f ca="1">IFERROR(SUMIFS('TRA balance'!N$5:N$40,'TRA balance'!$C$5:$C$40,Assumptions!$C9,'TRA balance'!$D$5:$D$40,Assumptions!$B9)*DH9*Q9,"")</f>
        <v>0</v>
      </c>
      <c r="BN9" s="40">
        <f ca="1">IFERROR(SUMIFS('TRA balance'!O$5:O$40,'TRA balance'!$C$5:$C$40,Assumptions!$C9,'TRA balance'!$D$5:$D$40,Assumptions!$B9)*DI9*R9,"")</f>
        <v>0</v>
      </c>
      <c r="BO9" s="40">
        <f ca="1">IFERROR(SUMIFS('TRA balance'!P$5:P$40,'TRA balance'!$C$5:$C$40,Assumptions!$C9,'TRA balance'!$D$5:$D$40,Assumptions!$B9)*DJ9*S9,"")</f>
        <v>0</v>
      </c>
      <c r="BP9" s="40">
        <f ca="1">IFERROR(SUMIFS('TRA balance'!Q$5:Q$40,'TRA balance'!$C$5:$C$40,Assumptions!$C9,'TRA balance'!$D$5:$D$40,Assumptions!$B9)*DK9*T9,"")</f>
        <v>0</v>
      </c>
      <c r="BQ9" s="40">
        <f ca="1">IFERROR(SUMIFS('TRA balance'!R$5:R$40,'TRA balance'!$C$5:$C$40,Assumptions!$C9,'TRA balance'!$D$5:$D$40,Assumptions!$B9)*DL9*U9,"")</f>
        <v>0</v>
      </c>
      <c r="BR9" s="40">
        <f ca="1">IFERROR(SUMIFS('TRA balance'!S$5:S$40,'TRA balance'!$C$5:$C$40,Assumptions!$C9,'TRA balance'!$D$5:$D$40,Assumptions!$B9)*DM9*V9,"")</f>
        <v>0</v>
      </c>
      <c r="BS9" s="40">
        <f ca="1">IFERROR(SUMIFS('TRA balance'!T$5:T$40,'TRA balance'!$C$5:$C$40,Assumptions!$C9,'TRA balance'!$D$5:$D$40,Assumptions!$B9)*DN9*W9,"")</f>
        <v>152.103682543725</v>
      </c>
      <c r="BT9" s="40">
        <f ca="1">IFERROR(SUMIFS('TRA balance'!U$5:U$40,'TRA balance'!$C$5:$C$40,Assumptions!$C9,'TRA balance'!$D$5:$D$40,Assumptions!$B9)*DO9*X9,"")</f>
        <v>0</v>
      </c>
      <c r="BU9" s="40">
        <f ca="1">IFERROR(SUMIFS('TRA balance'!V$5:V$40,'TRA balance'!$C$5:$C$40,Assumptions!$C9,'TRA balance'!$D$5:$D$40,Assumptions!$B9)*DP9*Y9,"")</f>
        <v>0</v>
      </c>
      <c r="BV9" s="40">
        <f ca="1">IFERROR(SUMIFS('TRA balance'!W$5:W$40,'TRA balance'!$C$5:$C$40,Assumptions!$C9,'TRA balance'!$D$5:$D$40,Assumptions!$B9)*DQ9*Z9,"")</f>
        <v>0.4566354919218</v>
      </c>
      <c r="BW9" s="40">
        <f ca="1">IFERROR(SUMIFS('TRA balance'!X$5:X$40,'TRA balance'!$C$5:$C$40,Assumptions!$C9,'TRA balance'!$D$5:$D$40,Assumptions!$B9)*DR9*AA9,"")</f>
        <v>1.03205755627632</v>
      </c>
      <c r="BX9" s="40">
        <f ca="1">IFERROR(SUMIFS('TRA balance'!Y$5:Y$40,'TRA balance'!$C$5:$C$40,Assumptions!$C9,'TRA balance'!$D$5:$D$40,Assumptions!$B9)*DS9*AB9,"")</f>
        <v>0</v>
      </c>
      <c r="BY9" s="40">
        <f ca="1">IFERROR(SUMIFS('TRA balance'!Z$5:Z$40,'TRA balance'!$C$5:$C$40,Assumptions!$C9,'TRA balance'!$D$5:$D$40,Assumptions!$B9)*DT9*AC9,"")</f>
        <v>0</v>
      </c>
      <c r="BZ9" s="40">
        <f ca="1">IFERROR(SUMIFS('TRA balance'!AA$5:AA$40,'TRA balance'!$C$5:$C$40,Assumptions!$C9,'TRA balance'!$D$5:$D$40,Assumptions!$B9)*DU9*AD9,"")</f>
        <v>0</v>
      </c>
      <c r="CA9" s="40">
        <f ca="1">IFERROR(SUMIFS('TRA balance'!AB$5:AB$40,'TRA balance'!$C$5:$C$40,Assumptions!$C9,'TRA balance'!$D$5:$D$40,Assumptions!$B9)*DV9*AE9,"")</f>
        <v>0</v>
      </c>
      <c r="CB9" s="40">
        <f ca="1">IFERROR(SUMIFS('TRA balance'!AC$5:AC$40,'TRA balance'!$C$5:$C$40,Assumptions!$C9,'TRA balance'!$D$5:$D$40,Assumptions!$B9)*DW9*AF9,"")</f>
        <v>0</v>
      </c>
      <c r="CC9" s="40">
        <f ca="1">IFERROR(SUMIFS('TRA balance'!AD$5:AD$40,'TRA balance'!$C$5:$C$40,Assumptions!$C9,'TRA balance'!$D$5:$D$40,Assumptions!$B9)*DX9*AG9,"")</f>
        <v>0</v>
      </c>
      <c r="CD9" s="40">
        <f ca="1">IFERROR(SUMIFS('TRA balance'!AE$5:AE$40,'TRA balance'!$C$5:$C$40,Assumptions!$C9,'TRA balance'!$D$5:$D$40,Assumptions!$B9)*DY9*AH9,"")</f>
        <v>0</v>
      </c>
      <c r="CE9" s="40">
        <f ca="1">IFERROR(SUMIFS('TRA balance'!AF$5:AF$40,'TRA balance'!$C$5:$C$40,Assumptions!$C9,'TRA balance'!$D$5:$D$40,Assumptions!$B9)*DZ9*AI9,"")</f>
        <v>0</v>
      </c>
      <c r="CF9" s="40">
        <f ca="1">IFERROR(SUMIFS('TRA balance'!AG$5:AG$40,'TRA balance'!$C$5:$C$40,Assumptions!$C9,'TRA balance'!$D$5:$D$40,Assumptions!$B9)*EA9*AJ9,"")</f>
        <v>0</v>
      </c>
      <c r="CG9" s="40">
        <f ca="1">IFERROR(SUMIFS('TRA balance'!AH$5:AH$40,'TRA balance'!$C$5:$C$40,Assumptions!$C9,'TRA balance'!$D$5:$D$40,Assumptions!$B9)*EB9*AK9,"")</f>
        <v>0</v>
      </c>
      <c r="CH9" s="40">
        <f ca="1">IFERROR(SUMIFS('TRA balance'!AI$5:AI$40,'TRA balance'!$C$5:$C$40,Assumptions!$C9,'TRA balance'!$D$5:$D$40,Assumptions!$B9)*EC9*AL9,"")</f>
        <v>0</v>
      </c>
      <c r="CI9" s="40">
        <f ca="1">IFERROR(SUMIFS('TRA balance'!AJ$5:AJ$40,'TRA balance'!$C$5:$C$40,Assumptions!$C9,'TRA balance'!$D$5:$D$40,Assumptions!$B9)*ED9*AM9,"")</f>
        <v>0</v>
      </c>
      <c r="CJ9" s="40">
        <f ca="1">IFERROR(SUMIFS('TRA balance'!AK$5:AK$40,'TRA balance'!$C$5:$C$40,Assumptions!$C9,'TRA balance'!$D$5:$D$40,Assumptions!$B9)*EE9*AN9,"")</f>
        <v>0</v>
      </c>
      <c r="CK9" s="40">
        <f ca="1">IFERROR(SUMIFS('TRA balance'!AL$5:AL$40,'TRA balance'!$C$5:$C$40,Assumptions!$C9,'TRA balance'!$D$5:$D$40,Assumptions!$B9)*EF9*AO9,"")</f>
        <v>0</v>
      </c>
      <c r="CL9" s="40">
        <f ca="1">IFERROR(SUMIFS('TRA balance'!AM$5:AM$40,'TRA balance'!$C$5:$C$40,Assumptions!$C9,'TRA balance'!$D$5:$D$40,Assumptions!$B9)*EG9*AP9,"")</f>
        <v>0</v>
      </c>
      <c r="CM9" s="40">
        <f ca="1">IFERROR(SUMIFS('TRA balance'!AN$5:AN$40,'TRA balance'!$C$5:$C$40,Assumptions!$C9,'TRA balance'!$D$5:$D$40,Assumptions!$B9)*EH9*AQ9,"")</f>
        <v>0</v>
      </c>
      <c r="CN9" s="40">
        <f ca="1">IFERROR(SUMIFS('TRA balance'!AO$5:AO$40,'TRA balance'!$C$5:$C$40,Assumptions!$C9,'TRA balance'!$D$5:$D$40,Assumptions!$B9)*EI9*AR9,"")</f>
        <v>0</v>
      </c>
      <c r="CO9" s="40">
        <f ca="1">IFERROR(SUMIFS('TRA balance'!AP$5:AP$40,'TRA balance'!$C$5:$C$40,Assumptions!$C9,'TRA balance'!$D$5:$D$40,Assumptions!$B9)*EJ9*AS9,"")</f>
        <v>0</v>
      </c>
      <c r="CP9" s="40">
        <f ca="1">IFERROR(SUMIFS('TRA balance'!AQ$5:AQ$40,'TRA balance'!$C$5:$C$40,Assumptions!$C9,'TRA balance'!$D$5:$D$40,Assumptions!$B9)*EK9*AT9,"")</f>
        <v>0</v>
      </c>
      <c r="CQ9" s="40">
        <f ca="1">IFERROR(SUMIFS('TRA balance'!AR$5:AR$40,'TRA balance'!$C$5:$C$40,Assumptions!$C9,'TRA balance'!$D$5:$D$40,Assumptions!$B9)*EL9*AU9,"")</f>
        <v>0</v>
      </c>
      <c r="CR9" s="40">
        <f ca="1">IFERROR(SUMIFS('TRA balance'!AS$5:AS$40,'TRA balance'!$C$5:$C$40,Assumptions!$C9,'TRA balance'!$D$5:$D$40,Assumptions!$B9)*EM9*AV9,"")</f>
        <v>0</v>
      </c>
      <c r="CS9" s="40">
        <f ca="1">IFERROR(SUMIFS('TRA balance'!AT$5:AT$40,'TRA balance'!$C$5:$C$40,Assumptions!$C9,'TRA balance'!$D$5:$D$40,Assumptions!$B9)*EN9*AW9,"")</f>
        <v>0</v>
      </c>
      <c r="CT9" s="40">
        <f ca="1">IFERROR(SUMIFS('TRA balance'!AU$5:AU$40,'TRA balance'!$C$5:$C$40,Assumptions!$C9,'TRA balance'!$D$5:$D$40,Assumptions!$B9)*EO9*AX9,"")</f>
        <v>0</v>
      </c>
      <c r="CU9" s="40">
        <f ca="1">IFERROR(SUMIFS('TRA balance'!AV$5:AV$40,'TRA balance'!$C$5:$C$40,Assumptions!$C9,'TRA balance'!$D$5:$D$40,Assumptions!$B9)*EP9*AY9,"")</f>
        <v>0</v>
      </c>
      <c r="CV9" s="40">
        <f ca="1">IFERROR(SUMIFS('TRA balance'!AW$5:AW$40,'TRA balance'!$C$5:$C$40,Assumptions!$C9,'TRA balance'!$D$5:$D$40,Assumptions!$B9)*EQ9*AZ9,"")</f>
        <v>0</v>
      </c>
      <c r="CW9" s="40">
        <f ca="1">IFERROR(SUMIFS('TRA balance'!AX$5:AX$40,'TRA balance'!$C$5:$C$40,Assumptions!$C9,'TRA balance'!$D$5:$D$40,Assumptions!$B9)*ER9*BA9,"")</f>
        <v>0</v>
      </c>
      <c r="CY9" s="39">
        <f ca="1" t="shared" si="2"/>
        <v>0.1</v>
      </c>
      <c r="CZ9" s="39">
        <f ca="1" t="shared" si="3"/>
        <v>0.1</v>
      </c>
      <c r="DA9" s="39">
        <f ca="1" t="shared" si="4"/>
        <v>0.02</v>
      </c>
      <c r="DB9" s="39">
        <f ca="1" t="shared" si="5"/>
        <v>0.2</v>
      </c>
      <c r="DC9" s="39">
        <f ca="1" t="shared" si="6"/>
        <v>0.05</v>
      </c>
      <c r="DD9" s="39">
        <f ca="1" t="shared" si="7"/>
        <v>0.2</v>
      </c>
      <c r="DE9" s="39">
        <f ca="1" t="shared" si="8"/>
        <v>0.07</v>
      </c>
      <c r="DF9" s="39">
        <f ca="1" t="shared" si="9"/>
        <v>0.1</v>
      </c>
      <c r="DG9" s="39">
        <f ca="1" t="shared" si="10"/>
        <v>0.2</v>
      </c>
      <c r="DH9" s="39">
        <f ca="1" t="shared" si="11"/>
        <v>0.2</v>
      </c>
      <c r="DI9" s="39">
        <f ca="1" t="shared" si="12"/>
        <v>0.2</v>
      </c>
      <c r="DJ9" s="39">
        <f ca="1" t="shared" si="13"/>
        <v>0.2</v>
      </c>
      <c r="DK9" s="39">
        <f ca="1" t="shared" si="14"/>
        <v>0.2</v>
      </c>
      <c r="DL9" s="39">
        <f ca="1" t="shared" si="15"/>
        <v>0.2</v>
      </c>
      <c r="DM9" s="39">
        <f ca="1" t="shared" si="16"/>
        <v>0.2</v>
      </c>
      <c r="DN9" s="39">
        <f ca="1" t="shared" si="17"/>
        <v>0.25</v>
      </c>
      <c r="DO9" s="39">
        <f ca="1" t="shared" si="18"/>
        <v>0.2</v>
      </c>
      <c r="DP9" s="39">
        <f ca="1" t="shared" si="19"/>
        <v>0.2</v>
      </c>
      <c r="DQ9" s="39">
        <f ca="1" t="shared" si="20"/>
        <v>0.05</v>
      </c>
      <c r="DR9" s="39">
        <f ca="1" t="shared" si="21"/>
        <v>0.07</v>
      </c>
      <c r="DS9" s="39">
        <f ca="1" t="shared" si="22"/>
        <v>0.1</v>
      </c>
      <c r="DT9" s="39">
        <f ca="1" t="shared" si="23"/>
        <v>0.0244064218226165</v>
      </c>
      <c r="DU9" s="39">
        <f ca="1" t="shared" si="24"/>
        <v>0.2</v>
      </c>
      <c r="DV9" s="39">
        <f ca="1" t="shared" si="25"/>
        <v>0.2</v>
      </c>
      <c r="DW9" s="39">
        <f ca="1" t="shared" si="26"/>
        <v>0.08</v>
      </c>
      <c r="DX9" s="39">
        <f ca="1" t="shared" si="27"/>
        <v>0.05</v>
      </c>
      <c r="DY9" s="39">
        <f ca="1" t="shared" si="28"/>
        <v>0.1</v>
      </c>
      <c r="DZ9" s="39">
        <f ca="1" t="shared" si="29"/>
        <v>0.1</v>
      </c>
      <c r="EA9" s="39">
        <f ca="1" t="shared" si="30"/>
        <v>0.2</v>
      </c>
      <c r="EB9" s="39">
        <f ca="1" t="shared" si="31"/>
        <v>0.2</v>
      </c>
      <c r="EC9" s="39">
        <f ca="1" t="shared" si="32"/>
        <v>0.2</v>
      </c>
      <c r="ED9" s="39">
        <f ca="1" t="shared" si="33"/>
        <v>0.1</v>
      </c>
      <c r="EE9" s="39">
        <f ca="1" t="shared" si="34"/>
        <v>0.2</v>
      </c>
      <c r="EF9" s="39">
        <f ca="1" t="shared" si="35"/>
        <v>0.05</v>
      </c>
      <c r="EG9" s="39">
        <f ca="1" t="shared" si="36"/>
        <v>0.2</v>
      </c>
      <c r="EH9" s="39">
        <f ca="1" t="shared" si="37"/>
        <v>0.0244064218226165</v>
      </c>
      <c r="EI9" s="39">
        <f ca="1" t="shared" si="38"/>
        <v>0.0244064218226165</v>
      </c>
      <c r="EJ9" s="39">
        <f ca="1" t="shared" si="39"/>
        <v>0.0244064218226165</v>
      </c>
      <c r="EK9" s="39">
        <f ca="1" t="shared" si="40"/>
        <v>0.0244064218226165</v>
      </c>
      <c r="EL9" s="39">
        <f ca="1" t="shared" si="41"/>
        <v>0.0244064218226165</v>
      </c>
      <c r="EM9" s="39">
        <f ca="1" t="shared" si="42"/>
        <v>0.0244064218226165</v>
      </c>
      <c r="EN9" s="39">
        <f ca="1" t="shared" si="43"/>
        <v>0.0244064218226165</v>
      </c>
      <c r="EO9" s="39">
        <f ca="1" t="shared" si="44"/>
        <v>0.0244064218226165</v>
      </c>
      <c r="EP9" s="39">
        <f ca="1" t="shared" si="45"/>
        <v>0.0244064218226165</v>
      </c>
      <c r="EQ9" s="39">
        <f ca="1" t="shared" si="46"/>
        <v>0.0244064218226165</v>
      </c>
      <c r="ER9" s="39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4" t="str">
        <f t="shared" si="48"/>
        <v>TR</v>
      </c>
      <c r="D10" s="55" t="s">
        <v>200</v>
      </c>
      <c r="E10" s="66" t="s">
        <v>208</v>
      </c>
      <c r="F10" s="56" t="str">
        <f t="shared" si="52"/>
        <v>Diesel</v>
      </c>
      <c r="G10" s="54" t="s">
        <v>209</v>
      </c>
      <c r="H10" s="57">
        <f ca="1">OFFSET(TIAM15_assumptions!$G10,0,MATCH(VLOOKUP(Assumptions!H$2,TIAM15_assumptions!$Y$3:$Z$87,2,FALSE),TIAM15_assumptions!$H$2:$V$2,0))</f>
        <v>0</v>
      </c>
      <c r="I10" s="57">
        <f ca="1">OFFSET(TIAM15_assumptions!$G10,0,MATCH(VLOOKUP(Assumptions!I$2,TIAM15_assumptions!$Y$3:$Z$87,2,FALSE),TIAM15_assumptions!$H$2:$V$2,0))</f>
        <v>0</v>
      </c>
      <c r="J10" s="57">
        <f ca="1">OFFSET(TIAM15_assumptions!$G10,0,MATCH(VLOOKUP(Assumptions!J$2,TIAM15_assumptions!$Y$3:$Z$87,2,FALSE),TIAM15_assumptions!$H$2:$V$2,0))</f>
        <v>0</v>
      </c>
      <c r="K10" s="57">
        <f ca="1">OFFSET(TIAM15_assumptions!$G10,0,MATCH(VLOOKUP(Assumptions!K$2,TIAM15_assumptions!$Y$3:$Z$87,2,FALSE),TIAM15_assumptions!$H$2:$V$2,0))</f>
        <v>0</v>
      </c>
      <c r="L10" s="57">
        <f ca="1">OFFSET(TIAM15_assumptions!$G10,0,MATCH(VLOOKUP(Assumptions!L$2,TIAM15_assumptions!$Y$3:$Z$87,2,FALSE),TIAM15_assumptions!$H$2:$V$2,0))</f>
        <v>0</v>
      </c>
      <c r="M10" s="57">
        <f ca="1">OFFSET(TIAM15_assumptions!$G10,0,MATCH(VLOOKUP(Assumptions!M$2,TIAM15_assumptions!$Y$3:$Z$87,2,FALSE),TIAM15_assumptions!$H$2:$V$2,0))</f>
        <v>0</v>
      </c>
      <c r="N10" s="57">
        <f ca="1">OFFSET(TIAM15_assumptions!$G10,0,MATCH(VLOOKUP(Assumptions!N$2,TIAM15_assumptions!$Y$3:$Z$87,2,FALSE),TIAM15_assumptions!$H$2:$V$2,0))</f>
        <v>0</v>
      </c>
      <c r="O10" s="57">
        <f ca="1">OFFSET(TIAM15_assumptions!$G10,0,MATCH(VLOOKUP(Assumptions!O$2,TIAM15_assumptions!$Y$3:$Z$87,2,FALSE),TIAM15_assumptions!$H$2:$V$2,0))</f>
        <v>0</v>
      </c>
      <c r="P10" s="57">
        <f ca="1">OFFSET(TIAM15_assumptions!$G10,0,MATCH(VLOOKUP(Assumptions!P$2,TIAM15_assumptions!$Y$3:$Z$87,2,FALSE),TIAM15_assumptions!$H$2:$V$2,0))</f>
        <v>0</v>
      </c>
      <c r="Q10" s="57">
        <f ca="1">OFFSET(TIAM15_assumptions!$G10,0,MATCH(VLOOKUP(Assumptions!Q$2,TIAM15_assumptions!$Y$3:$Z$87,2,FALSE),TIAM15_assumptions!$H$2:$V$2,0))</f>
        <v>0</v>
      </c>
      <c r="R10" s="57">
        <f ca="1">OFFSET(TIAM15_assumptions!$G10,0,MATCH(VLOOKUP(Assumptions!R$2,TIAM15_assumptions!$Y$3:$Z$87,2,FALSE),TIAM15_assumptions!$H$2:$V$2,0))</f>
        <v>0</v>
      </c>
      <c r="S10" s="57">
        <f ca="1">OFFSET(TIAM15_assumptions!$G10,0,MATCH(VLOOKUP(Assumptions!S$2,TIAM15_assumptions!$Y$3:$Z$87,2,FALSE),TIAM15_assumptions!$H$2:$V$2,0))</f>
        <v>0</v>
      </c>
      <c r="T10" s="57">
        <f ca="1">OFFSET(TIAM15_assumptions!$G10,0,MATCH(VLOOKUP(Assumptions!T$2,TIAM15_assumptions!$Y$3:$Z$87,2,FALSE),TIAM15_assumptions!$H$2:$V$2,0))</f>
        <v>0</v>
      </c>
      <c r="U10" s="57">
        <f ca="1">OFFSET(TIAM15_assumptions!$G10,0,MATCH(VLOOKUP(Assumptions!U$2,TIAM15_assumptions!$Y$3:$Z$87,2,FALSE),TIAM15_assumptions!$H$2:$V$2,0))</f>
        <v>0</v>
      </c>
      <c r="V10" s="57">
        <f ca="1">OFFSET(TIAM15_assumptions!$G10,0,MATCH(VLOOKUP(Assumptions!V$2,TIAM15_assumptions!$Y$3:$Z$87,2,FALSE),TIAM15_assumptions!$H$2:$V$2,0))</f>
        <v>0</v>
      </c>
      <c r="W10" s="57">
        <f ca="1">OFFSET(TIAM15_assumptions!$G10,0,MATCH(VLOOKUP(Assumptions!W$2,TIAM15_assumptions!$Y$3:$Z$87,2,FALSE),TIAM15_assumptions!$H$2:$V$2,0))</f>
        <v>0</v>
      </c>
      <c r="X10" s="57">
        <f ca="1">OFFSET(TIAM15_assumptions!$G10,0,MATCH(VLOOKUP(Assumptions!X$2,TIAM15_assumptions!$Y$3:$Z$87,2,FALSE),TIAM15_assumptions!$H$2:$V$2,0))</f>
        <v>0</v>
      </c>
      <c r="Y10" s="57">
        <f ca="1">OFFSET(TIAM15_assumptions!$G10,0,MATCH(VLOOKUP(Assumptions!Y$2,TIAM15_assumptions!$Y$3:$Z$87,2,FALSE),TIAM15_assumptions!$H$2:$V$2,0))</f>
        <v>0</v>
      </c>
      <c r="Z10" s="57">
        <f ca="1">OFFSET(TIAM15_assumptions!$G10,0,MATCH(VLOOKUP(Assumptions!Z$2,TIAM15_assumptions!$Y$3:$Z$87,2,FALSE),TIAM15_assumptions!$H$2:$V$2,0))</f>
        <v>0</v>
      </c>
      <c r="AA10" s="57">
        <f ca="1">OFFSET(TIAM15_assumptions!$G10,0,MATCH(VLOOKUP(Assumptions!AA$2,TIAM15_assumptions!$Y$3:$Z$87,2,FALSE),TIAM15_assumptions!$H$2:$V$2,0))</f>
        <v>0</v>
      </c>
      <c r="AB10" s="57">
        <f ca="1">OFFSET(TIAM15_assumptions!$G10,0,MATCH(VLOOKUP(Assumptions!AB$2,TIAM15_assumptions!$Y$3:$Z$87,2,FALSE),TIAM15_assumptions!$H$2:$V$2,0))</f>
        <v>0</v>
      </c>
      <c r="AC10" s="57">
        <f ca="1">OFFSET(TIAM15_assumptions!$G10,0,MATCH(VLOOKUP(Assumptions!AC$2,TIAM15_assumptions!$Y$3:$Z$87,2,FALSE),TIAM15_assumptions!$H$2:$V$2,0))</f>
        <v>0</v>
      </c>
      <c r="AD10" s="57">
        <f ca="1">OFFSET(TIAM15_assumptions!$G10,0,MATCH(VLOOKUP(Assumptions!AD$2,TIAM15_assumptions!$Y$3:$Z$87,2,FALSE),TIAM15_assumptions!$H$2:$V$2,0))</f>
        <v>0</v>
      </c>
      <c r="AE10" s="57">
        <f ca="1">OFFSET(TIAM15_assumptions!$G10,0,MATCH(VLOOKUP(Assumptions!AE$2,TIAM15_assumptions!$Y$3:$Z$87,2,FALSE),TIAM15_assumptions!$H$2:$V$2,0))</f>
        <v>0</v>
      </c>
      <c r="AF10" s="57">
        <f ca="1">OFFSET(TIAM15_assumptions!$G10,0,MATCH(VLOOKUP(Assumptions!AF$2,TIAM15_assumptions!$Y$3:$Z$87,2,FALSE),TIAM15_assumptions!$H$2:$V$2,0))</f>
        <v>0</v>
      </c>
      <c r="AG10" s="57">
        <f ca="1">OFFSET(TIAM15_assumptions!$G10,0,MATCH(VLOOKUP(Assumptions!AG$2,TIAM15_assumptions!$Y$3:$Z$87,2,FALSE),TIAM15_assumptions!$H$2:$V$2,0))</f>
        <v>0</v>
      </c>
      <c r="AH10" s="57">
        <f ca="1">OFFSET(TIAM15_assumptions!$G10,0,MATCH(VLOOKUP(Assumptions!AH$2,TIAM15_assumptions!$Y$3:$Z$87,2,FALSE),TIAM15_assumptions!$H$2:$V$2,0))</f>
        <v>0</v>
      </c>
      <c r="AI10" s="57">
        <f ca="1">OFFSET(TIAM15_assumptions!$G10,0,MATCH(VLOOKUP(Assumptions!AI$2,TIAM15_assumptions!$Y$3:$Z$87,2,FALSE),TIAM15_assumptions!$H$2:$V$2,0))</f>
        <v>0</v>
      </c>
      <c r="AJ10" s="57">
        <f ca="1">OFFSET(TIAM15_assumptions!$G10,0,MATCH(VLOOKUP(Assumptions!AJ$2,TIAM15_assumptions!$Y$3:$Z$87,2,FALSE),TIAM15_assumptions!$H$2:$V$2,0))</f>
        <v>0</v>
      </c>
      <c r="AK10" s="57">
        <f ca="1">OFFSET(TIAM15_assumptions!$G10,0,MATCH(VLOOKUP(Assumptions!AK$2,TIAM15_assumptions!$Y$3:$Z$87,2,FALSE),TIAM15_assumptions!$H$2:$V$2,0))</f>
        <v>0</v>
      </c>
      <c r="AL10" s="57">
        <f ca="1">OFFSET(TIAM15_assumptions!$G10,0,MATCH(VLOOKUP(Assumptions!AL$2,TIAM15_assumptions!$Y$3:$Z$87,2,FALSE),TIAM15_assumptions!$H$2:$V$2,0))</f>
        <v>0</v>
      </c>
      <c r="AM10" s="57">
        <f ca="1">OFFSET(TIAM15_assumptions!$G10,0,MATCH(VLOOKUP(Assumptions!AM$2,TIAM15_assumptions!$Y$3:$Z$87,2,FALSE),TIAM15_assumptions!$H$2:$V$2,0))</f>
        <v>0</v>
      </c>
      <c r="AN10" s="57">
        <f ca="1">OFFSET(TIAM15_assumptions!$G10,0,MATCH(VLOOKUP(Assumptions!AN$2,TIAM15_assumptions!$Y$3:$Z$87,2,FALSE),TIAM15_assumptions!$H$2:$V$2,0))</f>
        <v>0</v>
      </c>
      <c r="AO10" s="57">
        <f ca="1">OFFSET(TIAM15_assumptions!$G10,0,MATCH(VLOOKUP(Assumptions!AO$2,TIAM15_assumptions!$Y$3:$Z$87,2,FALSE),TIAM15_assumptions!$H$2:$V$2,0))</f>
        <v>0</v>
      </c>
      <c r="AP10" s="57">
        <f ca="1">OFFSET(TIAM15_assumptions!$G10,0,MATCH(VLOOKUP(Assumptions!AP$2,TIAM15_assumptions!$Y$3:$Z$87,2,FALSE),TIAM15_assumptions!$H$2:$V$2,0))</f>
        <v>0</v>
      </c>
      <c r="AQ10" s="57">
        <f ca="1">OFFSET(TIAM15_assumptions!$G10,0,MATCH(VLOOKUP(Assumptions!AQ$2,TIAM15_assumptions!$Y$3:$Z$87,2,FALSE),TIAM15_assumptions!$H$2:$V$2,0))</f>
        <v>0</v>
      </c>
      <c r="AR10" s="57">
        <f ca="1">OFFSET(TIAM15_assumptions!$G10,0,MATCH(VLOOKUP(Assumptions!AR$2,TIAM15_assumptions!$Y$3:$Z$87,2,FALSE),TIAM15_assumptions!$H$2:$V$2,0))</f>
        <v>0</v>
      </c>
      <c r="AS10" s="57">
        <f ca="1">OFFSET(TIAM15_assumptions!$G10,0,MATCH(VLOOKUP(Assumptions!AS$2,TIAM15_assumptions!$Y$3:$Z$87,2,FALSE),TIAM15_assumptions!$H$2:$V$2,0))</f>
        <v>0</v>
      </c>
      <c r="AT10" s="57">
        <f ca="1">OFFSET(TIAM15_assumptions!$G10,0,MATCH(VLOOKUP(Assumptions!AT$2,TIAM15_assumptions!$Y$3:$Z$87,2,FALSE),TIAM15_assumptions!$H$2:$V$2,0))</f>
        <v>0</v>
      </c>
      <c r="AU10" s="57">
        <f ca="1">OFFSET(TIAM15_assumptions!$G10,0,MATCH(VLOOKUP(Assumptions!AU$2,TIAM15_assumptions!$Y$3:$Z$87,2,FALSE),TIAM15_assumptions!$H$2:$V$2,0))</f>
        <v>0</v>
      </c>
      <c r="AV10" s="57">
        <f ca="1">OFFSET(TIAM15_assumptions!$G10,0,MATCH(VLOOKUP(Assumptions!AV$2,TIAM15_assumptions!$Y$3:$Z$87,2,FALSE),TIAM15_assumptions!$H$2:$V$2,0))</f>
        <v>0</v>
      </c>
      <c r="AW10" s="57">
        <f ca="1">OFFSET(TIAM15_assumptions!$G10,0,MATCH(VLOOKUP(Assumptions!AW$2,TIAM15_assumptions!$Y$3:$Z$87,2,FALSE),TIAM15_assumptions!$H$2:$V$2,0))</f>
        <v>0</v>
      </c>
      <c r="AX10" s="57">
        <f ca="1">OFFSET(TIAM15_assumptions!$G10,0,MATCH(VLOOKUP(Assumptions!AX$2,TIAM15_assumptions!$Y$3:$Z$87,2,FALSE),TIAM15_assumptions!$H$2:$V$2,0))</f>
        <v>0</v>
      </c>
      <c r="AY10" s="57">
        <f ca="1">OFFSET(TIAM15_assumptions!$G10,0,MATCH(VLOOKUP(Assumptions!AY$2,TIAM15_assumptions!$Y$3:$Z$87,2,FALSE),TIAM15_assumptions!$H$2:$V$2,0))</f>
        <v>0</v>
      </c>
      <c r="AZ10" s="57">
        <f ca="1">OFFSET(TIAM15_assumptions!$G10,0,MATCH(VLOOKUP(Assumptions!AZ$2,TIAM15_assumptions!$Y$3:$Z$87,2,FALSE),TIAM15_assumptions!$H$2:$V$2,0))</f>
        <v>0</v>
      </c>
      <c r="BA10" s="57">
        <f ca="1">OFFSET(TIAM15_assumptions!$G10,0,MATCH(VLOOKUP(Assumptions!BA$2,TIAM15_assumptions!$Y$3:$Z$87,2,FALSE),TIAM15_assumptions!$H$2:$V$2,0))</f>
        <v>0</v>
      </c>
      <c r="BD10" s="40">
        <f ca="1">IFERROR(SUMIFS('TRA balance'!E$5:E$40,'TRA balance'!$C$5:$C$40,Assumptions!$C10,'TRA balance'!$D$5:$D$40,Assumptions!$B10)*CY10*H10,"")</f>
        <v>0</v>
      </c>
      <c r="BE10" s="40">
        <f ca="1">IFERROR(SUMIFS('TRA balance'!F$5:F$40,'TRA balance'!$C$5:$C$40,Assumptions!$C10,'TRA balance'!$D$5:$D$40,Assumptions!$B10)*CZ10*I10,"")</f>
        <v>0</v>
      </c>
      <c r="BF10" s="40">
        <f ca="1">IFERROR(SUMIFS('TRA balance'!G$5:G$40,'TRA balance'!$C$5:$C$40,Assumptions!$C10,'TRA balance'!$D$5:$D$40,Assumptions!$B10)*DA10*J10,"")</f>
        <v>0</v>
      </c>
      <c r="BG10" s="40">
        <f ca="1">IFERROR(SUMIFS('TRA balance'!H$5:H$40,'TRA balance'!$C$5:$C$40,Assumptions!$C10,'TRA balance'!$D$5:$D$40,Assumptions!$B10)*DB10*K10,"")</f>
        <v>0</v>
      </c>
      <c r="BH10" s="40">
        <f ca="1">IFERROR(SUMIFS('TRA balance'!I$5:I$40,'TRA balance'!$C$5:$C$40,Assumptions!$C10,'TRA balance'!$D$5:$D$40,Assumptions!$B10)*DC10*L10,"")</f>
        <v>0</v>
      </c>
      <c r="BI10" s="40">
        <f ca="1">IFERROR(SUMIFS('TRA balance'!J$5:J$40,'TRA balance'!$C$5:$C$40,Assumptions!$C10,'TRA balance'!$D$5:$D$40,Assumptions!$B10)*DD10*M10,"")</f>
        <v>0</v>
      </c>
      <c r="BJ10" s="40">
        <f ca="1">IFERROR(SUMIFS('TRA balance'!K$5:K$40,'TRA balance'!$C$5:$C$40,Assumptions!$C10,'TRA balance'!$D$5:$D$40,Assumptions!$B10)*DE10*N10,"")</f>
        <v>0</v>
      </c>
      <c r="BK10" s="40">
        <f ca="1">IFERROR(SUMIFS('TRA balance'!L$5:L$40,'TRA balance'!$C$5:$C$40,Assumptions!$C10,'TRA balance'!$D$5:$D$40,Assumptions!$B10)*DF10*O10,"")</f>
        <v>0</v>
      </c>
      <c r="BL10" s="40">
        <f ca="1">IFERROR(SUMIFS('TRA balance'!M$5:M$40,'TRA balance'!$C$5:$C$40,Assumptions!$C10,'TRA balance'!$D$5:$D$40,Assumptions!$B10)*DG10*P10,"")</f>
        <v>0</v>
      </c>
      <c r="BM10" s="40">
        <f ca="1">IFERROR(SUMIFS('TRA balance'!N$5:N$40,'TRA balance'!$C$5:$C$40,Assumptions!$C10,'TRA balance'!$D$5:$D$40,Assumptions!$B10)*DH10*Q10,"")</f>
        <v>0</v>
      </c>
      <c r="BN10" s="40">
        <f ca="1">IFERROR(SUMIFS('TRA balance'!O$5:O$40,'TRA balance'!$C$5:$C$40,Assumptions!$C10,'TRA balance'!$D$5:$D$40,Assumptions!$B10)*DI10*R10,"")</f>
        <v>0</v>
      </c>
      <c r="BO10" s="40">
        <f ca="1">IFERROR(SUMIFS('TRA balance'!P$5:P$40,'TRA balance'!$C$5:$C$40,Assumptions!$C10,'TRA balance'!$D$5:$D$40,Assumptions!$B10)*DJ10*S10,"")</f>
        <v>0</v>
      </c>
      <c r="BP10" s="40">
        <f ca="1">IFERROR(SUMIFS('TRA balance'!Q$5:Q$40,'TRA balance'!$C$5:$C$40,Assumptions!$C10,'TRA balance'!$D$5:$D$40,Assumptions!$B10)*DK10*T10,"")</f>
        <v>0</v>
      </c>
      <c r="BQ10" s="40">
        <f ca="1">IFERROR(SUMIFS('TRA balance'!R$5:R$40,'TRA balance'!$C$5:$C$40,Assumptions!$C10,'TRA balance'!$D$5:$D$40,Assumptions!$B10)*DL10*U10,"")</f>
        <v>0</v>
      </c>
      <c r="BR10" s="40">
        <f ca="1">IFERROR(SUMIFS('TRA balance'!S$5:S$40,'TRA balance'!$C$5:$C$40,Assumptions!$C10,'TRA balance'!$D$5:$D$40,Assumptions!$B10)*DM10*V10,"")</f>
        <v>0</v>
      </c>
      <c r="BS10" s="40">
        <f ca="1">IFERROR(SUMIFS('TRA balance'!T$5:T$40,'TRA balance'!$C$5:$C$40,Assumptions!$C10,'TRA balance'!$D$5:$D$40,Assumptions!$B10)*DN10*W10,"")</f>
        <v>0</v>
      </c>
      <c r="BT10" s="40">
        <f ca="1">IFERROR(SUMIFS('TRA balance'!U$5:U$40,'TRA balance'!$C$5:$C$40,Assumptions!$C10,'TRA balance'!$D$5:$D$40,Assumptions!$B10)*DO10*X10,"")</f>
        <v>0</v>
      </c>
      <c r="BU10" s="40">
        <f ca="1">IFERROR(SUMIFS('TRA balance'!V$5:V$40,'TRA balance'!$C$5:$C$40,Assumptions!$C10,'TRA balance'!$D$5:$D$40,Assumptions!$B10)*DP10*Y10,"")</f>
        <v>0</v>
      </c>
      <c r="BV10" s="40">
        <f ca="1">IFERROR(SUMIFS('TRA balance'!W$5:W$40,'TRA balance'!$C$5:$C$40,Assumptions!$C10,'TRA balance'!$D$5:$D$40,Assumptions!$B10)*DQ10*Z10,"")</f>
        <v>0</v>
      </c>
      <c r="BW10" s="40">
        <f ca="1">IFERROR(SUMIFS('TRA balance'!X$5:X$40,'TRA balance'!$C$5:$C$40,Assumptions!$C10,'TRA balance'!$D$5:$D$40,Assumptions!$B10)*DR10*AA10,"")</f>
        <v>0</v>
      </c>
      <c r="BX10" s="40">
        <f ca="1">IFERROR(SUMIFS('TRA balance'!Y$5:Y$40,'TRA balance'!$C$5:$C$40,Assumptions!$C10,'TRA balance'!$D$5:$D$40,Assumptions!$B10)*DS10*AB10,"")</f>
        <v>0</v>
      </c>
      <c r="BY10" s="40">
        <f ca="1">IFERROR(SUMIFS('TRA balance'!Z$5:Z$40,'TRA balance'!$C$5:$C$40,Assumptions!$C10,'TRA balance'!$D$5:$D$40,Assumptions!$B10)*DT10*AC10,"")</f>
        <v>0</v>
      </c>
      <c r="BZ10" s="40">
        <f ca="1">IFERROR(SUMIFS('TRA balance'!AA$5:AA$40,'TRA balance'!$C$5:$C$40,Assumptions!$C10,'TRA balance'!$D$5:$D$40,Assumptions!$B10)*DU10*AD10,"")</f>
        <v>0</v>
      </c>
      <c r="CA10" s="40">
        <f ca="1">IFERROR(SUMIFS('TRA balance'!AB$5:AB$40,'TRA balance'!$C$5:$C$40,Assumptions!$C10,'TRA balance'!$D$5:$D$40,Assumptions!$B10)*DV10*AE10,"")</f>
        <v>0</v>
      </c>
      <c r="CB10" s="40">
        <f ca="1">IFERROR(SUMIFS('TRA balance'!AC$5:AC$40,'TRA balance'!$C$5:$C$40,Assumptions!$C10,'TRA balance'!$D$5:$D$40,Assumptions!$B10)*DW10*AF10,"")</f>
        <v>0</v>
      </c>
      <c r="CC10" s="40">
        <f ca="1">IFERROR(SUMIFS('TRA balance'!AD$5:AD$40,'TRA balance'!$C$5:$C$40,Assumptions!$C10,'TRA balance'!$D$5:$D$40,Assumptions!$B10)*DX10*AG10,"")</f>
        <v>0</v>
      </c>
      <c r="CD10" s="40">
        <f ca="1">IFERROR(SUMIFS('TRA balance'!AE$5:AE$40,'TRA balance'!$C$5:$C$40,Assumptions!$C10,'TRA balance'!$D$5:$D$40,Assumptions!$B10)*DY10*AH10,"")</f>
        <v>0</v>
      </c>
      <c r="CE10" s="40">
        <f ca="1">IFERROR(SUMIFS('TRA balance'!AF$5:AF$40,'TRA balance'!$C$5:$C$40,Assumptions!$C10,'TRA balance'!$D$5:$D$40,Assumptions!$B10)*DZ10*AI10,"")</f>
        <v>0</v>
      </c>
      <c r="CF10" s="40">
        <f ca="1">IFERROR(SUMIFS('TRA balance'!AG$5:AG$40,'TRA balance'!$C$5:$C$40,Assumptions!$C10,'TRA balance'!$D$5:$D$40,Assumptions!$B10)*EA10*AJ10,"")</f>
        <v>0</v>
      </c>
      <c r="CG10" s="40">
        <f ca="1">IFERROR(SUMIFS('TRA balance'!AH$5:AH$40,'TRA balance'!$C$5:$C$40,Assumptions!$C10,'TRA balance'!$D$5:$D$40,Assumptions!$B10)*EB10*AK10,"")</f>
        <v>0</v>
      </c>
      <c r="CH10" s="40">
        <f ca="1">IFERROR(SUMIFS('TRA balance'!AI$5:AI$40,'TRA balance'!$C$5:$C$40,Assumptions!$C10,'TRA balance'!$D$5:$D$40,Assumptions!$B10)*EC10*AL10,"")</f>
        <v>0</v>
      </c>
      <c r="CI10" s="40">
        <f ca="1">IFERROR(SUMIFS('TRA balance'!AJ$5:AJ$40,'TRA balance'!$C$5:$C$40,Assumptions!$C10,'TRA balance'!$D$5:$D$40,Assumptions!$B10)*ED10*AM10,"")</f>
        <v>0</v>
      </c>
      <c r="CJ10" s="40">
        <f ca="1">IFERROR(SUMIFS('TRA balance'!AK$5:AK$40,'TRA balance'!$C$5:$C$40,Assumptions!$C10,'TRA balance'!$D$5:$D$40,Assumptions!$B10)*EE10*AN10,"")</f>
        <v>0</v>
      </c>
      <c r="CK10" s="40">
        <f ca="1">IFERROR(SUMIFS('TRA balance'!AL$5:AL$40,'TRA balance'!$C$5:$C$40,Assumptions!$C10,'TRA balance'!$D$5:$D$40,Assumptions!$B10)*EF10*AO10,"")</f>
        <v>0</v>
      </c>
      <c r="CL10" s="40">
        <f ca="1">IFERROR(SUMIFS('TRA balance'!AM$5:AM$40,'TRA balance'!$C$5:$C$40,Assumptions!$C10,'TRA balance'!$D$5:$D$40,Assumptions!$B10)*EG10*AP10,"")</f>
        <v>0</v>
      </c>
      <c r="CM10" s="40">
        <f ca="1">IFERROR(SUMIFS('TRA balance'!AN$5:AN$40,'TRA balance'!$C$5:$C$40,Assumptions!$C10,'TRA balance'!$D$5:$D$40,Assumptions!$B10)*EH10*AQ10,"")</f>
        <v>0</v>
      </c>
      <c r="CN10" s="40">
        <f ca="1">IFERROR(SUMIFS('TRA balance'!AO$5:AO$40,'TRA balance'!$C$5:$C$40,Assumptions!$C10,'TRA balance'!$D$5:$D$40,Assumptions!$B10)*EI10*AR10,"")</f>
        <v>0</v>
      </c>
      <c r="CO10" s="40">
        <f ca="1">IFERROR(SUMIFS('TRA balance'!AP$5:AP$40,'TRA balance'!$C$5:$C$40,Assumptions!$C10,'TRA balance'!$D$5:$D$40,Assumptions!$B10)*EJ10*AS10,"")</f>
        <v>0</v>
      </c>
      <c r="CP10" s="40">
        <f ca="1">IFERROR(SUMIFS('TRA balance'!AQ$5:AQ$40,'TRA balance'!$C$5:$C$40,Assumptions!$C10,'TRA balance'!$D$5:$D$40,Assumptions!$B10)*EK10*AT10,"")</f>
        <v>0</v>
      </c>
      <c r="CQ10" s="40">
        <f ca="1">IFERROR(SUMIFS('TRA balance'!AR$5:AR$40,'TRA balance'!$C$5:$C$40,Assumptions!$C10,'TRA balance'!$D$5:$D$40,Assumptions!$B10)*EL10*AU10,"")</f>
        <v>0</v>
      </c>
      <c r="CR10" s="40">
        <f ca="1">IFERROR(SUMIFS('TRA balance'!AS$5:AS$40,'TRA balance'!$C$5:$C$40,Assumptions!$C10,'TRA balance'!$D$5:$D$40,Assumptions!$B10)*EM10*AV10,"")</f>
        <v>0</v>
      </c>
      <c r="CS10" s="40">
        <f ca="1">IFERROR(SUMIFS('TRA balance'!AT$5:AT$40,'TRA balance'!$C$5:$C$40,Assumptions!$C10,'TRA balance'!$D$5:$D$40,Assumptions!$B10)*EN10*AW10,"")</f>
        <v>0</v>
      </c>
      <c r="CT10" s="40">
        <f ca="1">IFERROR(SUMIFS('TRA balance'!AU$5:AU$40,'TRA balance'!$C$5:$C$40,Assumptions!$C10,'TRA balance'!$D$5:$D$40,Assumptions!$B10)*EO10*AX10,"")</f>
        <v>0</v>
      </c>
      <c r="CU10" s="40">
        <f ca="1">IFERROR(SUMIFS('TRA balance'!AV$5:AV$40,'TRA balance'!$C$5:$C$40,Assumptions!$C10,'TRA balance'!$D$5:$D$40,Assumptions!$B10)*EP10*AY10,"")</f>
        <v>0</v>
      </c>
      <c r="CV10" s="40">
        <f ca="1">IFERROR(SUMIFS('TRA balance'!AW$5:AW$40,'TRA balance'!$C$5:$C$40,Assumptions!$C10,'TRA balance'!$D$5:$D$40,Assumptions!$B10)*EQ10*AZ10,"")</f>
        <v>0</v>
      </c>
      <c r="CW10" s="40">
        <f ca="1">IFERROR(SUMIFS('TRA balance'!AX$5:AX$40,'TRA balance'!$C$5:$C$40,Assumptions!$C10,'TRA balance'!$D$5:$D$40,Assumptions!$B10)*ER10*BA10,"")</f>
        <v>0</v>
      </c>
      <c r="CY10" s="39">
        <f ca="1" t="shared" si="2"/>
        <v>0.1</v>
      </c>
      <c r="CZ10" s="39">
        <f ca="1" t="shared" si="3"/>
        <v>0.1</v>
      </c>
      <c r="DA10" s="39">
        <f ca="1" t="shared" si="4"/>
        <v>0.02</v>
      </c>
      <c r="DB10" s="39">
        <f ca="1" t="shared" si="5"/>
        <v>0.2</v>
      </c>
      <c r="DC10" s="39">
        <f ca="1" t="shared" si="6"/>
        <v>0.05</v>
      </c>
      <c r="DD10" s="39">
        <f ca="1" t="shared" si="7"/>
        <v>0.2</v>
      </c>
      <c r="DE10" s="39">
        <f ca="1" t="shared" si="8"/>
        <v>0.07</v>
      </c>
      <c r="DF10" s="39">
        <f ca="1" t="shared" si="9"/>
        <v>0.1</v>
      </c>
      <c r="DG10" s="39">
        <f ca="1" t="shared" si="10"/>
        <v>0.2</v>
      </c>
      <c r="DH10" s="39">
        <f ca="1" t="shared" si="11"/>
        <v>0.2</v>
      </c>
      <c r="DI10" s="39">
        <f ca="1" t="shared" si="12"/>
        <v>0.2</v>
      </c>
      <c r="DJ10" s="39">
        <f ca="1" t="shared" si="13"/>
        <v>0.2</v>
      </c>
      <c r="DK10" s="39">
        <f ca="1" t="shared" si="14"/>
        <v>0.2</v>
      </c>
      <c r="DL10" s="39">
        <f ca="1" t="shared" si="15"/>
        <v>0.2</v>
      </c>
      <c r="DM10" s="39">
        <f ca="1" t="shared" si="16"/>
        <v>0.2</v>
      </c>
      <c r="DN10" s="39">
        <f ca="1" t="shared" si="17"/>
        <v>0.25</v>
      </c>
      <c r="DO10" s="39">
        <f ca="1" t="shared" si="18"/>
        <v>0.2</v>
      </c>
      <c r="DP10" s="39">
        <f ca="1" t="shared" si="19"/>
        <v>0.2</v>
      </c>
      <c r="DQ10" s="39">
        <f ca="1" t="shared" si="20"/>
        <v>0.05</v>
      </c>
      <c r="DR10" s="39">
        <f ca="1" t="shared" si="21"/>
        <v>0.07</v>
      </c>
      <c r="DS10" s="39">
        <f ca="1" t="shared" si="22"/>
        <v>0.1</v>
      </c>
      <c r="DT10" s="39">
        <f ca="1" t="shared" si="23"/>
        <v>0.0244064218226165</v>
      </c>
      <c r="DU10" s="39">
        <f ca="1" t="shared" si="24"/>
        <v>0.2</v>
      </c>
      <c r="DV10" s="39">
        <f ca="1" t="shared" si="25"/>
        <v>0.2</v>
      </c>
      <c r="DW10" s="39">
        <f ca="1" t="shared" si="26"/>
        <v>0.08</v>
      </c>
      <c r="DX10" s="39">
        <f ca="1" t="shared" si="27"/>
        <v>0.05</v>
      </c>
      <c r="DY10" s="39">
        <f ca="1" t="shared" si="28"/>
        <v>0.1</v>
      </c>
      <c r="DZ10" s="39">
        <f ca="1" t="shared" si="29"/>
        <v>0.1</v>
      </c>
      <c r="EA10" s="39">
        <f ca="1" t="shared" si="30"/>
        <v>0.2</v>
      </c>
      <c r="EB10" s="39">
        <f ca="1" t="shared" si="31"/>
        <v>0.2</v>
      </c>
      <c r="EC10" s="39">
        <f ca="1" t="shared" si="32"/>
        <v>0.2</v>
      </c>
      <c r="ED10" s="39">
        <f ca="1" t="shared" si="33"/>
        <v>0.1</v>
      </c>
      <c r="EE10" s="39">
        <f ca="1" t="shared" si="34"/>
        <v>0.2</v>
      </c>
      <c r="EF10" s="39">
        <f ca="1" t="shared" si="35"/>
        <v>0.05</v>
      </c>
      <c r="EG10" s="39">
        <f ca="1" t="shared" si="36"/>
        <v>0.2</v>
      </c>
      <c r="EH10" s="39">
        <f ca="1" t="shared" si="37"/>
        <v>0.0244064218226165</v>
      </c>
      <c r="EI10" s="39">
        <f ca="1" t="shared" si="38"/>
        <v>0.0244064218226165</v>
      </c>
      <c r="EJ10" s="39">
        <f ca="1" t="shared" si="39"/>
        <v>0.0244064218226165</v>
      </c>
      <c r="EK10" s="39">
        <f ca="1" t="shared" si="40"/>
        <v>0.0244064218226165</v>
      </c>
      <c r="EL10" s="39">
        <f ca="1" t="shared" si="41"/>
        <v>0.0244064218226165</v>
      </c>
      <c r="EM10" s="39">
        <f ca="1" t="shared" si="42"/>
        <v>0.0244064218226165</v>
      </c>
      <c r="EN10" s="39">
        <f ca="1" t="shared" si="43"/>
        <v>0.0244064218226165</v>
      </c>
      <c r="EO10" s="39">
        <f ca="1" t="shared" si="44"/>
        <v>0.0244064218226165</v>
      </c>
      <c r="EP10" s="39">
        <f ca="1" t="shared" si="45"/>
        <v>0.0244064218226165</v>
      </c>
      <c r="EQ10" s="39">
        <f ca="1" t="shared" si="46"/>
        <v>0.0244064218226165</v>
      </c>
      <c r="ER10" s="39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4" t="str">
        <f t="shared" si="48"/>
        <v/>
      </c>
      <c r="D11" s="55"/>
      <c r="E11" s="67" t="s">
        <v>210</v>
      </c>
      <c r="F11" s="56" t="str">
        <f t="shared" si="52"/>
        <v>Diesel</v>
      </c>
      <c r="G11" s="54"/>
      <c r="H11" s="61" t="str">
        <f ca="1">IF(SUM(H7:H10)=1,"-","&lt;&gt;1!!")</f>
        <v>-</v>
      </c>
      <c r="I11" s="61" t="str">
        <f ca="1" t="shared" ref="I11:BA11" si="53">IF(SUM(I7:I10)=1,"-","&lt;&gt;1!!")</f>
        <v>-</v>
      </c>
      <c r="J11" s="61" t="str">
        <f ca="1" t="shared" si="53"/>
        <v>-</v>
      </c>
      <c r="K11" s="61" t="str">
        <f ca="1" t="shared" si="53"/>
        <v>-</v>
      </c>
      <c r="L11" s="61" t="str">
        <f ca="1" t="shared" si="53"/>
        <v>-</v>
      </c>
      <c r="M11" s="61" t="str">
        <f ca="1" t="shared" si="53"/>
        <v>-</v>
      </c>
      <c r="N11" s="61" t="str">
        <f ca="1" t="shared" si="53"/>
        <v>-</v>
      </c>
      <c r="O11" s="61" t="str">
        <f ca="1" t="shared" si="53"/>
        <v>-</v>
      </c>
      <c r="P11" s="61" t="str">
        <f ca="1" t="shared" si="53"/>
        <v>-</v>
      </c>
      <c r="Q11" s="61" t="str">
        <f ca="1" t="shared" si="53"/>
        <v>-</v>
      </c>
      <c r="R11" s="61" t="str">
        <f ca="1" t="shared" si="53"/>
        <v>-</v>
      </c>
      <c r="S11" s="61" t="str">
        <f ca="1" t="shared" si="53"/>
        <v>-</v>
      </c>
      <c r="T11" s="61" t="str">
        <f ca="1" t="shared" si="53"/>
        <v>-</v>
      </c>
      <c r="U11" s="61" t="str">
        <f ca="1" t="shared" si="53"/>
        <v>-</v>
      </c>
      <c r="V11" s="61" t="str">
        <f ca="1" t="shared" si="53"/>
        <v>-</v>
      </c>
      <c r="W11" s="61" t="str">
        <f ca="1" t="shared" si="53"/>
        <v>-</v>
      </c>
      <c r="X11" s="61" t="str">
        <f ca="1" t="shared" si="53"/>
        <v>-</v>
      </c>
      <c r="Y11" s="61" t="str">
        <f ca="1" t="shared" si="53"/>
        <v>-</v>
      </c>
      <c r="Z11" s="61" t="str">
        <f ca="1" t="shared" si="53"/>
        <v>-</v>
      </c>
      <c r="AA11" s="61" t="str">
        <f ca="1" t="shared" si="53"/>
        <v>-</v>
      </c>
      <c r="AB11" s="61" t="str">
        <f ca="1" t="shared" si="53"/>
        <v>-</v>
      </c>
      <c r="AC11" s="61" t="str">
        <f ca="1" t="shared" si="53"/>
        <v>-</v>
      </c>
      <c r="AD11" s="61" t="str">
        <f ca="1" t="shared" si="53"/>
        <v>-</v>
      </c>
      <c r="AE11" s="61" t="str">
        <f ca="1" t="shared" si="53"/>
        <v>-</v>
      </c>
      <c r="AF11" s="61" t="str">
        <f ca="1" t="shared" si="53"/>
        <v>-</v>
      </c>
      <c r="AG11" s="61" t="str">
        <f ca="1" t="shared" si="53"/>
        <v>-</v>
      </c>
      <c r="AH11" s="61" t="str">
        <f ca="1" t="shared" si="53"/>
        <v>-</v>
      </c>
      <c r="AI11" s="61" t="str">
        <f ca="1" t="shared" si="53"/>
        <v>-</v>
      </c>
      <c r="AJ11" s="61" t="str">
        <f ca="1" t="shared" si="53"/>
        <v>-</v>
      </c>
      <c r="AK11" s="61" t="str">
        <f ca="1" t="shared" si="53"/>
        <v>-</v>
      </c>
      <c r="AL11" s="61" t="str">
        <f ca="1" t="shared" si="53"/>
        <v>-</v>
      </c>
      <c r="AM11" s="61" t="str">
        <f ca="1" t="shared" si="53"/>
        <v>-</v>
      </c>
      <c r="AN11" s="61" t="str">
        <f ca="1" t="shared" si="53"/>
        <v>-</v>
      </c>
      <c r="AO11" s="61" t="str">
        <f ca="1" t="shared" si="53"/>
        <v>-</v>
      </c>
      <c r="AP11" s="61" t="str">
        <f ca="1" t="shared" si="53"/>
        <v>-</v>
      </c>
      <c r="AQ11" s="61" t="str">
        <f ca="1" t="shared" si="53"/>
        <v>-</v>
      </c>
      <c r="AR11" s="61" t="str">
        <f ca="1" t="shared" si="53"/>
        <v>-</v>
      </c>
      <c r="AS11" s="61" t="str">
        <f ca="1" t="shared" si="53"/>
        <v>-</v>
      </c>
      <c r="AT11" s="61" t="str">
        <f ca="1" t="shared" si="53"/>
        <v>-</v>
      </c>
      <c r="AU11" s="61" t="str">
        <f ca="1" t="shared" si="53"/>
        <v>-</v>
      </c>
      <c r="AV11" s="61" t="str">
        <f ca="1" t="shared" si="53"/>
        <v>-</v>
      </c>
      <c r="AW11" s="61" t="str">
        <f ca="1" t="shared" si="53"/>
        <v>-</v>
      </c>
      <c r="AX11" s="61" t="str">
        <f ca="1" t="shared" si="53"/>
        <v>-</v>
      </c>
      <c r="AY11" s="61" t="str">
        <f ca="1" t="shared" si="53"/>
        <v>-</v>
      </c>
      <c r="AZ11" s="61" t="str">
        <f ca="1" t="shared" si="53"/>
        <v>-</v>
      </c>
      <c r="BA11" s="61" t="str">
        <f ca="1" t="shared" si="53"/>
        <v>-</v>
      </c>
      <c r="BD11" s="40" t="str">
        <f ca="1">IFERROR(SUMIFS('TRA balance'!E$5:E$40,'TRA balance'!$C$5:$C$40,Assumptions!$C11,'TRA balance'!$D$5:$D$40,Assumptions!$B11)*CY11*H11,"")</f>
        <v/>
      </c>
      <c r="BE11" s="40" t="str">
        <f ca="1">IFERROR(SUMIFS('TRA balance'!F$5:F$40,'TRA balance'!$C$5:$C$40,Assumptions!$C11,'TRA balance'!$D$5:$D$40,Assumptions!$B11)*CZ11*I11,"")</f>
        <v/>
      </c>
      <c r="BF11" s="40" t="str">
        <f ca="1">IFERROR(SUMIFS('TRA balance'!G$5:G$40,'TRA balance'!$C$5:$C$40,Assumptions!$C11,'TRA balance'!$D$5:$D$40,Assumptions!$B11)*DA11*J11,"")</f>
        <v/>
      </c>
      <c r="BG11" s="40" t="str">
        <f ca="1">IFERROR(SUMIFS('TRA balance'!H$5:H$40,'TRA balance'!$C$5:$C$40,Assumptions!$C11,'TRA balance'!$D$5:$D$40,Assumptions!$B11)*DB11*K11,"")</f>
        <v/>
      </c>
      <c r="BH11" s="40" t="str">
        <f ca="1">IFERROR(SUMIFS('TRA balance'!I$5:I$40,'TRA balance'!$C$5:$C$40,Assumptions!$C11,'TRA balance'!$D$5:$D$40,Assumptions!$B11)*DC11*L11,"")</f>
        <v/>
      </c>
      <c r="BI11" s="40" t="str">
        <f ca="1">IFERROR(SUMIFS('TRA balance'!J$5:J$40,'TRA balance'!$C$5:$C$40,Assumptions!$C11,'TRA balance'!$D$5:$D$40,Assumptions!$B11)*DD11*M11,"")</f>
        <v/>
      </c>
      <c r="BJ11" s="40" t="str">
        <f ca="1">IFERROR(SUMIFS('TRA balance'!K$5:K$40,'TRA balance'!$C$5:$C$40,Assumptions!$C11,'TRA balance'!$D$5:$D$40,Assumptions!$B11)*DE11*N11,"")</f>
        <v/>
      </c>
      <c r="BK11" s="40" t="str">
        <f ca="1">IFERROR(SUMIFS('TRA balance'!L$5:L$40,'TRA balance'!$C$5:$C$40,Assumptions!$C11,'TRA balance'!$D$5:$D$40,Assumptions!$B11)*DF11*O11,"")</f>
        <v/>
      </c>
      <c r="BL11" s="40" t="str">
        <f ca="1">IFERROR(SUMIFS('TRA balance'!M$5:M$40,'TRA balance'!$C$5:$C$40,Assumptions!$C11,'TRA balance'!$D$5:$D$40,Assumptions!$B11)*DG11*P11,"")</f>
        <v/>
      </c>
      <c r="BM11" s="40" t="str">
        <f ca="1">IFERROR(SUMIFS('TRA balance'!N$5:N$40,'TRA balance'!$C$5:$C$40,Assumptions!$C11,'TRA balance'!$D$5:$D$40,Assumptions!$B11)*DH11*Q11,"")</f>
        <v/>
      </c>
      <c r="BN11" s="40" t="str">
        <f ca="1">IFERROR(SUMIFS('TRA balance'!O$5:O$40,'TRA balance'!$C$5:$C$40,Assumptions!$C11,'TRA balance'!$D$5:$D$40,Assumptions!$B11)*DI11*R11,"")</f>
        <v/>
      </c>
      <c r="BO11" s="40" t="str">
        <f ca="1">IFERROR(SUMIFS('TRA balance'!P$5:P$40,'TRA balance'!$C$5:$C$40,Assumptions!$C11,'TRA balance'!$D$5:$D$40,Assumptions!$B11)*DJ11*S11,"")</f>
        <v/>
      </c>
      <c r="BP11" s="40" t="str">
        <f ca="1">IFERROR(SUMIFS('TRA balance'!Q$5:Q$40,'TRA balance'!$C$5:$C$40,Assumptions!$C11,'TRA balance'!$D$5:$D$40,Assumptions!$B11)*DK11*T11,"")</f>
        <v/>
      </c>
      <c r="BQ11" s="40" t="str">
        <f ca="1">IFERROR(SUMIFS('TRA balance'!R$5:R$40,'TRA balance'!$C$5:$C$40,Assumptions!$C11,'TRA balance'!$D$5:$D$40,Assumptions!$B11)*DL11*U11,"")</f>
        <v/>
      </c>
      <c r="BR11" s="40" t="str">
        <f ca="1">IFERROR(SUMIFS('TRA balance'!S$5:S$40,'TRA balance'!$C$5:$C$40,Assumptions!$C11,'TRA balance'!$D$5:$D$40,Assumptions!$B11)*DM11*V11,"")</f>
        <v/>
      </c>
      <c r="BS11" s="40" t="str">
        <f ca="1">IFERROR(SUMIFS('TRA balance'!T$5:T$40,'TRA balance'!$C$5:$C$40,Assumptions!$C11,'TRA balance'!$D$5:$D$40,Assumptions!$B11)*DN11*W11,"")</f>
        <v/>
      </c>
      <c r="BT11" s="40" t="str">
        <f ca="1">IFERROR(SUMIFS('TRA balance'!U$5:U$40,'TRA balance'!$C$5:$C$40,Assumptions!$C11,'TRA balance'!$D$5:$D$40,Assumptions!$B11)*DO11*X11,"")</f>
        <v/>
      </c>
      <c r="BU11" s="40" t="str">
        <f ca="1">IFERROR(SUMIFS('TRA balance'!V$5:V$40,'TRA balance'!$C$5:$C$40,Assumptions!$C11,'TRA balance'!$D$5:$D$40,Assumptions!$B11)*DP11*Y11,"")</f>
        <v/>
      </c>
      <c r="BV11" s="40" t="str">
        <f ca="1">IFERROR(SUMIFS('TRA balance'!W$5:W$40,'TRA balance'!$C$5:$C$40,Assumptions!$C11,'TRA balance'!$D$5:$D$40,Assumptions!$B11)*DQ11*Z11,"")</f>
        <v/>
      </c>
      <c r="BW11" s="40" t="str">
        <f ca="1">IFERROR(SUMIFS('TRA balance'!X$5:X$40,'TRA balance'!$C$5:$C$40,Assumptions!$C11,'TRA balance'!$D$5:$D$40,Assumptions!$B11)*DR11*AA11,"")</f>
        <v/>
      </c>
      <c r="BX11" s="40" t="str">
        <f ca="1">IFERROR(SUMIFS('TRA balance'!Y$5:Y$40,'TRA balance'!$C$5:$C$40,Assumptions!$C11,'TRA balance'!$D$5:$D$40,Assumptions!$B11)*DS11*AB11,"")</f>
        <v/>
      </c>
      <c r="BY11" s="40" t="str">
        <f ca="1">IFERROR(SUMIFS('TRA balance'!Z$5:Z$40,'TRA balance'!$C$5:$C$40,Assumptions!$C11,'TRA balance'!$D$5:$D$40,Assumptions!$B11)*DT11*AC11,"")</f>
        <v/>
      </c>
      <c r="BZ11" s="40" t="str">
        <f ca="1">IFERROR(SUMIFS('TRA balance'!AA$5:AA$40,'TRA balance'!$C$5:$C$40,Assumptions!$C11,'TRA balance'!$D$5:$D$40,Assumptions!$B11)*DU11*AD11,"")</f>
        <v/>
      </c>
      <c r="CA11" s="40" t="str">
        <f ca="1">IFERROR(SUMIFS('TRA balance'!AB$5:AB$40,'TRA balance'!$C$5:$C$40,Assumptions!$C11,'TRA balance'!$D$5:$D$40,Assumptions!$B11)*DV11*AE11,"")</f>
        <v/>
      </c>
      <c r="CB11" s="40" t="str">
        <f ca="1">IFERROR(SUMIFS('TRA balance'!AC$5:AC$40,'TRA balance'!$C$5:$C$40,Assumptions!$C11,'TRA balance'!$D$5:$D$40,Assumptions!$B11)*DW11*AF11,"")</f>
        <v/>
      </c>
      <c r="CC11" s="40" t="str">
        <f ca="1">IFERROR(SUMIFS('TRA balance'!AD$5:AD$40,'TRA balance'!$C$5:$C$40,Assumptions!$C11,'TRA balance'!$D$5:$D$40,Assumptions!$B11)*DX11*AG11,"")</f>
        <v/>
      </c>
      <c r="CD11" s="40" t="str">
        <f ca="1">IFERROR(SUMIFS('TRA balance'!AE$5:AE$40,'TRA balance'!$C$5:$C$40,Assumptions!$C11,'TRA balance'!$D$5:$D$40,Assumptions!$B11)*DY11*AH11,"")</f>
        <v/>
      </c>
      <c r="CE11" s="40" t="str">
        <f ca="1">IFERROR(SUMIFS('TRA balance'!AF$5:AF$40,'TRA balance'!$C$5:$C$40,Assumptions!$C11,'TRA balance'!$D$5:$D$40,Assumptions!$B11)*DZ11*AI11,"")</f>
        <v/>
      </c>
      <c r="CF11" s="40" t="str">
        <f ca="1">IFERROR(SUMIFS('TRA balance'!AG$5:AG$40,'TRA balance'!$C$5:$C$40,Assumptions!$C11,'TRA balance'!$D$5:$D$40,Assumptions!$B11)*EA11*AJ11,"")</f>
        <v/>
      </c>
      <c r="CG11" s="40" t="str">
        <f ca="1">IFERROR(SUMIFS('TRA balance'!AH$5:AH$40,'TRA balance'!$C$5:$C$40,Assumptions!$C11,'TRA balance'!$D$5:$D$40,Assumptions!$B11)*EB11*AK11,"")</f>
        <v/>
      </c>
      <c r="CH11" s="40" t="str">
        <f ca="1">IFERROR(SUMIFS('TRA balance'!AI$5:AI$40,'TRA balance'!$C$5:$C$40,Assumptions!$C11,'TRA balance'!$D$5:$D$40,Assumptions!$B11)*EC11*AL11,"")</f>
        <v/>
      </c>
      <c r="CI11" s="40" t="str">
        <f ca="1">IFERROR(SUMIFS('TRA balance'!AJ$5:AJ$40,'TRA balance'!$C$5:$C$40,Assumptions!$C11,'TRA balance'!$D$5:$D$40,Assumptions!$B11)*ED11*AM11,"")</f>
        <v/>
      </c>
      <c r="CJ11" s="40" t="str">
        <f ca="1">IFERROR(SUMIFS('TRA balance'!AK$5:AK$40,'TRA balance'!$C$5:$C$40,Assumptions!$C11,'TRA balance'!$D$5:$D$40,Assumptions!$B11)*EE11*AN11,"")</f>
        <v/>
      </c>
      <c r="CK11" s="40" t="str">
        <f ca="1">IFERROR(SUMIFS('TRA balance'!AL$5:AL$40,'TRA balance'!$C$5:$C$40,Assumptions!$C11,'TRA balance'!$D$5:$D$40,Assumptions!$B11)*EF11*AO11,"")</f>
        <v/>
      </c>
      <c r="CL11" s="40" t="str">
        <f ca="1">IFERROR(SUMIFS('TRA balance'!AM$5:AM$40,'TRA balance'!$C$5:$C$40,Assumptions!$C11,'TRA balance'!$D$5:$D$40,Assumptions!$B11)*EG11*AP11,"")</f>
        <v/>
      </c>
      <c r="CM11" s="40" t="str">
        <f ca="1">IFERROR(SUMIFS('TRA balance'!AN$5:AN$40,'TRA balance'!$C$5:$C$40,Assumptions!$C11,'TRA balance'!$D$5:$D$40,Assumptions!$B11)*EH11*AQ11,"")</f>
        <v/>
      </c>
      <c r="CN11" s="40" t="str">
        <f ca="1">IFERROR(SUMIFS('TRA balance'!AO$5:AO$40,'TRA balance'!$C$5:$C$40,Assumptions!$C11,'TRA balance'!$D$5:$D$40,Assumptions!$B11)*EI11*AR11,"")</f>
        <v/>
      </c>
      <c r="CO11" s="40" t="str">
        <f ca="1">IFERROR(SUMIFS('TRA balance'!AP$5:AP$40,'TRA balance'!$C$5:$C$40,Assumptions!$C11,'TRA balance'!$D$5:$D$40,Assumptions!$B11)*EJ11*AS11,"")</f>
        <v/>
      </c>
      <c r="CP11" s="40" t="str">
        <f ca="1">IFERROR(SUMIFS('TRA balance'!AQ$5:AQ$40,'TRA balance'!$C$5:$C$40,Assumptions!$C11,'TRA balance'!$D$5:$D$40,Assumptions!$B11)*EK11*AT11,"")</f>
        <v/>
      </c>
      <c r="CQ11" s="40" t="str">
        <f ca="1">IFERROR(SUMIFS('TRA balance'!AR$5:AR$40,'TRA balance'!$C$5:$C$40,Assumptions!$C11,'TRA balance'!$D$5:$D$40,Assumptions!$B11)*EL11*AU11,"")</f>
        <v/>
      </c>
      <c r="CR11" s="40" t="str">
        <f ca="1">IFERROR(SUMIFS('TRA balance'!AS$5:AS$40,'TRA balance'!$C$5:$C$40,Assumptions!$C11,'TRA balance'!$D$5:$D$40,Assumptions!$B11)*EM11*AV11,"")</f>
        <v/>
      </c>
      <c r="CS11" s="40" t="str">
        <f ca="1">IFERROR(SUMIFS('TRA balance'!AT$5:AT$40,'TRA balance'!$C$5:$C$40,Assumptions!$C11,'TRA balance'!$D$5:$D$40,Assumptions!$B11)*EN11*AW11,"")</f>
        <v/>
      </c>
      <c r="CT11" s="40" t="str">
        <f ca="1">IFERROR(SUMIFS('TRA balance'!AU$5:AU$40,'TRA balance'!$C$5:$C$40,Assumptions!$C11,'TRA balance'!$D$5:$D$40,Assumptions!$B11)*EO11*AX11,"")</f>
        <v/>
      </c>
      <c r="CU11" s="40" t="str">
        <f ca="1">IFERROR(SUMIFS('TRA balance'!AV$5:AV$40,'TRA balance'!$C$5:$C$40,Assumptions!$C11,'TRA balance'!$D$5:$D$40,Assumptions!$B11)*EP11*AY11,"")</f>
        <v/>
      </c>
      <c r="CV11" s="40" t="str">
        <f ca="1">IFERROR(SUMIFS('TRA balance'!AW$5:AW$40,'TRA balance'!$C$5:$C$40,Assumptions!$C11,'TRA balance'!$D$5:$D$40,Assumptions!$B11)*EQ11*AZ11,"")</f>
        <v/>
      </c>
      <c r="CW11" s="40" t="str">
        <f ca="1">IFERROR(SUMIFS('TRA balance'!AX$5:AX$40,'TRA balance'!$C$5:$C$40,Assumptions!$C11,'TRA balance'!$D$5:$D$40,Assumptions!$B11)*ER11*BA11,"")</f>
        <v/>
      </c>
      <c r="CY11" s="39">
        <f ca="1" t="shared" si="2"/>
        <v>1</v>
      </c>
      <c r="CZ11" s="39">
        <f ca="1" t="shared" si="3"/>
        <v>1</v>
      </c>
      <c r="DA11" s="39">
        <f ca="1" t="shared" si="4"/>
        <v>1</v>
      </c>
      <c r="DB11" s="39">
        <f ca="1" t="shared" si="5"/>
        <v>1</v>
      </c>
      <c r="DC11" s="39">
        <f ca="1" t="shared" si="6"/>
        <v>1</v>
      </c>
      <c r="DD11" s="39">
        <f ca="1" t="shared" si="7"/>
        <v>1</v>
      </c>
      <c r="DE11" s="39">
        <f ca="1" t="shared" si="8"/>
        <v>1</v>
      </c>
      <c r="DF11" s="39">
        <f ca="1" t="shared" si="9"/>
        <v>1</v>
      </c>
      <c r="DG11" s="39">
        <f ca="1" t="shared" si="10"/>
        <v>1</v>
      </c>
      <c r="DH11" s="39">
        <f ca="1" t="shared" si="11"/>
        <v>1</v>
      </c>
      <c r="DI11" s="39">
        <f ca="1" t="shared" si="12"/>
        <v>1</v>
      </c>
      <c r="DJ11" s="39">
        <f ca="1" t="shared" si="13"/>
        <v>1</v>
      </c>
      <c r="DK11" s="39">
        <f ca="1" t="shared" si="14"/>
        <v>1</v>
      </c>
      <c r="DL11" s="39">
        <f ca="1" t="shared" si="15"/>
        <v>1</v>
      </c>
      <c r="DM11" s="39">
        <f ca="1" t="shared" si="16"/>
        <v>1</v>
      </c>
      <c r="DN11" s="39">
        <f ca="1" t="shared" si="17"/>
        <v>1</v>
      </c>
      <c r="DO11" s="39">
        <f ca="1" t="shared" si="18"/>
        <v>1</v>
      </c>
      <c r="DP11" s="39">
        <f ca="1" t="shared" si="19"/>
        <v>1</v>
      </c>
      <c r="DQ11" s="39">
        <f ca="1" t="shared" si="20"/>
        <v>1</v>
      </c>
      <c r="DR11" s="39">
        <f ca="1" t="shared" si="21"/>
        <v>1</v>
      </c>
      <c r="DS11" s="39">
        <f ca="1" t="shared" si="22"/>
        <v>1</v>
      </c>
      <c r="DT11" s="39">
        <f ca="1" t="shared" si="23"/>
        <v>1</v>
      </c>
      <c r="DU11" s="39">
        <f ca="1" t="shared" si="24"/>
        <v>1</v>
      </c>
      <c r="DV11" s="39">
        <f ca="1" t="shared" si="25"/>
        <v>1</v>
      </c>
      <c r="DW11" s="39">
        <f ca="1" t="shared" si="26"/>
        <v>1</v>
      </c>
      <c r="DX11" s="39">
        <f ca="1" t="shared" si="27"/>
        <v>1</v>
      </c>
      <c r="DY11" s="39">
        <f ca="1" t="shared" si="28"/>
        <v>1</v>
      </c>
      <c r="DZ11" s="39">
        <f ca="1" t="shared" si="29"/>
        <v>1</v>
      </c>
      <c r="EA11" s="39">
        <f ca="1" t="shared" si="30"/>
        <v>1</v>
      </c>
      <c r="EB11" s="39">
        <f ca="1" t="shared" si="31"/>
        <v>1</v>
      </c>
      <c r="EC11" s="39">
        <f ca="1" t="shared" si="32"/>
        <v>1</v>
      </c>
      <c r="ED11" s="39">
        <f ca="1" t="shared" si="33"/>
        <v>1</v>
      </c>
      <c r="EE11" s="39">
        <f ca="1" t="shared" si="34"/>
        <v>1</v>
      </c>
      <c r="EF11" s="39">
        <f ca="1" t="shared" si="35"/>
        <v>1</v>
      </c>
      <c r="EG11" s="39">
        <f ca="1" t="shared" si="36"/>
        <v>1</v>
      </c>
      <c r="EH11" s="39">
        <f ca="1" t="shared" si="37"/>
        <v>1</v>
      </c>
      <c r="EI11" s="39">
        <f ca="1" t="shared" si="38"/>
        <v>1</v>
      </c>
      <c r="EJ11" s="39">
        <f ca="1" t="shared" si="39"/>
        <v>1</v>
      </c>
      <c r="EK11" s="39">
        <f ca="1" t="shared" si="40"/>
        <v>1</v>
      </c>
      <c r="EL11" s="39">
        <f ca="1" t="shared" si="41"/>
        <v>1</v>
      </c>
      <c r="EM11" s="39">
        <f ca="1" t="shared" si="42"/>
        <v>1</v>
      </c>
      <c r="EN11" s="39">
        <f ca="1" t="shared" si="43"/>
        <v>1</v>
      </c>
      <c r="EO11" s="39">
        <f ca="1" t="shared" si="44"/>
        <v>1</v>
      </c>
      <c r="EP11" s="39">
        <f ca="1" t="shared" si="45"/>
        <v>1</v>
      </c>
      <c r="EQ11" s="39">
        <f ca="1" t="shared" si="46"/>
        <v>1</v>
      </c>
      <c r="ER11" s="39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62">
        <v>2</v>
      </c>
      <c r="D12" s="63" t="s">
        <v>200</v>
      </c>
      <c r="E12" s="63" t="s">
        <v>211</v>
      </c>
      <c r="F12" s="64" t="str">
        <f t="shared" si="52"/>
        <v>Diesel</v>
      </c>
      <c r="G12" s="62"/>
      <c r="H12" s="68">
        <f ca="1">1-H6</f>
        <v>0.9</v>
      </c>
      <c r="I12" s="68">
        <f ca="1" t="shared" ref="I12:BA12" si="54">1-I6</f>
        <v>0.9</v>
      </c>
      <c r="J12" s="68">
        <f ca="1" t="shared" si="54"/>
        <v>0.98</v>
      </c>
      <c r="K12" s="68">
        <f ca="1" t="shared" si="54"/>
        <v>0.8</v>
      </c>
      <c r="L12" s="68">
        <f ca="1" t="shared" si="54"/>
        <v>0.95</v>
      </c>
      <c r="M12" s="68">
        <f ca="1" t="shared" si="54"/>
        <v>0.8</v>
      </c>
      <c r="N12" s="68">
        <f ca="1" t="shared" si="54"/>
        <v>0.93</v>
      </c>
      <c r="O12" s="68">
        <f ca="1" t="shared" si="54"/>
        <v>0.9</v>
      </c>
      <c r="P12" s="68">
        <f ca="1" t="shared" si="54"/>
        <v>0.8</v>
      </c>
      <c r="Q12" s="68">
        <f ca="1" t="shared" si="54"/>
        <v>0.8</v>
      </c>
      <c r="R12" s="68">
        <f ca="1" t="shared" si="54"/>
        <v>0.8</v>
      </c>
      <c r="S12" s="68">
        <f ca="1" t="shared" si="54"/>
        <v>0.8</v>
      </c>
      <c r="T12" s="68">
        <f ca="1" t="shared" si="54"/>
        <v>0.8</v>
      </c>
      <c r="U12" s="68">
        <f ca="1" t="shared" si="54"/>
        <v>0.8</v>
      </c>
      <c r="V12" s="68">
        <f ca="1" t="shared" si="54"/>
        <v>0.8</v>
      </c>
      <c r="W12" s="68">
        <f ca="1" t="shared" si="54"/>
        <v>0.75</v>
      </c>
      <c r="X12" s="68">
        <f ca="1" t="shared" si="54"/>
        <v>0.8</v>
      </c>
      <c r="Y12" s="68">
        <f ca="1" t="shared" si="54"/>
        <v>0.8</v>
      </c>
      <c r="Z12" s="68">
        <f ca="1" t="shared" si="54"/>
        <v>0.95</v>
      </c>
      <c r="AA12" s="68">
        <f ca="1" t="shared" si="54"/>
        <v>0.93</v>
      </c>
      <c r="AB12" s="68">
        <f ca="1" t="shared" si="54"/>
        <v>0.9</v>
      </c>
      <c r="AC12" s="68">
        <f ca="1" t="shared" si="54"/>
        <v>0.975593578177383</v>
      </c>
      <c r="AD12" s="68">
        <f ca="1" t="shared" si="54"/>
        <v>0.8</v>
      </c>
      <c r="AE12" s="68">
        <f ca="1" t="shared" si="54"/>
        <v>0.8</v>
      </c>
      <c r="AF12" s="68">
        <f ca="1" t="shared" si="54"/>
        <v>0.92</v>
      </c>
      <c r="AG12" s="68">
        <f ca="1" t="shared" si="54"/>
        <v>0.95</v>
      </c>
      <c r="AH12" s="68">
        <f ca="1" t="shared" si="54"/>
        <v>0.9</v>
      </c>
      <c r="AI12" s="68">
        <f ca="1" t="shared" si="54"/>
        <v>0.9</v>
      </c>
      <c r="AJ12" s="68">
        <f ca="1" t="shared" si="54"/>
        <v>0.8</v>
      </c>
      <c r="AK12" s="68">
        <f ca="1" t="shared" si="54"/>
        <v>0.8</v>
      </c>
      <c r="AL12" s="68">
        <f ca="1" t="shared" si="54"/>
        <v>0.8</v>
      </c>
      <c r="AM12" s="68">
        <f ca="1" t="shared" si="54"/>
        <v>0.9</v>
      </c>
      <c r="AN12" s="68">
        <f ca="1" t="shared" si="54"/>
        <v>0.8</v>
      </c>
      <c r="AO12" s="68">
        <f ca="1" t="shared" si="54"/>
        <v>0.95</v>
      </c>
      <c r="AP12" s="68">
        <f ca="1" t="shared" si="54"/>
        <v>0.8</v>
      </c>
      <c r="AQ12" s="68">
        <f ca="1" t="shared" si="54"/>
        <v>0.975593578177383</v>
      </c>
      <c r="AR12" s="68">
        <f ca="1" t="shared" si="54"/>
        <v>0.975593578177383</v>
      </c>
      <c r="AS12" s="68">
        <f ca="1" t="shared" si="54"/>
        <v>0.975593578177383</v>
      </c>
      <c r="AT12" s="68">
        <f ca="1" t="shared" si="54"/>
        <v>0.975593578177383</v>
      </c>
      <c r="AU12" s="68">
        <f ca="1" t="shared" si="54"/>
        <v>0.975593578177383</v>
      </c>
      <c r="AV12" s="68">
        <f ca="1" t="shared" si="54"/>
        <v>0.975593578177383</v>
      </c>
      <c r="AW12" s="68">
        <f ca="1" t="shared" si="54"/>
        <v>0.975593578177383</v>
      </c>
      <c r="AX12" s="68">
        <f ca="1" t="shared" si="54"/>
        <v>0.975593578177383</v>
      </c>
      <c r="AY12" s="68">
        <f ca="1" t="shared" si="54"/>
        <v>0.975593578177383</v>
      </c>
      <c r="AZ12" s="68">
        <f ca="1" t="shared" si="54"/>
        <v>0.975593578177383</v>
      </c>
      <c r="BA12" s="68">
        <f ca="1" t="shared" si="54"/>
        <v>0.975593578177383</v>
      </c>
      <c r="BD12" s="40">
        <f ca="1">IFERROR(SUMIFS('TRA balance'!E$5:E$40,'TRA balance'!$C$5:$C$40,Assumptions!$C12,'TRA balance'!$D$5:$D$40,Assumptions!$B12)*CY12*H12,"")</f>
        <v>0</v>
      </c>
      <c r="BE12" s="40">
        <f ca="1">IFERROR(SUMIFS('TRA balance'!F$5:F$40,'TRA balance'!$C$5:$C$40,Assumptions!$C12,'TRA balance'!$D$5:$D$40,Assumptions!$B12)*CZ12*I12,"")</f>
        <v>0</v>
      </c>
      <c r="BF12" s="40">
        <f ca="1">IFERROR(SUMIFS('TRA balance'!G$5:G$40,'TRA balance'!$C$5:$C$40,Assumptions!$C12,'TRA balance'!$D$5:$D$40,Assumptions!$B12)*DA12*J12,"")</f>
        <v>0</v>
      </c>
      <c r="BG12" s="40">
        <f ca="1">IFERROR(SUMIFS('TRA balance'!H$5:H$40,'TRA balance'!$C$5:$C$40,Assumptions!$C12,'TRA balance'!$D$5:$D$40,Assumptions!$B12)*DB12*K12,"")</f>
        <v>0</v>
      </c>
      <c r="BH12" s="40">
        <f ca="1">IFERROR(SUMIFS('TRA balance'!I$5:I$40,'TRA balance'!$C$5:$C$40,Assumptions!$C12,'TRA balance'!$D$5:$D$40,Assumptions!$B12)*DC12*L12,"")</f>
        <v>0</v>
      </c>
      <c r="BI12" s="40">
        <f ca="1">IFERROR(SUMIFS('TRA balance'!J$5:J$40,'TRA balance'!$C$5:$C$40,Assumptions!$C12,'TRA balance'!$D$5:$D$40,Assumptions!$B12)*DD12*M12,"")</f>
        <v>0</v>
      </c>
      <c r="BJ12" s="40">
        <f ca="1">IFERROR(SUMIFS('TRA balance'!K$5:K$40,'TRA balance'!$C$5:$C$40,Assumptions!$C12,'TRA balance'!$D$5:$D$40,Assumptions!$B12)*DE12*N12,"")</f>
        <v>0</v>
      </c>
      <c r="BK12" s="40">
        <f ca="1">IFERROR(SUMIFS('TRA balance'!L$5:L$40,'TRA balance'!$C$5:$C$40,Assumptions!$C12,'TRA balance'!$D$5:$D$40,Assumptions!$B12)*DF12*O12,"")</f>
        <v>0</v>
      </c>
      <c r="BL12" s="40">
        <f ca="1">IFERROR(SUMIFS('TRA balance'!M$5:M$40,'TRA balance'!$C$5:$C$40,Assumptions!$C12,'TRA balance'!$D$5:$D$40,Assumptions!$B12)*DG12*P12,"")</f>
        <v>0</v>
      </c>
      <c r="BM12" s="40">
        <f ca="1">IFERROR(SUMIFS('TRA balance'!N$5:N$40,'TRA balance'!$C$5:$C$40,Assumptions!$C12,'TRA balance'!$D$5:$D$40,Assumptions!$B12)*DH12*Q12,"")</f>
        <v>0</v>
      </c>
      <c r="BN12" s="40">
        <f ca="1">IFERROR(SUMIFS('TRA balance'!O$5:O$40,'TRA balance'!$C$5:$C$40,Assumptions!$C12,'TRA balance'!$D$5:$D$40,Assumptions!$B12)*DI12*R12,"")</f>
        <v>0</v>
      </c>
      <c r="BO12" s="40">
        <f ca="1">IFERROR(SUMIFS('TRA balance'!P$5:P$40,'TRA balance'!$C$5:$C$40,Assumptions!$C12,'TRA balance'!$D$5:$D$40,Assumptions!$B12)*DJ12*S12,"")</f>
        <v>0</v>
      </c>
      <c r="BP12" s="40">
        <f ca="1">IFERROR(SUMIFS('TRA balance'!Q$5:Q$40,'TRA balance'!$C$5:$C$40,Assumptions!$C12,'TRA balance'!$D$5:$D$40,Assumptions!$B12)*DK12*T12,"")</f>
        <v>0</v>
      </c>
      <c r="BQ12" s="40">
        <f ca="1">IFERROR(SUMIFS('TRA balance'!R$5:R$40,'TRA balance'!$C$5:$C$40,Assumptions!$C12,'TRA balance'!$D$5:$D$40,Assumptions!$B12)*DL12*U12,"")</f>
        <v>0</v>
      </c>
      <c r="BR12" s="40">
        <f ca="1">IFERROR(SUMIFS('TRA balance'!S$5:S$40,'TRA balance'!$C$5:$C$40,Assumptions!$C12,'TRA balance'!$D$5:$D$40,Assumptions!$B12)*DM12*V12,"")</f>
        <v>0</v>
      </c>
      <c r="BS12" s="40">
        <f ca="1">IFERROR(SUMIFS('TRA balance'!T$5:T$40,'TRA balance'!$C$5:$C$40,Assumptions!$C12,'TRA balance'!$D$5:$D$40,Assumptions!$B12)*DN12*W12,"")</f>
        <v>0</v>
      </c>
      <c r="BT12" s="40">
        <f ca="1">IFERROR(SUMIFS('TRA balance'!U$5:U$40,'TRA balance'!$C$5:$C$40,Assumptions!$C12,'TRA balance'!$D$5:$D$40,Assumptions!$B12)*DO12*X12,"")</f>
        <v>0</v>
      </c>
      <c r="BU12" s="40">
        <f ca="1">IFERROR(SUMIFS('TRA balance'!V$5:V$40,'TRA balance'!$C$5:$C$40,Assumptions!$C12,'TRA balance'!$D$5:$D$40,Assumptions!$B12)*DP12*Y12,"")</f>
        <v>0</v>
      </c>
      <c r="BV12" s="40">
        <f ca="1">IFERROR(SUMIFS('TRA balance'!W$5:W$40,'TRA balance'!$C$5:$C$40,Assumptions!$C12,'TRA balance'!$D$5:$D$40,Assumptions!$B12)*DQ12*Z12,"")</f>
        <v>0</v>
      </c>
      <c r="BW12" s="40">
        <f ca="1">IFERROR(SUMIFS('TRA balance'!X$5:X$40,'TRA balance'!$C$5:$C$40,Assumptions!$C12,'TRA balance'!$D$5:$D$40,Assumptions!$B12)*DR12*AA12,"")</f>
        <v>0</v>
      </c>
      <c r="BX12" s="40">
        <f ca="1">IFERROR(SUMIFS('TRA balance'!Y$5:Y$40,'TRA balance'!$C$5:$C$40,Assumptions!$C12,'TRA balance'!$D$5:$D$40,Assumptions!$B12)*DS12*AB12,"")</f>
        <v>0</v>
      </c>
      <c r="BY12" s="40">
        <f ca="1">IFERROR(SUMIFS('TRA balance'!Z$5:Z$40,'TRA balance'!$C$5:$C$40,Assumptions!$C12,'TRA balance'!$D$5:$D$40,Assumptions!$B12)*DT12*AC12,"")</f>
        <v>0</v>
      </c>
      <c r="BZ12" s="40">
        <f ca="1">IFERROR(SUMIFS('TRA balance'!AA$5:AA$40,'TRA balance'!$C$5:$C$40,Assumptions!$C12,'TRA balance'!$D$5:$D$40,Assumptions!$B12)*DU12*AD12,"")</f>
        <v>0</v>
      </c>
      <c r="CA12" s="40">
        <f ca="1">IFERROR(SUMIFS('TRA balance'!AB$5:AB$40,'TRA balance'!$C$5:$C$40,Assumptions!$C12,'TRA balance'!$D$5:$D$40,Assumptions!$B12)*DV12*AE12,"")</f>
        <v>0</v>
      </c>
      <c r="CB12" s="40">
        <f ca="1">IFERROR(SUMIFS('TRA balance'!AC$5:AC$40,'TRA balance'!$C$5:$C$40,Assumptions!$C12,'TRA balance'!$D$5:$D$40,Assumptions!$B12)*DW12*AF12,"")</f>
        <v>0</v>
      </c>
      <c r="CC12" s="40">
        <f ca="1">IFERROR(SUMIFS('TRA balance'!AD$5:AD$40,'TRA balance'!$C$5:$C$40,Assumptions!$C12,'TRA balance'!$D$5:$D$40,Assumptions!$B12)*DX12*AG12,"")</f>
        <v>0</v>
      </c>
      <c r="CD12" s="40">
        <f ca="1">IFERROR(SUMIFS('TRA balance'!AE$5:AE$40,'TRA balance'!$C$5:$C$40,Assumptions!$C12,'TRA balance'!$D$5:$D$40,Assumptions!$B12)*DY12*AH12,"")</f>
        <v>0</v>
      </c>
      <c r="CE12" s="40">
        <f ca="1">IFERROR(SUMIFS('TRA balance'!AF$5:AF$40,'TRA balance'!$C$5:$C$40,Assumptions!$C12,'TRA balance'!$D$5:$D$40,Assumptions!$B12)*DZ12*AI12,"")</f>
        <v>0</v>
      </c>
      <c r="CF12" s="40">
        <f ca="1">IFERROR(SUMIFS('TRA balance'!AG$5:AG$40,'TRA balance'!$C$5:$C$40,Assumptions!$C12,'TRA balance'!$D$5:$D$40,Assumptions!$B12)*EA12*AJ12,"")</f>
        <v>0</v>
      </c>
      <c r="CG12" s="40">
        <f ca="1">IFERROR(SUMIFS('TRA balance'!AH$5:AH$40,'TRA balance'!$C$5:$C$40,Assumptions!$C12,'TRA balance'!$D$5:$D$40,Assumptions!$B12)*EB12*AK12,"")</f>
        <v>0</v>
      </c>
      <c r="CH12" s="40">
        <f ca="1">IFERROR(SUMIFS('TRA balance'!AI$5:AI$40,'TRA balance'!$C$5:$C$40,Assumptions!$C12,'TRA balance'!$D$5:$D$40,Assumptions!$B12)*EC12*AL12,"")</f>
        <v>0</v>
      </c>
      <c r="CI12" s="40">
        <f ca="1">IFERROR(SUMIFS('TRA balance'!AJ$5:AJ$40,'TRA balance'!$C$5:$C$40,Assumptions!$C12,'TRA balance'!$D$5:$D$40,Assumptions!$B12)*ED12*AM12,"")</f>
        <v>0</v>
      </c>
      <c r="CJ12" s="40">
        <f ca="1">IFERROR(SUMIFS('TRA balance'!AK$5:AK$40,'TRA balance'!$C$5:$C$40,Assumptions!$C12,'TRA balance'!$D$5:$D$40,Assumptions!$B12)*EE12*AN12,"")</f>
        <v>0</v>
      </c>
      <c r="CK12" s="40">
        <f ca="1">IFERROR(SUMIFS('TRA balance'!AL$5:AL$40,'TRA balance'!$C$5:$C$40,Assumptions!$C12,'TRA balance'!$D$5:$D$40,Assumptions!$B12)*EF12*AO12,"")</f>
        <v>0</v>
      </c>
      <c r="CL12" s="40">
        <f ca="1">IFERROR(SUMIFS('TRA balance'!AM$5:AM$40,'TRA balance'!$C$5:$C$40,Assumptions!$C12,'TRA balance'!$D$5:$D$40,Assumptions!$B12)*EG12*AP12,"")</f>
        <v>0</v>
      </c>
      <c r="CM12" s="40">
        <f ca="1">IFERROR(SUMIFS('TRA balance'!AN$5:AN$40,'TRA balance'!$C$5:$C$40,Assumptions!$C12,'TRA balance'!$D$5:$D$40,Assumptions!$B12)*EH12*AQ12,"")</f>
        <v>0</v>
      </c>
      <c r="CN12" s="40">
        <f ca="1">IFERROR(SUMIFS('TRA balance'!AO$5:AO$40,'TRA balance'!$C$5:$C$40,Assumptions!$C12,'TRA balance'!$D$5:$D$40,Assumptions!$B12)*EI12*AR12,"")</f>
        <v>0</v>
      </c>
      <c r="CO12" s="40">
        <f ca="1">IFERROR(SUMIFS('TRA balance'!AP$5:AP$40,'TRA balance'!$C$5:$C$40,Assumptions!$C12,'TRA balance'!$D$5:$D$40,Assumptions!$B12)*EJ12*AS12,"")</f>
        <v>0</v>
      </c>
      <c r="CP12" s="40">
        <f ca="1">IFERROR(SUMIFS('TRA balance'!AQ$5:AQ$40,'TRA balance'!$C$5:$C$40,Assumptions!$C12,'TRA balance'!$D$5:$D$40,Assumptions!$B12)*EK12*AT12,"")</f>
        <v>0</v>
      </c>
      <c r="CQ12" s="40">
        <f ca="1">IFERROR(SUMIFS('TRA balance'!AR$5:AR$40,'TRA balance'!$C$5:$C$40,Assumptions!$C12,'TRA balance'!$D$5:$D$40,Assumptions!$B12)*EL12*AU12,"")</f>
        <v>0</v>
      </c>
      <c r="CR12" s="40">
        <f ca="1">IFERROR(SUMIFS('TRA balance'!AS$5:AS$40,'TRA balance'!$C$5:$C$40,Assumptions!$C12,'TRA balance'!$D$5:$D$40,Assumptions!$B12)*EM12*AV12,"")</f>
        <v>0</v>
      </c>
      <c r="CS12" s="40">
        <f ca="1">IFERROR(SUMIFS('TRA balance'!AT$5:AT$40,'TRA balance'!$C$5:$C$40,Assumptions!$C12,'TRA balance'!$D$5:$D$40,Assumptions!$B12)*EN12*AW12,"")</f>
        <v>0</v>
      </c>
      <c r="CT12" s="40">
        <f ca="1">IFERROR(SUMIFS('TRA balance'!AU$5:AU$40,'TRA balance'!$C$5:$C$40,Assumptions!$C12,'TRA balance'!$D$5:$D$40,Assumptions!$B12)*EO12*AX12,"")</f>
        <v>0</v>
      </c>
      <c r="CU12" s="40">
        <f ca="1">IFERROR(SUMIFS('TRA balance'!AV$5:AV$40,'TRA balance'!$C$5:$C$40,Assumptions!$C12,'TRA balance'!$D$5:$D$40,Assumptions!$B12)*EP12*AY12,"")</f>
        <v>0</v>
      </c>
      <c r="CV12" s="40">
        <f ca="1">IFERROR(SUMIFS('TRA balance'!AW$5:AW$40,'TRA balance'!$C$5:$C$40,Assumptions!$C12,'TRA balance'!$D$5:$D$40,Assumptions!$B12)*EQ12*AZ12,"")</f>
        <v>0</v>
      </c>
      <c r="CW12" s="40">
        <f ca="1">IFERROR(SUMIFS('TRA balance'!AX$5:AX$40,'TRA balance'!$C$5:$C$40,Assumptions!$C12,'TRA balance'!$D$5:$D$40,Assumptions!$B12)*ER12*BA12,"")</f>
        <v>0</v>
      </c>
      <c r="CY12" s="39">
        <f ca="1" t="shared" si="2"/>
        <v>1</v>
      </c>
      <c r="CZ12" s="39">
        <f ca="1" t="shared" si="3"/>
        <v>1</v>
      </c>
      <c r="DA12" s="39">
        <f ca="1" t="shared" si="4"/>
        <v>1</v>
      </c>
      <c r="DB12" s="39">
        <f ca="1" t="shared" si="5"/>
        <v>1</v>
      </c>
      <c r="DC12" s="39">
        <f ca="1" t="shared" si="6"/>
        <v>1</v>
      </c>
      <c r="DD12" s="39">
        <f ca="1" t="shared" si="7"/>
        <v>1</v>
      </c>
      <c r="DE12" s="39">
        <f ca="1" t="shared" si="8"/>
        <v>1</v>
      </c>
      <c r="DF12" s="39">
        <f ca="1" t="shared" si="9"/>
        <v>1</v>
      </c>
      <c r="DG12" s="39">
        <f ca="1" t="shared" si="10"/>
        <v>1</v>
      </c>
      <c r="DH12" s="39">
        <f ca="1" t="shared" si="11"/>
        <v>1</v>
      </c>
      <c r="DI12" s="39">
        <f ca="1" t="shared" si="12"/>
        <v>1</v>
      </c>
      <c r="DJ12" s="39">
        <f ca="1" t="shared" si="13"/>
        <v>1</v>
      </c>
      <c r="DK12" s="39">
        <f ca="1" t="shared" si="14"/>
        <v>1</v>
      </c>
      <c r="DL12" s="39">
        <f ca="1" t="shared" si="15"/>
        <v>1</v>
      </c>
      <c r="DM12" s="39">
        <f ca="1" t="shared" si="16"/>
        <v>1</v>
      </c>
      <c r="DN12" s="39">
        <f ca="1" t="shared" si="17"/>
        <v>1</v>
      </c>
      <c r="DO12" s="39">
        <f ca="1" t="shared" si="18"/>
        <v>1</v>
      </c>
      <c r="DP12" s="39">
        <f ca="1" t="shared" si="19"/>
        <v>1</v>
      </c>
      <c r="DQ12" s="39">
        <f ca="1" t="shared" si="20"/>
        <v>1</v>
      </c>
      <c r="DR12" s="39">
        <f ca="1" t="shared" si="21"/>
        <v>1</v>
      </c>
      <c r="DS12" s="39">
        <f ca="1" t="shared" si="22"/>
        <v>1</v>
      </c>
      <c r="DT12" s="39">
        <f ca="1" t="shared" si="23"/>
        <v>1</v>
      </c>
      <c r="DU12" s="39">
        <f ca="1" t="shared" si="24"/>
        <v>1</v>
      </c>
      <c r="DV12" s="39">
        <f ca="1" t="shared" si="25"/>
        <v>1</v>
      </c>
      <c r="DW12" s="39">
        <f ca="1" t="shared" si="26"/>
        <v>1</v>
      </c>
      <c r="DX12" s="39">
        <f ca="1" t="shared" si="27"/>
        <v>1</v>
      </c>
      <c r="DY12" s="39">
        <f ca="1" t="shared" si="28"/>
        <v>1</v>
      </c>
      <c r="DZ12" s="39">
        <f ca="1" t="shared" si="29"/>
        <v>1</v>
      </c>
      <c r="EA12" s="39">
        <f ca="1" t="shared" si="30"/>
        <v>1</v>
      </c>
      <c r="EB12" s="39">
        <f ca="1" t="shared" si="31"/>
        <v>1</v>
      </c>
      <c r="EC12" s="39">
        <f ca="1" t="shared" si="32"/>
        <v>1</v>
      </c>
      <c r="ED12" s="39">
        <f ca="1" t="shared" si="33"/>
        <v>1</v>
      </c>
      <c r="EE12" s="39">
        <f ca="1" t="shared" si="34"/>
        <v>1</v>
      </c>
      <c r="EF12" s="39">
        <f ca="1" t="shared" si="35"/>
        <v>1</v>
      </c>
      <c r="EG12" s="39">
        <f ca="1" t="shared" si="36"/>
        <v>1</v>
      </c>
      <c r="EH12" s="39">
        <f ca="1" t="shared" si="37"/>
        <v>1</v>
      </c>
      <c r="EI12" s="39">
        <f ca="1" t="shared" si="38"/>
        <v>1</v>
      </c>
      <c r="EJ12" s="39">
        <f ca="1" t="shared" si="39"/>
        <v>1</v>
      </c>
      <c r="EK12" s="39">
        <f ca="1" t="shared" si="40"/>
        <v>1</v>
      </c>
      <c r="EL12" s="39">
        <f ca="1" t="shared" si="41"/>
        <v>1</v>
      </c>
      <c r="EM12" s="39">
        <f ca="1" t="shared" si="42"/>
        <v>1</v>
      </c>
      <c r="EN12" s="39">
        <f ca="1" t="shared" si="43"/>
        <v>1</v>
      </c>
      <c r="EO12" s="39">
        <f ca="1" t="shared" si="44"/>
        <v>1</v>
      </c>
      <c r="EP12" s="39">
        <f ca="1" t="shared" si="45"/>
        <v>1</v>
      </c>
      <c r="EQ12" s="39">
        <f ca="1" t="shared" si="46"/>
        <v>1</v>
      </c>
      <c r="ER12" s="39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4" t="str">
        <f t="shared" si="48"/>
        <v>TR</v>
      </c>
      <c r="D13" s="55" t="s">
        <v>200</v>
      </c>
      <c r="E13" s="66" t="s">
        <v>212</v>
      </c>
      <c r="F13" s="56" t="str">
        <f t="shared" si="52"/>
        <v>Diesel</v>
      </c>
      <c r="G13" s="54" t="s">
        <v>213</v>
      </c>
      <c r="H13" s="57">
        <f ca="1">OFFSET(TIAM15_assumptions!$G13,0,MATCH(VLOOKUP(Assumptions!H$2,TIAM15_assumptions!$Y$3:$Z$87,2,FALSE),TIAM15_assumptions!$H$2:$V$2,0))</f>
        <v>0.35</v>
      </c>
      <c r="I13" s="57">
        <f ca="1">OFFSET(TIAM15_assumptions!$G13,0,MATCH(VLOOKUP(Assumptions!I$2,TIAM15_assumptions!$Y$3:$Z$87,2,FALSE),TIAM15_assumptions!$H$2:$V$2,0))</f>
        <v>0.35</v>
      </c>
      <c r="J13" s="57">
        <f ca="1">OFFSET(TIAM15_assumptions!$G13,0,MATCH(VLOOKUP(Assumptions!J$2,TIAM15_assumptions!$Y$3:$Z$87,2,FALSE),TIAM15_assumptions!$H$2:$V$2,0))</f>
        <v>0.15</v>
      </c>
      <c r="K13" s="57">
        <f ca="1">OFFSET(TIAM15_assumptions!$G13,0,MATCH(VLOOKUP(Assumptions!K$2,TIAM15_assumptions!$Y$3:$Z$87,2,FALSE),TIAM15_assumptions!$H$2:$V$2,0))</f>
        <v>0.05</v>
      </c>
      <c r="L13" s="57">
        <f ca="1">OFFSET(TIAM15_assumptions!$G13,0,MATCH(VLOOKUP(Assumptions!L$2,TIAM15_assumptions!$Y$3:$Z$87,2,FALSE),TIAM15_assumptions!$H$2:$V$2,0))</f>
        <v>0.1</v>
      </c>
      <c r="M13" s="57">
        <f ca="1">OFFSET(TIAM15_assumptions!$G13,0,MATCH(VLOOKUP(Assumptions!M$2,TIAM15_assumptions!$Y$3:$Z$87,2,FALSE),TIAM15_assumptions!$H$2:$V$2,0))</f>
        <v>0.05</v>
      </c>
      <c r="N13" s="57">
        <f ca="1">OFFSET(TIAM15_assumptions!$G13,0,MATCH(VLOOKUP(Assumptions!N$2,TIAM15_assumptions!$Y$3:$Z$87,2,FALSE),TIAM15_assumptions!$H$2:$V$2,0))</f>
        <v>0.1</v>
      </c>
      <c r="O13" s="57">
        <f ca="1">OFFSET(TIAM15_assumptions!$G13,0,MATCH(VLOOKUP(Assumptions!O$2,TIAM15_assumptions!$Y$3:$Z$87,2,FALSE),TIAM15_assumptions!$H$2:$V$2,0))</f>
        <v>0.35</v>
      </c>
      <c r="P13" s="57">
        <f ca="1">OFFSET(TIAM15_assumptions!$G13,0,MATCH(VLOOKUP(Assumptions!P$2,TIAM15_assumptions!$Y$3:$Z$87,2,FALSE),TIAM15_assumptions!$H$2:$V$2,0))</f>
        <v>0.1</v>
      </c>
      <c r="Q13" s="57">
        <f ca="1">OFFSET(TIAM15_assumptions!$G13,0,MATCH(VLOOKUP(Assumptions!Q$2,TIAM15_assumptions!$Y$3:$Z$87,2,FALSE),TIAM15_assumptions!$H$2:$V$2,0))</f>
        <v>0.1</v>
      </c>
      <c r="R13" s="57">
        <f ca="1">OFFSET(TIAM15_assumptions!$G13,0,MATCH(VLOOKUP(Assumptions!R$2,TIAM15_assumptions!$Y$3:$Z$87,2,FALSE),TIAM15_assumptions!$H$2:$V$2,0))</f>
        <v>0.05</v>
      </c>
      <c r="S13" s="57">
        <f ca="1">OFFSET(TIAM15_assumptions!$G13,0,MATCH(VLOOKUP(Assumptions!S$2,TIAM15_assumptions!$Y$3:$Z$87,2,FALSE),TIAM15_assumptions!$H$2:$V$2,0))</f>
        <v>0.05</v>
      </c>
      <c r="T13" s="57">
        <f ca="1">OFFSET(TIAM15_assumptions!$G13,0,MATCH(VLOOKUP(Assumptions!T$2,TIAM15_assumptions!$Y$3:$Z$87,2,FALSE),TIAM15_assumptions!$H$2:$V$2,0))</f>
        <v>0.05</v>
      </c>
      <c r="U13" s="57">
        <f ca="1">OFFSET(TIAM15_assumptions!$G13,0,MATCH(VLOOKUP(Assumptions!U$2,TIAM15_assumptions!$Y$3:$Z$87,2,FALSE),TIAM15_assumptions!$H$2:$V$2,0))</f>
        <v>0.1</v>
      </c>
      <c r="V13" s="57">
        <f ca="1">OFFSET(TIAM15_assumptions!$G13,0,MATCH(VLOOKUP(Assumptions!V$2,TIAM15_assumptions!$Y$3:$Z$87,2,FALSE),TIAM15_assumptions!$H$2:$V$2,0))</f>
        <v>0.05</v>
      </c>
      <c r="W13" s="57">
        <f ca="1">OFFSET(TIAM15_assumptions!$G13,0,MATCH(VLOOKUP(Assumptions!W$2,TIAM15_assumptions!$Y$3:$Z$87,2,FALSE),TIAM15_assumptions!$H$2:$V$2,0))</f>
        <v>0.25</v>
      </c>
      <c r="X13" s="57">
        <f ca="1">OFFSET(TIAM15_assumptions!$G13,0,MATCH(VLOOKUP(Assumptions!X$2,TIAM15_assumptions!$Y$3:$Z$87,2,FALSE),TIAM15_assumptions!$H$2:$V$2,0))</f>
        <v>0.05</v>
      </c>
      <c r="Y13" s="57">
        <f ca="1">OFFSET(TIAM15_assumptions!$G13,0,MATCH(VLOOKUP(Assumptions!Y$2,TIAM15_assumptions!$Y$3:$Z$87,2,FALSE),TIAM15_assumptions!$H$2:$V$2,0))</f>
        <v>0.05</v>
      </c>
      <c r="Z13" s="57">
        <f ca="1">OFFSET(TIAM15_assumptions!$G13,0,MATCH(VLOOKUP(Assumptions!Z$2,TIAM15_assumptions!$Y$3:$Z$87,2,FALSE),TIAM15_assumptions!$H$2:$V$2,0))</f>
        <v>0.05</v>
      </c>
      <c r="AA13" s="57">
        <f ca="1">OFFSET(TIAM15_assumptions!$G13,0,MATCH(VLOOKUP(Assumptions!AA$2,TIAM15_assumptions!$Y$3:$Z$87,2,FALSE),TIAM15_assumptions!$H$2:$V$2,0))</f>
        <v>0.1</v>
      </c>
      <c r="AB13" s="57">
        <f ca="1">OFFSET(TIAM15_assumptions!$G13,0,MATCH(VLOOKUP(Assumptions!AB$2,TIAM15_assumptions!$Y$3:$Z$87,2,FALSE),TIAM15_assumptions!$H$2:$V$2,0))</f>
        <v>0.1</v>
      </c>
      <c r="AC13" s="57">
        <f ca="1">OFFSET(TIAM15_assumptions!$G13,0,MATCH(VLOOKUP(Assumptions!AC$2,TIAM15_assumptions!$Y$3:$Z$87,2,FALSE),TIAM15_assumptions!$H$2:$V$2,0))</f>
        <v>0.04</v>
      </c>
      <c r="AD13" s="57">
        <f ca="1">OFFSET(TIAM15_assumptions!$G13,0,MATCH(VLOOKUP(Assumptions!AD$2,TIAM15_assumptions!$Y$3:$Z$87,2,FALSE),TIAM15_assumptions!$H$2:$V$2,0))</f>
        <v>0.05</v>
      </c>
      <c r="AE13" s="57">
        <f ca="1">OFFSET(TIAM15_assumptions!$G13,0,MATCH(VLOOKUP(Assumptions!AE$2,TIAM15_assumptions!$Y$3:$Z$87,2,FALSE),TIAM15_assumptions!$H$2:$V$2,0))</f>
        <v>0.1</v>
      </c>
      <c r="AF13" s="57">
        <f ca="1">OFFSET(TIAM15_assumptions!$G13,0,MATCH(VLOOKUP(Assumptions!AF$2,TIAM15_assumptions!$Y$3:$Z$87,2,FALSE),TIAM15_assumptions!$H$2:$V$2,0))</f>
        <v>0.15</v>
      </c>
      <c r="AG13" s="57">
        <f ca="1">OFFSET(TIAM15_assumptions!$G13,0,MATCH(VLOOKUP(Assumptions!AG$2,TIAM15_assumptions!$Y$3:$Z$87,2,FALSE),TIAM15_assumptions!$H$2:$V$2,0))</f>
        <v>0.1</v>
      </c>
      <c r="AH13" s="57">
        <f ca="1">OFFSET(TIAM15_assumptions!$G13,0,MATCH(VLOOKUP(Assumptions!AH$2,TIAM15_assumptions!$Y$3:$Z$87,2,FALSE),TIAM15_assumptions!$H$2:$V$2,0))</f>
        <v>0.1</v>
      </c>
      <c r="AI13" s="57">
        <f ca="1">OFFSET(TIAM15_assumptions!$G13,0,MATCH(VLOOKUP(Assumptions!AI$2,TIAM15_assumptions!$Y$3:$Z$87,2,FALSE),TIAM15_assumptions!$H$2:$V$2,0))</f>
        <v>0.35</v>
      </c>
      <c r="AJ13" s="57">
        <f ca="1">OFFSET(TIAM15_assumptions!$G13,0,MATCH(VLOOKUP(Assumptions!AJ$2,TIAM15_assumptions!$Y$3:$Z$87,2,FALSE),TIAM15_assumptions!$H$2:$V$2,0))</f>
        <v>0.05</v>
      </c>
      <c r="AK13" s="57">
        <f ca="1">OFFSET(TIAM15_assumptions!$G13,0,MATCH(VLOOKUP(Assumptions!AK$2,TIAM15_assumptions!$Y$3:$Z$87,2,FALSE),TIAM15_assumptions!$H$2:$V$2,0))</f>
        <v>0.05</v>
      </c>
      <c r="AL13" s="57">
        <f ca="1">OFFSET(TIAM15_assumptions!$G13,0,MATCH(VLOOKUP(Assumptions!AL$2,TIAM15_assumptions!$Y$3:$Z$87,2,FALSE),TIAM15_assumptions!$H$2:$V$2,0))</f>
        <v>0.05</v>
      </c>
      <c r="AM13" s="57">
        <f ca="1">OFFSET(TIAM15_assumptions!$G13,0,MATCH(VLOOKUP(Assumptions!AM$2,TIAM15_assumptions!$Y$3:$Z$87,2,FALSE),TIAM15_assumptions!$H$2:$V$2,0))</f>
        <v>0.1</v>
      </c>
      <c r="AN13" s="57">
        <f ca="1">OFFSET(TIAM15_assumptions!$G13,0,MATCH(VLOOKUP(Assumptions!AN$2,TIAM15_assumptions!$Y$3:$Z$87,2,FALSE),TIAM15_assumptions!$H$2:$V$2,0))</f>
        <v>0.05</v>
      </c>
      <c r="AO13" s="57">
        <f ca="1">OFFSET(TIAM15_assumptions!$G13,0,MATCH(VLOOKUP(Assumptions!AO$2,TIAM15_assumptions!$Y$3:$Z$87,2,FALSE),TIAM15_assumptions!$H$2:$V$2,0))</f>
        <v>0.1</v>
      </c>
      <c r="AP13" s="57">
        <f ca="1">OFFSET(TIAM15_assumptions!$G13,0,MATCH(VLOOKUP(Assumptions!AP$2,TIAM15_assumptions!$Y$3:$Z$87,2,FALSE),TIAM15_assumptions!$H$2:$V$2,0))</f>
        <v>0.1</v>
      </c>
      <c r="AQ13" s="57">
        <f ca="1">OFFSET(TIAM15_assumptions!$G13,0,MATCH(VLOOKUP(Assumptions!AQ$2,TIAM15_assumptions!$Y$3:$Z$87,2,FALSE),TIAM15_assumptions!$H$2:$V$2,0))</f>
        <v>0.04</v>
      </c>
      <c r="AR13" s="57">
        <f ca="1">OFFSET(TIAM15_assumptions!$G13,0,MATCH(VLOOKUP(Assumptions!AR$2,TIAM15_assumptions!$Y$3:$Z$87,2,FALSE),TIAM15_assumptions!$H$2:$V$2,0))</f>
        <v>0.04</v>
      </c>
      <c r="AS13" s="57">
        <f ca="1">OFFSET(TIAM15_assumptions!$G13,0,MATCH(VLOOKUP(Assumptions!AS$2,TIAM15_assumptions!$Y$3:$Z$87,2,FALSE),TIAM15_assumptions!$H$2:$V$2,0))</f>
        <v>0.04</v>
      </c>
      <c r="AT13" s="57">
        <f ca="1">OFFSET(TIAM15_assumptions!$G13,0,MATCH(VLOOKUP(Assumptions!AT$2,TIAM15_assumptions!$Y$3:$Z$87,2,FALSE),TIAM15_assumptions!$H$2:$V$2,0))</f>
        <v>0.04</v>
      </c>
      <c r="AU13" s="57">
        <f ca="1">OFFSET(TIAM15_assumptions!$G13,0,MATCH(VLOOKUP(Assumptions!AU$2,TIAM15_assumptions!$Y$3:$Z$87,2,FALSE),TIAM15_assumptions!$H$2:$V$2,0))</f>
        <v>0.04</v>
      </c>
      <c r="AV13" s="57">
        <f ca="1">OFFSET(TIAM15_assumptions!$G13,0,MATCH(VLOOKUP(Assumptions!AV$2,TIAM15_assumptions!$Y$3:$Z$87,2,FALSE),TIAM15_assumptions!$H$2:$V$2,0))</f>
        <v>0.04</v>
      </c>
      <c r="AW13" s="57">
        <f ca="1">OFFSET(TIAM15_assumptions!$G13,0,MATCH(VLOOKUP(Assumptions!AW$2,TIAM15_assumptions!$Y$3:$Z$87,2,FALSE),TIAM15_assumptions!$H$2:$V$2,0))</f>
        <v>0.04</v>
      </c>
      <c r="AX13" s="57">
        <f ca="1">OFFSET(TIAM15_assumptions!$G13,0,MATCH(VLOOKUP(Assumptions!AX$2,TIAM15_assumptions!$Y$3:$Z$87,2,FALSE),TIAM15_assumptions!$H$2:$V$2,0))</f>
        <v>0.04</v>
      </c>
      <c r="AY13" s="57">
        <f ca="1">OFFSET(TIAM15_assumptions!$G13,0,MATCH(VLOOKUP(Assumptions!AY$2,TIAM15_assumptions!$Y$3:$Z$87,2,FALSE),TIAM15_assumptions!$H$2:$V$2,0))</f>
        <v>0.04</v>
      </c>
      <c r="AZ13" s="57">
        <f ca="1">OFFSET(TIAM15_assumptions!$G13,0,MATCH(VLOOKUP(Assumptions!AZ$2,TIAM15_assumptions!$Y$3:$Z$87,2,FALSE),TIAM15_assumptions!$H$2:$V$2,0))</f>
        <v>0.04</v>
      </c>
      <c r="BA13" s="57">
        <f ca="1">OFFSET(TIAM15_assumptions!$G13,0,MATCH(VLOOKUP(Assumptions!BA$2,TIAM15_assumptions!$Y$3:$Z$87,2,FALSE),TIAM15_assumptions!$H$2:$V$2,0))</f>
        <v>0.04</v>
      </c>
      <c r="BD13" s="40">
        <f ca="1">IFERROR(SUMIFS('TRA balance'!E$5:E$40,'TRA balance'!$C$5:$C$40,Assumptions!$C13,'TRA balance'!$D$5:$D$40,Assumptions!$B13)*CY13*H13,"")</f>
        <v>350.28647281089</v>
      </c>
      <c r="BE13" s="40">
        <f ca="1">IFERROR(SUMIFS('TRA balance'!F$5:F$40,'TRA balance'!$C$5:$C$40,Assumptions!$C13,'TRA balance'!$D$5:$D$40,Assumptions!$B13)*CZ13*I13,"")</f>
        <v>311.291700338304</v>
      </c>
      <c r="BF13" s="40">
        <f ca="1">IFERROR(SUMIFS('TRA balance'!G$5:G$40,'TRA balance'!$C$5:$C$40,Assumptions!$C13,'TRA balance'!$D$5:$D$40,Assumptions!$B13)*DA13*J13,"")</f>
        <v>84.6187729258788</v>
      </c>
      <c r="BG13" s="40">
        <f ca="1">IFERROR(SUMIFS('TRA balance'!H$5:H$40,'TRA balance'!$C$5:$C$40,Assumptions!$C13,'TRA balance'!$D$5:$D$40,Assumptions!$B13)*DB13*K13,"")</f>
        <v>10.346021744112</v>
      </c>
      <c r="BH13" s="40">
        <f ca="1">IFERROR(SUMIFS('TRA balance'!I$5:I$40,'TRA balance'!$C$5:$C$40,Assumptions!$C13,'TRA balance'!$D$5:$D$40,Assumptions!$B13)*DC13*L13,"")</f>
        <v>11.52065521683</v>
      </c>
      <c r="BI13" s="40">
        <f ca="1">IFERROR(SUMIFS('TRA balance'!J$5:J$40,'TRA balance'!$C$5:$C$40,Assumptions!$C13,'TRA balance'!$D$5:$D$40,Assumptions!$B13)*DD13*M13,"")</f>
        <v>21.929287268304</v>
      </c>
      <c r="BJ13" s="40">
        <f ca="1">IFERROR(SUMIFS('TRA balance'!K$5:K$40,'TRA balance'!$C$5:$C$40,Assumptions!$C13,'TRA balance'!$D$5:$D$40,Assumptions!$B13)*DE13*N13,"")</f>
        <v>133.547221427659</v>
      </c>
      <c r="BK13" s="40">
        <f ca="1">IFERROR(SUMIFS('TRA balance'!L$5:L$40,'TRA balance'!$C$5:$C$40,Assumptions!$C13,'TRA balance'!$D$5:$D$40,Assumptions!$B13)*DF13*O13,"")</f>
        <v>1222.63205802709</v>
      </c>
      <c r="BL13" s="40">
        <f ca="1">IFERROR(SUMIFS('TRA balance'!M$5:M$40,'TRA balance'!$C$5:$C$40,Assumptions!$C13,'TRA balance'!$D$5:$D$40,Assumptions!$B13)*DG13*P13,"")</f>
        <v>9.63952252272</v>
      </c>
      <c r="BM13" s="40">
        <f ca="1">IFERROR(SUMIFS('TRA balance'!N$5:N$40,'TRA balance'!$C$5:$C$40,Assumptions!$C13,'TRA balance'!$D$5:$D$40,Assumptions!$B13)*DH13*Q13,"")</f>
        <v>20.655887958144</v>
      </c>
      <c r="BN13" s="40">
        <f ca="1">IFERROR(SUMIFS('TRA balance'!O$5:O$40,'TRA balance'!$C$5:$C$40,Assumptions!$C13,'TRA balance'!$D$5:$D$40,Assumptions!$B13)*DI13*R13,"")</f>
        <v>51.456004953552</v>
      </c>
      <c r="BO13" s="40">
        <f ca="1">IFERROR(SUMIFS('TRA balance'!P$5:P$40,'TRA balance'!$C$5:$C$40,Assumptions!$C13,'TRA balance'!$D$5:$D$40,Assumptions!$B13)*DJ13*S13,"")</f>
        <v>55.5708479292</v>
      </c>
      <c r="BP13" s="40">
        <f ca="1">IFERROR(SUMIFS('TRA balance'!Q$5:Q$40,'TRA balance'!$C$5:$C$40,Assumptions!$C13,'TRA balance'!$D$5:$D$40,Assumptions!$B13)*DK13*T13,"")</f>
        <v>4.493910321072</v>
      </c>
      <c r="BQ13" s="40">
        <f ca="1">IFERROR(SUMIFS('TRA balance'!R$5:R$40,'TRA balance'!$C$5:$C$40,Assumptions!$C13,'TRA balance'!$D$5:$D$40,Assumptions!$B13)*DL13*U13,"")</f>
        <v>32.227478004384</v>
      </c>
      <c r="BR13" s="40">
        <f ca="1">IFERROR(SUMIFS('TRA balance'!S$5:S$40,'TRA balance'!$C$5:$C$40,Assumptions!$C13,'TRA balance'!$D$5:$D$40,Assumptions!$B13)*DM13*V13,"")</f>
        <v>0.308183816592</v>
      </c>
      <c r="BS13" s="40">
        <f ca="1">IFERROR(SUMIFS('TRA balance'!T$5:T$40,'TRA balance'!$C$5:$C$40,Assumptions!$C13,'TRA balance'!$D$5:$D$40,Assumptions!$B13)*DN13*W13,"")</f>
        <v>456.311047631175</v>
      </c>
      <c r="BT13" s="40">
        <f ca="1">IFERROR(SUMIFS('TRA balance'!U$5:U$40,'TRA balance'!$C$5:$C$40,Assumptions!$C13,'TRA balance'!$D$5:$D$40,Assumptions!$B13)*DO13*X13,"")</f>
        <v>4.93378540992</v>
      </c>
      <c r="BU13" s="40">
        <f ca="1">IFERROR(SUMIFS('TRA balance'!V$5:V$40,'TRA balance'!$C$5:$C$40,Assumptions!$C13,'TRA balance'!$D$5:$D$40,Assumptions!$B13)*DP13*Y13,"")</f>
        <v>36.001799325072</v>
      </c>
      <c r="BV13" s="40">
        <f ca="1">IFERROR(SUMIFS('TRA balance'!W$5:W$40,'TRA balance'!$C$5:$C$40,Assumptions!$C13,'TRA balance'!$D$5:$D$40,Assumptions!$B13)*DQ13*Z13,"")</f>
        <v>43.380371732571</v>
      </c>
      <c r="BW13" s="40">
        <f ca="1">IFERROR(SUMIFS('TRA balance'!X$5:X$40,'TRA balance'!$C$5:$C$40,Assumptions!$C13,'TRA balance'!$D$5:$D$40,Assumptions!$B13)*DR13*AA13,"")</f>
        <v>137.116218190997</v>
      </c>
      <c r="BX13" s="40">
        <f ca="1">IFERROR(SUMIFS('TRA balance'!Y$5:Y$40,'TRA balance'!$C$5:$C$40,Assumptions!$C13,'TRA balance'!$D$5:$D$40,Assumptions!$B13)*DS13*AB13,"")</f>
        <v>134.798933515752</v>
      </c>
      <c r="BY13" s="40">
        <f ca="1">IFERROR(SUMIFS('TRA balance'!Z$5:Z$40,'TRA balance'!$C$5:$C$40,Assumptions!$C13,'TRA balance'!$D$5:$D$40,Assumptions!$B13)*DT13*AC13,"")</f>
        <v>245.85528386383</v>
      </c>
      <c r="BZ13" s="40">
        <f ca="1">IFERROR(SUMIFS('TRA balance'!AA$5:AA$40,'TRA balance'!$C$5:$C$40,Assumptions!$C13,'TRA balance'!$D$5:$D$40,Assumptions!$B13)*DU13*AD13,"")</f>
        <v>3.54400645752</v>
      </c>
      <c r="CA13" s="40">
        <f ca="1">IFERROR(SUMIFS('TRA balance'!AB$5:AB$40,'TRA balance'!$C$5:$C$40,Assumptions!$C13,'TRA balance'!$D$5:$D$40,Assumptions!$B13)*DV13*AE13,"")</f>
        <v>47.423857139424</v>
      </c>
      <c r="CB13" s="40">
        <f ca="1">IFERROR(SUMIFS('TRA balance'!AC$5:AC$40,'TRA balance'!$C$5:$C$40,Assumptions!$C13,'TRA balance'!$D$5:$D$40,Assumptions!$B13)*DW13*AF13,"")</f>
        <v>554.121250123097</v>
      </c>
      <c r="CC13" s="40">
        <f ca="1">IFERROR(SUMIFS('TRA balance'!AD$5:AD$40,'TRA balance'!$C$5:$C$40,Assumptions!$C13,'TRA balance'!$D$5:$D$40,Assumptions!$B13)*DX13*AG13,"")</f>
        <v>66.62630518128</v>
      </c>
      <c r="CD13" s="40">
        <f ca="1">IFERROR(SUMIFS('TRA balance'!AE$5:AE$40,'TRA balance'!$C$5:$C$40,Assumptions!$C13,'TRA balance'!$D$5:$D$40,Assumptions!$B13)*DY13*AH13,"")</f>
        <v>76.66188516756</v>
      </c>
      <c r="CE13" s="40">
        <f ca="1">IFERROR(SUMIFS('TRA balance'!AF$5:AF$40,'TRA balance'!$C$5:$C$40,Assumptions!$C13,'TRA balance'!$D$5:$D$40,Assumptions!$B13)*DZ13*AI13,"")</f>
        <v>109.345380133248</v>
      </c>
      <c r="CF13" s="40">
        <f ca="1">IFERROR(SUMIFS('TRA balance'!AG$5:AG$40,'TRA balance'!$C$5:$C$40,Assumptions!$C13,'TRA balance'!$D$5:$D$40,Assumptions!$B13)*EA13*AJ13,"")</f>
        <v>42.96729206952</v>
      </c>
      <c r="CG13" s="40">
        <f ca="1">IFERROR(SUMIFS('TRA balance'!AH$5:AH$40,'TRA balance'!$C$5:$C$40,Assumptions!$C13,'TRA balance'!$D$5:$D$40,Assumptions!$B13)*EB13*AK13,"")</f>
        <v>12.898516589568</v>
      </c>
      <c r="CH13" s="40">
        <f ca="1">IFERROR(SUMIFS('TRA balance'!AI$5:AI$40,'TRA balance'!$C$5:$C$40,Assumptions!$C13,'TRA balance'!$D$5:$D$40,Assumptions!$B13)*EC13*AL13,"")</f>
        <v>4.55260741488</v>
      </c>
      <c r="CI13" s="40">
        <f ca="1">IFERROR(SUMIFS('TRA balance'!AJ$5:AJ$40,'TRA balance'!$C$5:$C$40,Assumptions!$C13,'TRA balance'!$D$5:$D$40,Assumptions!$B13)*ED13*AM13,"")</f>
        <v>74.011536139428</v>
      </c>
      <c r="CJ13" s="40">
        <f ca="1">IFERROR(SUMIFS('TRA balance'!AK$5:AK$40,'TRA balance'!$C$5:$C$40,Assumptions!$C13,'TRA balance'!$D$5:$D$40,Assumptions!$B13)*EE13*AN13,"")</f>
        <v>40.565577289824</v>
      </c>
      <c r="CK13" s="40">
        <f ca="1">IFERROR(SUMIFS('TRA balance'!AL$5:AL$40,'TRA balance'!$C$5:$C$40,Assumptions!$C13,'TRA balance'!$D$5:$D$40,Assumptions!$B13)*EF13*AO13,"")</f>
        <v>17.270468210862</v>
      </c>
      <c r="CL13" s="40">
        <f ca="1">IFERROR(SUMIFS('TRA balance'!AM$5:AM$40,'TRA balance'!$C$5:$C$40,Assumptions!$C13,'TRA balance'!$D$5:$D$40,Assumptions!$B13)*EG13*AP13,"")</f>
        <v>15.01764799248</v>
      </c>
      <c r="CM13" s="40">
        <f ca="1">IFERROR(SUMIFS('TRA balance'!AN$5:AN$40,'TRA balance'!$C$5:$C$40,Assumptions!$C13,'TRA balance'!$D$5:$D$40,Assumptions!$B13)*EH13*AQ13,"")</f>
        <v>0</v>
      </c>
      <c r="CN13" s="40">
        <f ca="1">IFERROR(SUMIFS('TRA balance'!AO$5:AO$40,'TRA balance'!$C$5:$C$40,Assumptions!$C13,'TRA balance'!$D$5:$D$40,Assumptions!$B13)*EI13*AR13,"")</f>
        <v>0</v>
      </c>
      <c r="CO13" s="40">
        <f ca="1">IFERROR(SUMIFS('TRA balance'!AP$5:AP$40,'TRA balance'!$C$5:$C$40,Assumptions!$C13,'TRA balance'!$D$5:$D$40,Assumptions!$B13)*EJ13*AS13,"")</f>
        <v>0</v>
      </c>
      <c r="CP13" s="40">
        <f ca="1">IFERROR(SUMIFS('TRA balance'!AQ$5:AQ$40,'TRA balance'!$C$5:$C$40,Assumptions!$C13,'TRA balance'!$D$5:$D$40,Assumptions!$B13)*EK13*AT13,"")</f>
        <v>0</v>
      </c>
      <c r="CQ13" s="40">
        <f ca="1">IFERROR(SUMIFS('TRA balance'!AR$5:AR$40,'TRA balance'!$C$5:$C$40,Assumptions!$C13,'TRA balance'!$D$5:$D$40,Assumptions!$B13)*EL13*AU13,"")</f>
        <v>0</v>
      </c>
      <c r="CR13" s="40">
        <f ca="1">IFERROR(SUMIFS('TRA balance'!AS$5:AS$40,'TRA balance'!$C$5:$C$40,Assumptions!$C13,'TRA balance'!$D$5:$D$40,Assumptions!$B13)*EM13*AV13,"")</f>
        <v>0</v>
      </c>
      <c r="CS13" s="40">
        <f ca="1">IFERROR(SUMIFS('TRA balance'!AT$5:AT$40,'TRA balance'!$C$5:$C$40,Assumptions!$C13,'TRA balance'!$D$5:$D$40,Assumptions!$B13)*EN13*AW13,"")</f>
        <v>0</v>
      </c>
      <c r="CT13" s="40">
        <f ca="1">IFERROR(SUMIFS('TRA balance'!AU$5:AU$40,'TRA balance'!$C$5:$C$40,Assumptions!$C13,'TRA balance'!$D$5:$D$40,Assumptions!$B13)*EO13*AX13,"")</f>
        <v>0</v>
      </c>
      <c r="CU13" s="40">
        <f ca="1">IFERROR(SUMIFS('TRA balance'!AV$5:AV$40,'TRA balance'!$C$5:$C$40,Assumptions!$C13,'TRA balance'!$D$5:$D$40,Assumptions!$B13)*EP13*AY13,"")</f>
        <v>0</v>
      </c>
      <c r="CV13" s="40">
        <f ca="1">IFERROR(SUMIFS('TRA balance'!AW$5:AW$40,'TRA balance'!$C$5:$C$40,Assumptions!$C13,'TRA balance'!$D$5:$D$40,Assumptions!$B13)*EQ13*AZ13,"")</f>
        <v>0</v>
      </c>
      <c r="CW13" s="40">
        <f ca="1">IFERROR(SUMIFS('TRA balance'!AX$5:AX$40,'TRA balance'!$C$5:$C$40,Assumptions!$C13,'TRA balance'!$D$5:$D$40,Assumptions!$B13)*ER13*BA13,"")</f>
        <v>0</v>
      </c>
      <c r="CY13" s="39">
        <f ca="1" t="shared" si="2"/>
        <v>0.9</v>
      </c>
      <c r="CZ13" s="39">
        <f ca="1" t="shared" si="3"/>
        <v>0.9</v>
      </c>
      <c r="DA13" s="39">
        <f ca="1" t="shared" si="4"/>
        <v>0.98</v>
      </c>
      <c r="DB13" s="39">
        <f ca="1" t="shared" si="5"/>
        <v>0.8</v>
      </c>
      <c r="DC13" s="39">
        <f ca="1" t="shared" si="6"/>
        <v>0.95</v>
      </c>
      <c r="DD13" s="39">
        <f ca="1" t="shared" si="7"/>
        <v>0.8</v>
      </c>
      <c r="DE13" s="39">
        <f ca="1" t="shared" si="8"/>
        <v>0.93</v>
      </c>
      <c r="DF13" s="39">
        <f ca="1" t="shared" si="9"/>
        <v>0.9</v>
      </c>
      <c r="DG13" s="39">
        <f ca="1" t="shared" si="10"/>
        <v>0.8</v>
      </c>
      <c r="DH13" s="39">
        <f ca="1" t="shared" si="11"/>
        <v>0.8</v>
      </c>
      <c r="DI13" s="39">
        <f ca="1" t="shared" si="12"/>
        <v>0.8</v>
      </c>
      <c r="DJ13" s="39">
        <f ca="1" t="shared" si="13"/>
        <v>0.8</v>
      </c>
      <c r="DK13" s="39">
        <f ca="1" t="shared" si="14"/>
        <v>0.8</v>
      </c>
      <c r="DL13" s="39">
        <f ca="1" t="shared" si="15"/>
        <v>0.8</v>
      </c>
      <c r="DM13" s="39">
        <f ca="1" t="shared" si="16"/>
        <v>0.8</v>
      </c>
      <c r="DN13" s="39">
        <f ca="1" t="shared" si="17"/>
        <v>0.75</v>
      </c>
      <c r="DO13" s="39">
        <f ca="1" t="shared" si="18"/>
        <v>0.8</v>
      </c>
      <c r="DP13" s="39">
        <f ca="1" t="shared" si="19"/>
        <v>0.8</v>
      </c>
      <c r="DQ13" s="39">
        <f ca="1" t="shared" si="20"/>
        <v>0.95</v>
      </c>
      <c r="DR13" s="39">
        <f ca="1" t="shared" si="21"/>
        <v>0.93</v>
      </c>
      <c r="DS13" s="39">
        <f ca="1" t="shared" si="22"/>
        <v>0.9</v>
      </c>
      <c r="DT13" s="39">
        <f ca="1" t="shared" si="23"/>
        <v>0.975593578177383</v>
      </c>
      <c r="DU13" s="39">
        <f ca="1" t="shared" si="24"/>
        <v>0.8</v>
      </c>
      <c r="DV13" s="39">
        <f ca="1" t="shared" si="25"/>
        <v>0.8</v>
      </c>
      <c r="DW13" s="39">
        <f ca="1" t="shared" si="26"/>
        <v>0.92</v>
      </c>
      <c r="DX13" s="39">
        <f ca="1" t="shared" si="27"/>
        <v>0.95</v>
      </c>
      <c r="DY13" s="39">
        <f ca="1" t="shared" si="28"/>
        <v>0.9</v>
      </c>
      <c r="DZ13" s="39">
        <f ca="1" t="shared" si="29"/>
        <v>0.9</v>
      </c>
      <c r="EA13" s="39">
        <f ca="1" t="shared" si="30"/>
        <v>0.8</v>
      </c>
      <c r="EB13" s="39">
        <f ca="1" t="shared" si="31"/>
        <v>0.8</v>
      </c>
      <c r="EC13" s="39">
        <f ca="1" t="shared" si="32"/>
        <v>0.8</v>
      </c>
      <c r="ED13" s="39">
        <f ca="1" t="shared" si="33"/>
        <v>0.9</v>
      </c>
      <c r="EE13" s="39">
        <f ca="1" t="shared" si="34"/>
        <v>0.8</v>
      </c>
      <c r="EF13" s="39">
        <f ca="1" t="shared" si="35"/>
        <v>0.95</v>
      </c>
      <c r="EG13" s="39">
        <f ca="1" t="shared" si="36"/>
        <v>0.8</v>
      </c>
      <c r="EH13" s="39">
        <f ca="1" t="shared" si="37"/>
        <v>0.975593578177383</v>
      </c>
      <c r="EI13" s="39">
        <f ca="1" t="shared" si="38"/>
        <v>0.975593578177383</v>
      </c>
      <c r="EJ13" s="39">
        <f ca="1" t="shared" si="39"/>
        <v>0.975593578177383</v>
      </c>
      <c r="EK13" s="39">
        <f ca="1" t="shared" si="40"/>
        <v>0.975593578177383</v>
      </c>
      <c r="EL13" s="39">
        <f ca="1" t="shared" si="41"/>
        <v>0.975593578177383</v>
      </c>
      <c r="EM13" s="39">
        <f ca="1" t="shared" si="42"/>
        <v>0.975593578177383</v>
      </c>
      <c r="EN13" s="39">
        <f ca="1" t="shared" si="43"/>
        <v>0.975593578177383</v>
      </c>
      <c r="EO13" s="39">
        <f ca="1" t="shared" si="44"/>
        <v>0.975593578177383</v>
      </c>
      <c r="EP13" s="39">
        <f ca="1" t="shared" si="45"/>
        <v>0.975593578177383</v>
      </c>
      <c r="EQ13" s="39">
        <f ca="1" t="shared" si="46"/>
        <v>0.975593578177383</v>
      </c>
      <c r="ER13" s="39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4" t="str">
        <f t="shared" si="48"/>
        <v>TR</v>
      </c>
      <c r="D14" s="55" t="s">
        <v>200</v>
      </c>
      <c r="E14" s="66" t="s">
        <v>214</v>
      </c>
      <c r="F14" s="56" t="str">
        <f t="shared" ref="F14:F20" si="55">F13</f>
        <v>Diesel</v>
      </c>
      <c r="G14" s="54" t="s">
        <v>215</v>
      </c>
      <c r="H14" s="57">
        <f ca="1">OFFSET(TIAM15_assumptions!$G14,0,MATCH(VLOOKUP(Assumptions!H$2,TIAM15_assumptions!$Y$3:$Z$87,2,FALSE),TIAM15_assumptions!$H$2:$V$2,0))</f>
        <v>0.35</v>
      </c>
      <c r="I14" s="57">
        <f ca="1">OFFSET(TIAM15_assumptions!$G14,0,MATCH(VLOOKUP(Assumptions!I$2,TIAM15_assumptions!$Y$3:$Z$87,2,FALSE),TIAM15_assumptions!$H$2:$V$2,0))</f>
        <v>0.35</v>
      </c>
      <c r="J14" s="57">
        <f ca="1">OFFSET(TIAM15_assumptions!$G14,0,MATCH(VLOOKUP(Assumptions!J$2,TIAM15_assumptions!$Y$3:$Z$87,2,FALSE),TIAM15_assumptions!$H$2:$V$2,0))</f>
        <v>0.35</v>
      </c>
      <c r="K14" s="57">
        <f ca="1">OFFSET(TIAM15_assumptions!$G14,0,MATCH(VLOOKUP(Assumptions!K$2,TIAM15_assumptions!$Y$3:$Z$87,2,FALSE),TIAM15_assumptions!$H$2:$V$2,0))</f>
        <v>0.5</v>
      </c>
      <c r="L14" s="57">
        <f ca="1">OFFSET(TIAM15_assumptions!$G14,0,MATCH(VLOOKUP(Assumptions!L$2,TIAM15_assumptions!$Y$3:$Z$87,2,FALSE),TIAM15_assumptions!$H$2:$V$2,0))</f>
        <v>0.6</v>
      </c>
      <c r="M14" s="57">
        <f ca="1">OFFSET(TIAM15_assumptions!$G14,0,MATCH(VLOOKUP(Assumptions!M$2,TIAM15_assumptions!$Y$3:$Z$87,2,FALSE),TIAM15_assumptions!$H$2:$V$2,0))</f>
        <v>0.5</v>
      </c>
      <c r="N14" s="57">
        <f ca="1">OFFSET(TIAM15_assumptions!$G14,0,MATCH(VLOOKUP(Assumptions!N$2,TIAM15_assumptions!$Y$3:$Z$87,2,FALSE),TIAM15_assumptions!$H$2:$V$2,0))</f>
        <v>0.5</v>
      </c>
      <c r="O14" s="57">
        <f ca="1">OFFSET(TIAM15_assumptions!$G14,0,MATCH(VLOOKUP(Assumptions!O$2,TIAM15_assumptions!$Y$3:$Z$87,2,FALSE),TIAM15_assumptions!$H$2:$V$2,0))</f>
        <v>0.35</v>
      </c>
      <c r="P14" s="57">
        <f ca="1">OFFSET(TIAM15_assumptions!$G14,0,MATCH(VLOOKUP(Assumptions!P$2,TIAM15_assumptions!$Y$3:$Z$87,2,FALSE),TIAM15_assumptions!$H$2:$V$2,0))</f>
        <v>0.5</v>
      </c>
      <c r="Q14" s="57">
        <f ca="1">OFFSET(TIAM15_assumptions!$G14,0,MATCH(VLOOKUP(Assumptions!Q$2,TIAM15_assumptions!$Y$3:$Z$87,2,FALSE),TIAM15_assumptions!$H$2:$V$2,0))</f>
        <v>0.5</v>
      </c>
      <c r="R14" s="57">
        <f ca="1">OFFSET(TIAM15_assumptions!$G14,0,MATCH(VLOOKUP(Assumptions!R$2,TIAM15_assumptions!$Y$3:$Z$87,2,FALSE),TIAM15_assumptions!$H$2:$V$2,0))</f>
        <v>0.5</v>
      </c>
      <c r="S14" s="57">
        <f ca="1">OFFSET(TIAM15_assumptions!$G14,0,MATCH(VLOOKUP(Assumptions!S$2,TIAM15_assumptions!$Y$3:$Z$87,2,FALSE),TIAM15_assumptions!$H$2:$V$2,0))</f>
        <v>0.5</v>
      </c>
      <c r="T14" s="57">
        <f ca="1">OFFSET(TIAM15_assumptions!$G14,0,MATCH(VLOOKUP(Assumptions!T$2,TIAM15_assumptions!$Y$3:$Z$87,2,FALSE),TIAM15_assumptions!$H$2:$V$2,0))</f>
        <v>0.5</v>
      </c>
      <c r="U14" s="57">
        <f ca="1">OFFSET(TIAM15_assumptions!$G14,0,MATCH(VLOOKUP(Assumptions!U$2,TIAM15_assumptions!$Y$3:$Z$87,2,FALSE),TIAM15_assumptions!$H$2:$V$2,0))</f>
        <v>0.5</v>
      </c>
      <c r="V14" s="57">
        <f ca="1">OFFSET(TIAM15_assumptions!$G14,0,MATCH(VLOOKUP(Assumptions!V$2,TIAM15_assumptions!$Y$3:$Z$87,2,FALSE),TIAM15_assumptions!$H$2:$V$2,0))</f>
        <v>0.5</v>
      </c>
      <c r="W14" s="57">
        <f ca="1">OFFSET(TIAM15_assumptions!$G14,0,MATCH(VLOOKUP(Assumptions!W$2,TIAM15_assumptions!$Y$3:$Z$87,2,FALSE),TIAM15_assumptions!$H$2:$V$2,0))</f>
        <v>0.3</v>
      </c>
      <c r="X14" s="57">
        <f ca="1">OFFSET(TIAM15_assumptions!$G14,0,MATCH(VLOOKUP(Assumptions!X$2,TIAM15_assumptions!$Y$3:$Z$87,2,FALSE),TIAM15_assumptions!$H$2:$V$2,0))</f>
        <v>0.5</v>
      </c>
      <c r="Y14" s="57">
        <f ca="1">OFFSET(TIAM15_assumptions!$G14,0,MATCH(VLOOKUP(Assumptions!Y$2,TIAM15_assumptions!$Y$3:$Z$87,2,FALSE),TIAM15_assumptions!$H$2:$V$2,0))</f>
        <v>0.5</v>
      </c>
      <c r="Z14" s="57">
        <f ca="1">OFFSET(TIAM15_assumptions!$G14,0,MATCH(VLOOKUP(Assumptions!Z$2,TIAM15_assumptions!$Y$3:$Z$87,2,FALSE),TIAM15_assumptions!$H$2:$V$2,0))</f>
        <v>0.5</v>
      </c>
      <c r="AA14" s="57">
        <f ca="1">OFFSET(TIAM15_assumptions!$G14,0,MATCH(VLOOKUP(Assumptions!AA$2,TIAM15_assumptions!$Y$3:$Z$87,2,FALSE),TIAM15_assumptions!$H$2:$V$2,0))</f>
        <v>0.5</v>
      </c>
      <c r="AB14" s="57">
        <f ca="1">OFFSET(TIAM15_assumptions!$G14,0,MATCH(VLOOKUP(Assumptions!AB$2,TIAM15_assumptions!$Y$3:$Z$87,2,FALSE),TIAM15_assumptions!$H$2:$V$2,0))</f>
        <v>0.5</v>
      </c>
      <c r="AC14" s="57">
        <f ca="1">OFFSET(TIAM15_assumptions!$G14,0,MATCH(VLOOKUP(Assumptions!AC$2,TIAM15_assumptions!$Y$3:$Z$87,2,FALSE),TIAM15_assumptions!$H$2:$V$2,0))</f>
        <v>0.8</v>
      </c>
      <c r="AD14" s="57">
        <f ca="1">OFFSET(TIAM15_assumptions!$G14,0,MATCH(VLOOKUP(Assumptions!AD$2,TIAM15_assumptions!$Y$3:$Z$87,2,FALSE),TIAM15_assumptions!$H$2:$V$2,0))</f>
        <v>0.5</v>
      </c>
      <c r="AE14" s="57">
        <f ca="1">OFFSET(TIAM15_assumptions!$G14,0,MATCH(VLOOKUP(Assumptions!AE$2,TIAM15_assumptions!$Y$3:$Z$87,2,FALSE),TIAM15_assumptions!$H$2:$V$2,0))</f>
        <v>0.5</v>
      </c>
      <c r="AF14" s="57">
        <f ca="1">OFFSET(TIAM15_assumptions!$G14,0,MATCH(VLOOKUP(Assumptions!AF$2,TIAM15_assumptions!$Y$3:$Z$87,2,FALSE),TIAM15_assumptions!$H$2:$V$2,0))</f>
        <v>0.5</v>
      </c>
      <c r="AG14" s="57">
        <f ca="1">OFFSET(TIAM15_assumptions!$G14,0,MATCH(VLOOKUP(Assumptions!AG$2,TIAM15_assumptions!$Y$3:$Z$87,2,FALSE),TIAM15_assumptions!$H$2:$V$2,0))</f>
        <v>0.6</v>
      </c>
      <c r="AH14" s="57">
        <f ca="1">OFFSET(TIAM15_assumptions!$G14,0,MATCH(VLOOKUP(Assumptions!AH$2,TIAM15_assumptions!$Y$3:$Z$87,2,FALSE),TIAM15_assumptions!$H$2:$V$2,0))</f>
        <v>0.5</v>
      </c>
      <c r="AI14" s="57">
        <f ca="1">OFFSET(TIAM15_assumptions!$G14,0,MATCH(VLOOKUP(Assumptions!AI$2,TIAM15_assumptions!$Y$3:$Z$87,2,FALSE),TIAM15_assumptions!$H$2:$V$2,0))</f>
        <v>0.35</v>
      </c>
      <c r="AJ14" s="57">
        <f ca="1">OFFSET(TIAM15_assumptions!$G14,0,MATCH(VLOOKUP(Assumptions!AJ$2,TIAM15_assumptions!$Y$3:$Z$87,2,FALSE),TIAM15_assumptions!$H$2:$V$2,0))</f>
        <v>0.5</v>
      </c>
      <c r="AK14" s="57">
        <f ca="1">OFFSET(TIAM15_assumptions!$G14,0,MATCH(VLOOKUP(Assumptions!AK$2,TIAM15_assumptions!$Y$3:$Z$87,2,FALSE),TIAM15_assumptions!$H$2:$V$2,0))</f>
        <v>0.5</v>
      </c>
      <c r="AL14" s="57">
        <f ca="1">OFFSET(TIAM15_assumptions!$G14,0,MATCH(VLOOKUP(Assumptions!AL$2,TIAM15_assumptions!$Y$3:$Z$87,2,FALSE),TIAM15_assumptions!$H$2:$V$2,0))</f>
        <v>0.5</v>
      </c>
      <c r="AM14" s="57">
        <f ca="1">OFFSET(TIAM15_assumptions!$G14,0,MATCH(VLOOKUP(Assumptions!AM$2,TIAM15_assumptions!$Y$3:$Z$87,2,FALSE),TIAM15_assumptions!$H$2:$V$2,0))</f>
        <v>0.5</v>
      </c>
      <c r="AN14" s="57">
        <f ca="1">OFFSET(TIAM15_assumptions!$G14,0,MATCH(VLOOKUP(Assumptions!AN$2,TIAM15_assumptions!$Y$3:$Z$87,2,FALSE),TIAM15_assumptions!$H$2:$V$2,0))</f>
        <v>0.5</v>
      </c>
      <c r="AO14" s="57">
        <f ca="1">OFFSET(TIAM15_assumptions!$G14,0,MATCH(VLOOKUP(Assumptions!AO$2,TIAM15_assumptions!$Y$3:$Z$87,2,FALSE),TIAM15_assumptions!$H$2:$V$2,0))</f>
        <v>0.6</v>
      </c>
      <c r="AP14" s="57">
        <f ca="1">OFFSET(TIAM15_assumptions!$G14,0,MATCH(VLOOKUP(Assumptions!AP$2,TIAM15_assumptions!$Y$3:$Z$87,2,FALSE),TIAM15_assumptions!$H$2:$V$2,0))</f>
        <v>0.5</v>
      </c>
      <c r="AQ14" s="57">
        <f ca="1">OFFSET(TIAM15_assumptions!$G14,0,MATCH(VLOOKUP(Assumptions!AQ$2,TIAM15_assumptions!$Y$3:$Z$87,2,FALSE),TIAM15_assumptions!$H$2:$V$2,0))</f>
        <v>0.8</v>
      </c>
      <c r="AR14" s="57">
        <f ca="1">OFFSET(TIAM15_assumptions!$G14,0,MATCH(VLOOKUP(Assumptions!AR$2,TIAM15_assumptions!$Y$3:$Z$87,2,FALSE),TIAM15_assumptions!$H$2:$V$2,0))</f>
        <v>0.8</v>
      </c>
      <c r="AS14" s="57">
        <f ca="1">OFFSET(TIAM15_assumptions!$G14,0,MATCH(VLOOKUP(Assumptions!AS$2,TIAM15_assumptions!$Y$3:$Z$87,2,FALSE),TIAM15_assumptions!$H$2:$V$2,0))</f>
        <v>0.8</v>
      </c>
      <c r="AT14" s="57">
        <f ca="1">OFFSET(TIAM15_assumptions!$G14,0,MATCH(VLOOKUP(Assumptions!AT$2,TIAM15_assumptions!$Y$3:$Z$87,2,FALSE),TIAM15_assumptions!$H$2:$V$2,0))</f>
        <v>0.8</v>
      </c>
      <c r="AU14" s="57">
        <f ca="1">OFFSET(TIAM15_assumptions!$G14,0,MATCH(VLOOKUP(Assumptions!AU$2,TIAM15_assumptions!$Y$3:$Z$87,2,FALSE),TIAM15_assumptions!$H$2:$V$2,0))</f>
        <v>0.8</v>
      </c>
      <c r="AV14" s="57">
        <f ca="1">OFFSET(TIAM15_assumptions!$G14,0,MATCH(VLOOKUP(Assumptions!AV$2,TIAM15_assumptions!$Y$3:$Z$87,2,FALSE),TIAM15_assumptions!$H$2:$V$2,0))</f>
        <v>0.8</v>
      </c>
      <c r="AW14" s="57">
        <f ca="1">OFFSET(TIAM15_assumptions!$G14,0,MATCH(VLOOKUP(Assumptions!AW$2,TIAM15_assumptions!$Y$3:$Z$87,2,FALSE),TIAM15_assumptions!$H$2:$V$2,0))</f>
        <v>0.8</v>
      </c>
      <c r="AX14" s="57">
        <f ca="1">OFFSET(TIAM15_assumptions!$G14,0,MATCH(VLOOKUP(Assumptions!AX$2,TIAM15_assumptions!$Y$3:$Z$87,2,FALSE),TIAM15_assumptions!$H$2:$V$2,0))</f>
        <v>0.8</v>
      </c>
      <c r="AY14" s="57">
        <f ca="1">OFFSET(TIAM15_assumptions!$G14,0,MATCH(VLOOKUP(Assumptions!AY$2,TIAM15_assumptions!$Y$3:$Z$87,2,FALSE),TIAM15_assumptions!$H$2:$V$2,0))</f>
        <v>0.8</v>
      </c>
      <c r="AZ14" s="57">
        <f ca="1">OFFSET(TIAM15_assumptions!$G14,0,MATCH(VLOOKUP(Assumptions!AZ$2,TIAM15_assumptions!$Y$3:$Z$87,2,FALSE),TIAM15_assumptions!$H$2:$V$2,0))</f>
        <v>0.8</v>
      </c>
      <c r="BA14" s="57">
        <f ca="1">OFFSET(TIAM15_assumptions!$G14,0,MATCH(VLOOKUP(Assumptions!BA$2,TIAM15_assumptions!$Y$3:$Z$87,2,FALSE),TIAM15_assumptions!$H$2:$V$2,0))</f>
        <v>0.8</v>
      </c>
      <c r="BD14" s="40">
        <f ca="1">IFERROR(SUMIFS('TRA balance'!E$5:E$40,'TRA balance'!$C$5:$C$40,Assumptions!$C14,'TRA balance'!$D$5:$D$40,Assumptions!$B14)*CY14*H14,"")</f>
        <v>350.28647281089</v>
      </c>
      <c r="BE14" s="40">
        <f ca="1">IFERROR(SUMIFS('TRA balance'!F$5:F$40,'TRA balance'!$C$5:$C$40,Assumptions!$C14,'TRA balance'!$D$5:$D$40,Assumptions!$B14)*CZ14*I14,"")</f>
        <v>311.291700338304</v>
      </c>
      <c r="BF14" s="40">
        <f ca="1">IFERROR(SUMIFS('TRA balance'!G$5:G$40,'TRA balance'!$C$5:$C$40,Assumptions!$C14,'TRA balance'!$D$5:$D$40,Assumptions!$B14)*DA14*J14,"")</f>
        <v>197.443803493717</v>
      </c>
      <c r="BG14" s="40">
        <f ca="1">IFERROR(SUMIFS('TRA balance'!H$5:H$40,'TRA balance'!$C$5:$C$40,Assumptions!$C14,'TRA balance'!$D$5:$D$40,Assumptions!$B14)*DB14*K14,"")</f>
        <v>103.46021744112</v>
      </c>
      <c r="BH14" s="40">
        <f ca="1">IFERROR(SUMIFS('TRA balance'!I$5:I$40,'TRA balance'!$C$5:$C$40,Assumptions!$C14,'TRA balance'!$D$5:$D$40,Assumptions!$B14)*DC14*L14,"")</f>
        <v>69.12393130098</v>
      </c>
      <c r="BI14" s="40">
        <f ca="1">IFERROR(SUMIFS('TRA balance'!J$5:J$40,'TRA balance'!$C$5:$C$40,Assumptions!$C14,'TRA balance'!$D$5:$D$40,Assumptions!$B14)*DD14*M14,"")</f>
        <v>219.29287268304</v>
      </c>
      <c r="BJ14" s="40">
        <f ca="1">IFERROR(SUMIFS('TRA balance'!K$5:K$40,'TRA balance'!$C$5:$C$40,Assumptions!$C14,'TRA balance'!$D$5:$D$40,Assumptions!$B14)*DE14*N14,"")</f>
        <v>667.736107138296</v>
      </c>
      <c r="BK14" s="40">
        <f ca="1">IFERROR(SUMIFS('TRA balance'!L$5:L$40,'TRA balance'!$C$5:$C$40,Assumptions!$C14,'TRA balance'!$D$5:$D$40,Assumptions!$B14)*DF14*O14,"")</f>
        <v>1222.63205802709</v>
      </c>
      <c r="BL14" s="40">
        <f ca="1">IFERROR(SUMIFS('TRA balance'!M$5:M$40,'TRA balance'!$C$5:$C$40,Assumptions!$C14,'TRA balance'!$D$5:$D$40,Assumptions!$B14)*DG14*P14,"")</f>
        <v>48.1976126136</v>
      </c>
      <c r="BM14" s="40">
        <f ca="1">IFERROR(SUMIFS('TRA balance'!N$5:N$40,'TRA balance'!$C$5:$C$40,Assumptions!$C14,'TRA balance'!$D$5:$D$40,Assumptions!$B14)*DH14*Q14,"")</f>
        <v>103.27943979072</v>
      </c>
      <c r="BN14" s="40">
        <f ca="1">IFERROR(SUMIFS('TRA balance'!O$5:O$40,'TRA balance'!$C$5:$C$40,Assumptions!$C14,'TRA balance'!$D$5:$D$40,Assumptions!$B14)*DI14*R14,"")</f>
        <v>514.56004953552</v>
      </c>
      <c r="BO14" s="40">
        <f ca="1">IFERROR(SUMIFS('TRA balance'!P$5:P$40,'TRA balance'!$C$5:$C$40,Assumptions!$C14,'TRA balance'!$D$5:$D$40,Assumptions!$B14)*DJ14*S14,"")</f>
        <v>555.708479292</v>
      </c>
      <c r="BP14" s="40">
        <f ca="1">IFERROR(SUMIFS('TRA balance'!Q$5:Q$40,'TRA balance'!$C$5:$C$40,Assumptions!$C14,'TRA balance'!$D$5:$D$40,Assumptions!$B14)*DK14*T14,"")</f>
        <v>44.93910321072</v>
      </c>
      <c r="BQ14" s="40">
        <f ca="1">IFERROR(SUMIFS('TRA balance'!R$5:R$40,'TRA balance'!$C$5:$C$40,Assumptions!$C14,'TRA balance'!$D$5:$D$40,Assumptions!$B14)*DL14*U14,"")</f>
        <v>161.13739002192</v>
      </c>
      <c r="BR14" s="40">
        <f ca="1">IFERROR(SUMIFS('TRA balance'!S$5:S$40,'TRA balance'!$C$5:$C$40,Assumptions!$C14,'TRA balance'!$D$5:$D$40,Assumptions!$B14)*DM14*V14,"")</f>
        <v>3.08183816592</v>
      </c>
      <c r="BS14" s="40">
        <f ca="1">IFERROR(SUMIFS('TRA balance'!T$5:T$40,'TRA balance'!$C$5:$C$40,Assumptions!$C14,'TRA balance'!$D$5:$D$40,Assumptions!$B14)*DN14*W14,"")</f>
        <v>547.57325715741</v>
      </c>
      <c r="BT14" s="40">
        <f ca="1">IFERROR(SUMIFS('TRA balance'!U$5:U$40,'TRA balance'!$C$5:$C$40,Assumptions!$C14,'TRA balance'!$D$5:$D$40,Assumptions!$B14)*DO14*X14,"")</f>
        <v>49.3378540992</v>
      </c>
      <c r="BU14" s="40">
        <f ca="1">IFERROR(SUMIFS('TRA balance'!V$5:V$40,'TRA balance'!$C$5:$C$40,Assumptions!$C14,'TRA balance'!$D$5:$D$40,Assumptions!$B14)*DP14*Y14,"")</f>
        <v>360.01799325072</v>
      </c>
      <c r="BV14" s="40">
        <f ca="1">IFERROR(SUMIFS('TRA balance'!W$5:W$40,'TRA balance'!$C$5:$C$40,Assumptions!$C14,'TRA balance'!$D$5:$D$40,Assumptions!$B14)*DQ14*Z14,"")</f>
        <v>433.80371732571</v>
      </c>
      <c r="BW14" s="40">
        <f ca="1">IFERROR(SUMIFS('TRA balance'!X$5:X$40,'TRA balance'!$C$5:$C$40,Assumptions!$C14,'TRA balance'!$D$5:$D$40,Assumptions!$B14)*DR14*AA14,"")</f>
        <v>685.581090954984</v>
      </c>
      <c r="BX14" s="40">
        <f ca="1">IFERROR(SUMIFS('TRA balance'!Y$5:Y$40,'TRA balance'!$C$5:$C$40,Assumptions!$C14,'TRA balance'!$D$5:$D$40,Assumptions!$B14)*DS14*AB14,"")</f>
        <v>673.99466757876</v>
      </c>
      <c r="BY14" s="40">
        <f ca="1">IFERROR(SUMIFS('TRA balance'!Z$5:Z$40,'TRA balance'!$C$5:$C$40,Assumptions!$C14,'TRA balance'!$D$5:$D$40,Assumptions!$B14)*DT14*AC14,"")</f>
        <v>4917.10567727659</v>
      </c>
      <c r="BZ14" s="40">
        <f ca="1">IFERROR(SUMIFS('TRA balance'!AA$5:AA$40,'TRA balance'!$C$5:$C$40,Assumptions!$C14,'TRA balance'!$D$5:$D$40,Assumptions!$B14)*DU14*AD14,"")</f>
        <v>35.4400645752</v>
      </c>
      <c r="CA14" s="40">
        <f ca="1">IFERROR(SUMIFS('TRA balance'!AB$5:AB$40,'TRA balance'!$C$5:$C$40,Assumptions!$C14,'TRA balance'!$D$5:$D$40,Assumptions!$B14)*DV14*AE14,"")</f>
        <v>237.11928569712</v>
      </c>
      <c r="CB14" s="40">
        <f ca="1">IFERROR(SUMIFS('TRA balance'!AC$5:AC$40,'TRA balance'!$C$5:$C$40,Assumptions!$C14,'TRA balance'!$D$5:$D$40,Assumptions!$B14)*DW14*AF14,"")</f>
        <v>1847.07083374366</v>
      </c>
      <c r="CC14" s="40">
        <f ca="1">IFERROR(SUMIFS('TRA balance'!AD$5:AD$40,'TRA balance'!$C$5:$C$40,Assumptions!$C14,'TRA balance'!$D$5:$D$40,Assumptions!$B14)*DX14*AG14,"")</f>
        <v>399.75783108768</v>
      </c>
      <c r="CD14" s="40">
        <f ca="1">IFERROR(SUMIFS('TRA balance'!AE$5:AE$40,'TRA balance'!$C$5:$C$40,Assumptions!$C14,'TRA balance'!$D$5:$D$40,Assumptions!$B14)*DY14*AH14,"")</f>
        <v>383.3094258378</v>
      </c>
      <c r="CE14" s="40">
        <f ca="1">IFERROR(SUMIFS('TRA balance'!AF$5:AF$40,'TRA balance'!$C$5:$C$40,Assumptions!$C14,'TRA balance'!$D$5:$D$40,Assumptions!$B14)*DZ14*AI14,"")</f>
        <v>109.345380133248</v>
      </c>
      <c r="CF14" s="40">
        <f ca="1">IFERROR(SUMIFS('TRA balance'!AG$5:AG$40,'TRA balance'!$C$5:$C$40,Assumptions!$C14,'TRA balance'!$D$5:$D$40,Assumptions!$B14)*EA14*AJ14,"")</f>
        <v>429.6729206952</v>
      </c>
      <c r="CG14" s="40">
        <f ca="1">IFERROR(SUMIFS('TRA balance'!AH$5:AH$40,'TRA balance'!$C$5:$C$40,Assumptions!$C14,'TRA balance'!$D$5:$D$40,Assumptions!$B14)*EB14*AK14,"")</f>
        <v>128.98516589568</v>
      </c>
      <c r="CH14" s="40">
        <f ca="1">IFERROR(SUMIFS('TRA balance'!AI$5:AI$40,'TRA balance'!$C$5:$C$40,Assumptions!$C14,'TRA balance'!$D$5:$D$40,Assumptions!$B14)*EC14*AL14,"")</f>
        <v>45.5260741488</v>
      </c>
      <c r="CI14" s="40">
        <f ca="1">IFERROR(SUMIFS('TRA balance'!AJ$5:AJ$40,'TRA balance'!$C$5:$C$40,Assumptions!$C14,'TRA balance'!$D$5:$D$40,Assumptions!$B14)*ED14*AM14,"")</f>
        <v>370.05768069714</v>
      </c>
      <c r="CJ14" s="40">
        <f ca="1">IFERROR(SUMIFS('TRA balance'!AK$5:AK$40,'TRA balance'!$C$5:$C$40,Assumptions!$C14,'TRA balance'!$D$5:$D$40,Assumptions!$B14)*EE14*AN14,"")</f>
        <v>405.65577289824</v>
      </c>
      <c r="CK14" s="40">
        <f ca="1">IFERROR(SUMIFS('TRA balance'!AL$5:AL$40,'TRA balance'!$C$5:$C$40,Assumptions!$C14,'TRA balance'!$D$5:$D$40,Assumptions!$B14)*EF14*AO14,"")</f>
        <v>103.622809265172</v>
      </c>
      <c r="CL14" s="40">
        <f ca="1">IFERROR(SUMIFS('TRA balance'!AM$5:AM$40,'TRA balance'!$C$5:$C$40,Assumptions!$C14,'TRA balance'!$D$5:$D$40,Assumptions!$B14)*EG14*AP14,"")</f>
        <v>75.0882399624</v>
      </c>
      <c r="CM14" s="40">
        <f ca="1">IFERROR(SUMIFS('TRA balance'!AN$5:AN$40,'TRA balance'!$C$5:$C$40,Assumptions!$C14,'TRA balance'!$D$5:$D$40,Assumptions!$B14)*EH14*AQ14,"")</f>
        <v>0</v>
      </c>
      <c r="CN14" s="40">
        <f ca="1">IFERROR(SUMIFS('TRA balance'!AO$5:AO$40,'TRA balance'!$C$5:$C$40,Assumptions!$C14,'TRA balance'!$D$5:$D$40,Assumptions!$B14)*EI14*AR14,"")</f>
        <v>0</v>
      </c>
      <c r="CO14" s="40">
        <f ca="1">IFERROR(SUMIFS('TRA balance'!AP$5:AP$40,'TRA balance'!$C$5:$C$40,Assumptions!$C14,'TRA balance'!$D$5:$D$40,Assumptions!$B14)*EJ14*AS14,"")</f>
        <v>0</v>
      </c>
      <c r="CP14" s="40">
        <f ca="1">IFERROR(SUMIFS('TRA balance'!AQ$5:AQ$40,'TRA balance'!$C$5:$C$40,Assumptions!$C14,'TRA balance'!$D$5:$D$40,Assumptions!$B14)*EK14*AT14,"")</f>
        <v>0</v>
      </c>
      <c r="CQ14" s="40">
        <f ca="1">IFERROR(SUMIFS('TRA balance'!AR$5:AR$40,'TRA balance'!$C$5:$C$40,Assumptions!$C14,'TRA balance'!$D$5:$D$40,Assumptions!$B14)*EL14*AU14,"")</f>
        <v>0</v>
      </c>
      <c r="CR14" s="40">
        <f ca="1">IFERROR(SUMIFS('TRA balance'!AS$5:AS$40,'TRA balance'!$C$5:$C$40,Assumptions!$C14,'TRA balance'!$D$5:$D$40,Assumptions!$B14)*EM14*AV14,"")</f>
        <v>0</v>
      </c>
      <c r="CS14" s="40">
        <f ca="1">IFERROR(SUMIFS('TRA balance'!AT$5:AT$40,'TRA balance'!$C$5:$C$40,Assumptions!$C14,'TRA balance'!$D$5:$D$40,Assumptions!$B14)*EN14*AW14,"")</f>
        <v>0</v>
      </c>
      <c r="CT14" s="40">
        <f ca="1">IFERROR(SUMIFS('TRA balance'!AU$5:AU$40,'TRA balance'!$C$5:$C$40,Assumptions!$C14,'TRA balance'!$D$5:$D$40,Assumptions!$B14)*EO14*AX14,"")</f>
        <v>0</v>
      </c>
      <c r="CU14" s="40">
        <f ca="1">IFERROR(SUMIFS('TRA balance'!AV$5:AV$40,'TRA balance'!$C$5:$C$40,Assumptions!$C14,'TRA balance'!$D$5:$D$40,Assumptions!$B14)*EP14*AY14,"")</f>
        <v>0</v>
      </c>
      <c r="CV14" s="40">
        <f ca="1">IFERROR(SUMIFS('TRA balance'!AW$5:AW$40,'TRA balance'!$C$5:$C$40,Assumptions!$C14,'TRA balance'!$D$5:$D$40,Assumptions!$B14)*EQ14*AZ14,"")</f>
        <v>0</v>
      </c>
      <c r="CW14" s="40">
        <f ca="1">IFERROR(SUMIFS('TRA balance'!AX$5:AX$40,'TRA balance'!$C$5:$C$40,Assumptions!$C14,'TRA balance'!$D$5:$D$40,Assumptions!$B14)*ER14*BA14,"")</f>
        <v>0</v>
      </c>
      <c r="CY14" s="39">
        <f ca="1" t="shared" si="2"/>
        <v>0.9</v>
      </c>
      <c r="CZ14" s="39">
        <f ca="1" t="shared" si="3"/>
        <v>0.9</v>
      </c>
      <c r="DA14" s="39">
        <f ca="1" t="shared" si="4"/>
        <v>0.98</v>
      </c>
      <c r="DB14" s="39">
        <f ca="1" t="shared" si="5"/>
        <v>0.8</v>
      </c>
      <c r="DC14" s="39">
        <f ca="1" t="shared" si="6"/>
        <v>0.95</v>
      </c>
      <c r="DD14" s="39">
        <f ca="1" t="shared" si="7"/>
        <v>0.8</v>
      </c>
      <c r="DE14" s="39">
        <f ca="1" t="shared" si="8"/>
        <v>0.93</v>
      </c>
      <c r="DF14" s="39">
        <f ca="1" t="shared" si="9"/>
        <v>0.9</v>
      </c>
      <c r="DG14" s="39">
        <f ca="1" t="shared" si="10"/>
        <v>0.8</v>
      </c>
      <c r="DH14" s="39">
        <f ca="1" t="shared" si="11"/>
        <v>0.8</v>
      </c>
      <c r="DI14" s="39">
        <f ca="1" t="shared" si="12"/>
        <v>0.8</v>
      </c>
      <c r="DJ14" s="39">
        <f ca="1" t="shared" si="13"/>
        <v>0.8</v>
      </c>
      <c r="DK14" s="39">
        <f ca="1" t="shared" si="14"/>
        <v>0.8</v>
      </c>
      <c r="DL14" s="39">
        <f ca="1" t="shared" si="15"/>
        <v>0.8</v>
      </c>
      <c r="DM14" s="39">
        <f ca="1" t="shared" si="16"/>
        <v>0.8</v>
      </c>
      <c r="DN14" s="39">
        <f ca="1" t="shared" si="17"/>
        <v>0.75</v>
      </c>
      <c r="DO14" s="39">
        <f ca="1" t="shared" si="18"/>
        <v>0.8</v>
      </c>
      <c r="DP14" s="39">
        <f ca="1" t="shared" si="19"/>
        <v>0.8</v>
      </c>
      <c r="DQ14" s="39">
        <f ca="1" t="shared" si="20"/>
        <v>0.95</v>
      </c>
      <c r="DR14" s="39">
        <f ca="1" t="shared" si="21"/>
        <v>0.93</v>
      </c>
      <c r="DS14" s="39">
        <f ca="1" t="shared" si="22"/>
        <v>0.9</v>
      </c>
      <c r="DT14" s="39">
        <f ca="1" t="shared" si="23"/>
        <v>0.975593578177383</v>
      </c>
      <c r="DU14" s="39">
        <f ca="1" t="shared" si="24"/>
        <v>0.8</v>
      </c>
      <c r="DV14" s="39">
        <f ca="1" t="shared" si="25"/>
        <v>0.8</v>
      </c>
      <c r="DW14" s="39">
        <f ca="1" t="shared" si="26"/>
        <v>0.92</v>
      </c>
      <c r="DX14" s="39">
        <f ca="1" t="shared" si="27"/>
        <v>0.95</v>
      </c>
      <c r="DY14" s="39">
        <f ca="1" t="shared" si="28"/>
        <v>0.9</v>
      </c>
      <c r="DZ14" s="39">
        <f ca="1" t="shared" si="29"/>
        <v>0.9</v>
      </c>
      <c r="EA14" s="39">
        <f ca="1" t="shared" si="30"/>
        <v>0.8</v>
      </c>
      <c r="EB14" s="39">
        <f ca="1" t="shared" si="31"/>
        <v>0.8</v>
      </c>
      <c r="EC14" s="39">
        <f ca="1" t="shared" si="32"/>
        <v>0.8</v>
      </c>
      <c r="ED14" s="39">
        <f ca="1" t="shared" si="33"/>
        <v>0.9</v>
      </c>
      <c r="EE14" s="39">
        <f ca="1" t="shared" si="34"/>
        <v>0.8</v>
      </c>
      <c r="EF14" s="39">
        <f ca="1" t="shared" si="35"/>
        <v>0.95</v>
      </c>
      <c r="EG14" s="39">
        <f ca="1" t="shared" si="36"/>
        <v>0.8</v>
      </c>
      <c r="EH14" s="39">
        <f ca="1" t="shared" si="37"/>
        <v>0.975593578177383</v>
      </c>
      <c r="EI14" s="39">
        <f ca="1" t="shared" si="38"/>
        <v>0.975593578177383</v>
      </c>
      <c r="EJ14" s="39">
        <f ca="1" t="shared" si="39"/>
        <v>0.975593578177383</v>
      </c>
      <c r="EK14" s="39">
        <f ca="1" t="shared" si="40"/>
        <v>0.975593578177383</v>
      </c>
      <c r="EL14" s="39">
        <f ca="1" t="shared" si="41"/>
        <v>0.975593578177383</v>
      </c>
      <c r="EM14" s="39">
        <f ca="1" t="shared" si="42"/>
        <v>0.975593578177383</v>
      </c>
      <c r="EN14" s="39">
        <f ca="1" t="shared" si="43"/>
        <v>0.975593578177383</v>
      </c>
      <c r="EO14" s="39">
        <f ca="1" t="shared" si="44"/>
        <v>0.975593578177383</v>
      </c>
      <c r="EP14" s="39">
        <f ca="1" t="shared" si="45"/>
        <v>0.975593578177383</v>
      </c>
      <c r="EQ14" s="39">
        <f ca="1" t="shared" si="46"/>
        <v>0.975593578177383</v>
      </c>
      <c r="ER14" s="39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4" t="str">
        <f t="shared" si="48"/>
        <v>TR</v>
      </c>
      <c r="D15" s="55" t="s">
        <v>200</v>
      </c>
      <c r="E15" s="66" t="s">
        <v>216</v>
      </c>
      <c r="F15" s="56" t="str">
        <f t="shared" si="55"/>
        <v>Diesel</v>
      </c>
      <c r="G15" s="54" t="s">
        <v>217</v>
      </c>
      <c r="H15" s="57">
        <f ca="1">OFFSET(TIAM15_assumptions!$G15,0,MATCH(VLOOKUP(Assumptions!H$2,TIAM15_assumptions!$Y$3:$Z$87,2,FALSE),TIAM15_assumptions!$H$2:$V$2,0))</f>
        <v>0.1</v>
      </c>
      <c r="I15" s="57">
        <f ca="1">OFFSET(TIAM15_assumptions!$G15,0,MATCH(VLOOKUP(Assumptions!I$2,TIAM15_assumptions!$Y$3:$Z$87,2,FALSE),TIAM15_assumptions!$H$2:$V$2,0))</f>
        <v>0.1</v>
      </c>
      <c r="J15" s="57">
        <f ca="1">OFFSET(TIAM15_assumptions!$G15,0,MATCH(VLOOKUP(Assumptions!J$2,TIAM15_assumptions!$Y$3:$Z$87,2,FALSE),TIAM15_assumptions!$H$2:$V$2,0))</f>
        <v>0.3</v>
      </c>
      <c r="K15" s="57">
        <f ca="1">OFFSET(TIAM15_assumptions!$G15,0,MATCH(VLOOKUP(Assumptions!K$2,TIAM15_assumptions!$Y$3:$Z$87,2,FALSE),TIAM15_assumptions!$H$2:$V$2,0))</f>
        <v>0.3</v>
      </c>
      <c r="L15" s="57">
        <f ca="1">OFFSET(TIAM15_assumptions!$G15,0,MATCH(VLOOKUP(Assumptions!L$2,TIAM15_assumptions!$Y$3:$Z$87,2,FALSE),TIAM15_assumptions!$H$2:$V$2,0))</f>
        <v>0.2</v>
      </c>
      <c r="M15" s="57">
        <f ca="1">OFFSET(TIAM15_assumptions!$G15,0,MATCH(VLOOKUP(Assumptions!M$2,TIAM15_assumptions!$Y$3:$Z$87,2,FALSE),TIAM15_assumptions!$H$2:$V$2,0))</f>
        <v>0.3</v>
      </c>
      <c r="N15" s="57">
        <f ca="1">OFFSET(TIAM15_assumptions!$G15,0,MATCH(VLOOKUP(Assumptions!N$2,TIAM15_assumptions!$Y$3:$Z$87,2,FALSE),TIAM15_assumptions!$H$2:$V$2,0))</f>
        <v>0.3</v>
      </c>
      <c r="O15" s="57">
        <f ca="1">OFFSET(TIAM15_assumptions!$G15,0,MATCH(VLOOKUP(Assumptions!O$2,TIAM15_assumptions!$Y$3:$Z$87,2,FALSE),TIAM15_assumptions!$H$2:$V$2,0))</f>
        <v>0.2</v>
      </c>
      <c r="P15" s="57">
        <f ca="1">OFFSET(TIAM15_assumptions!$G15,0,MATCH(VLOOKUP(Assumptions!P$2,TIAM15_assumptions!$Y$3:$Z$87,2,FALSE),TIAM15_assumptions!$H$2:$V$2,0))</f>
        <v>0.25</v>
      </c>
      <c r="Q15" s="57">
        <f ca="1">OFFSET(TIAM15_assumptions!$G15,0,MATCH(VLOOKUP(Assumptions!Q$2,TIAM15_assumptions!$Y$3:$Z$87,2,FALSE),TIAM15_assumptions!$H$2:$V$2,0))</f>
        <v>0.25</v>
      </c>
      <c r="R15" s="57">
        <f ca="1">OFFSET(TIAM15_assumptions!$G15,0,MATCH(VLOOKUP(Assumptions!R$2,TIAM15_assumptions!$Y$3:$Z$87,2,FALSE),TIAM15_assumptions!$H$2:$V$2,0))</f>
        <v>0.3</v>
      </c>
      <c r="S15" s="57">
        <f ca="1">OFFSET(TIAM15_assumptions!$G15,0,MATCH(VLOOKUP(Assumptions!S$2,TIAM15_assumptions!$Y$3:$Z$87,2,FALSE),TIAM15_assumptions!$H$2:$V$2,0))</f>
        <v>0.3</v>
      </c>
      <c r="T15" s="57">
        <f ca="1">OFFSET(TIAM15_assumptions!$G15,0,MATCH(VLOOKUP(Assumptions!T$2,TIAM15_assumptions!$Y$3:$Z$87,2,FALSE),TIAM15_assumptions!$H$2:$V$2,0))</f>
        <v>0.3</v>
      </c>
      <c r="U15" s="57">
        <f ca="1">OFFSET(TIAM15_assumptions!$G15,0,MATCH(VLOOKUP(Assumptions!U$2,TIAM15_assumptions!$Y$3:$Z$87,2,FALSE),TIAM15_assumptions!$H$2:$V$2,0))</f>
        <v>0.25</v>
      </c>
      <c r="V15" s="57">
        <f ca="1">OFFSET(TIAM15_assumptions!$G15,0,MATCH(VLOOKUP(Assumptions!V$2,TIAM15_assumptions!$Y$3:$Z$87,2,FALSE),TIAM15_assumptions!$H$2:$V$2,0))</f>
        <v>0.3</v>
      </c>
      <c r="W15" s="57">
        <f ca="1">OFFSET(TIAM15_assumptions!$G15,0,MATCH(VLOOKUP(Assumptions!W$2,TIAM15_assumptions!$Y$3:$Z$87,2,FALSE),TIAM15_assumptions!$H$2:$V$2,0))</f>
        <v>0.2</v>
      </c>
      <c r="X15" s="57">
        <f ca="1">OFFSET(TIAM15_assumptions!$G15,0,MATCH(VLOOKUP(Assumptions!X$2,TIAM15_assumptions!$Y$3:$Z$87,2,FALSE),TIAM15_assumptions!$H$2:$V$2,0))</f>
        <v>0.3</v>
      </c>
      <c r="Y15" s="57">
        <f ca="1">OFFSET(TIAM15_assumptions!$G15,0,MATCH(VLOOKUP(Assumptions!Y$2,TIAM15_assumptions!$Y$3:$Z$87,2,FALSE),TIAM15_assumptions!$H$2:$V$2,0))</f>
        <v>0.3</v>
      </c>
      <c r="Z15" s="57">
        <f ca="1">OFFSET(TIAM15_assumptions!$G15,0,MATCH(VLOOKUP(Assumptions!Z$2,TIAM15_assumptions!$Y$3:$Z$87,2,FALSE),TIAM15_assumptions!$H$2:$V$2,0))</f>
        <v>0.3</v>
      </c>
      <c r="AA15" s="57">
        <f ca="1">OFFSET(TIAM15_assumptions!$G15,0,MATCH(VLOOKUP(Assumptions!AA$2,TIAM15_assumptions!$Y$3:$Z$87,2,FALSE),TIAM15_assumptions!$H$2:$V$2,0))</f>
        <v>0.3</v>
      </c>
      <c r="AB15" s="57">
        <f ca="1">OFFSET(TIAM15_assumptions!$G15,0,MATCH(VLOOKUP(Assumptions!AB$2,TIAM15_assumptions!$Y$3:$Z$87,2,FALSE),TIAM15_assumptions!$H$2:$V$2,0))</f>
        <v>0.25</v>
      </c>
      <c r="AC15" s="57">
        <f ca="1">OFFSET(TIAM15_assumptions!$G15,0,MATCH(VLOOKUP(Assumptions!AC$2,TIAM15_assumptions!$Y$3:$Z$87,2,FALSE),TIAM15_assumptions!$H$2:$V$2,0))</f>
        <v>0.11</v>
      </c>
      <c r="AD15" s="57">
        <f ca="1">OFFSET(TIAM15_assumptions!$G15,0,MATCH(VLOOKUP(Assumptions!AD$2,TIAM15_assumptions!$Y$3:$Z$87,2,FALSE),TIAM15_assumptions!$H$2:$V$2,0))</f>
        <v>0.3</v>
      </c>
      <c r="AE15" s="57">
        <f ca="1">OFFSET(TIAM15_assumptions!$G15,0,MATCH(VLOOKUP(Assumptions!AE$2,TIAM15_assumptions!$Y$3:$Z$87,2,FALSE),TIAM15_assumptions!$H$2:$V$2,0))</f>
        <v>0.25</v>
      </c>
      <c r="AF15" s="57">
        <f ca="1">OFFSET(TIAM15_assumptions!$G15,0,MATCH(VLOOKUP(Assumptions!AF$2,TIAM15_assumptions!$Y$3:$Z$87,2,FALSE),TIAM15_assumptions!$H$2:$V$2,0))</f>
        <v>0.25</v>
      </c>
      <c r="AG15" s="57">
        <f ca="1">OFFSET(TIAM15_assumptions!$G15,0,MATCH(VLOOKUP(Assumptions!AG$2,TIAM15_assumptions!$Y$3:$Z$87,2,FALSE),TIAM15_assumptions!$H$2:$V$2,0))</f>
        <v>0.2</v>
      </c>
      <c r="AH15" s="57">
        <f ca="1">OFFSET(TIAM15_assumptions!$G15,0,MATCH(VLOOKUP(Assumptions!AH$2,TIAM15_assumptions!$Y$3:$Z$87,2,FALSE),TIAM15_assumptions!$H$2:$V$2,0))</f>
        <v>0.25</v>
      </c>
      <c r="AI15" s="57">
        <f ca="1">OFFSET(TIAM15_assumptions!$G15,0,MATCH(VLOOKUP(Assumptions!AI$2,TIAM15_assumptions!$Y$3:$Z$87,2,FALSE),TIAM15_assumptions!$H$2:$V$2,0))</f>
        <v>0.1</v>
      </c>
      <c r="AJ15" s="57">
        <f ca="1">OFFSET(TIAM15_assumptions!$G15,0,MATCH(VLOOKUP(Assumptions!AJ$2,TIAM15_assumptions!$Y$3:$Z$87,2,FALSE),TIAM15_assumptions!$H$2:$V$2,0))</f>
        <v>0.3</v>
      </c>
      <c r="AK15" s="57">
        <f ca="1">OFFSET(TIAM15_assumptions!$G15,0,MATCH(VLOOKUP(Assumptions!AK$2,TIAM15_assumptions!$Y$3:$Z$87,2,FALSE),TIAM15_assumptions!$H$2:$V$2,0))</f>
        <v>0.3</v>
      </c>
      <c r="AL15" s="57">
        <f ca="1">OFFSET(TIAM15_assumptions!$G15,0,MATCH(VLOOKUP(Assumptions!AL$2,TIAM15_assumptions!$Y$3:$Z$87,2,FALSE),TIAM15_assumptions!$H$2:$V$2,0))</f>
        <v>0.3</v>
      </c>
      <c r="AM15" s="57">
        <f ca="1">OFFSET(TIAM15_assumptions!$G15,0,MATCH(VLOOKUP(Assumptions!AM$2,TIAM15_assumptions!$Y$3:$Z$87,2,FALSE),TIAM15_assumptions!$H$2:$V$2,0))</f>
        <v>0.25</v>
      </c>
      <c r="AN15" s="57">
        <f ca="1">OFFSET(TIAM15_assumptions!$G15,0,MATCH(VLOOKUP(Assumptions!AN$2,TIAM15_assumptions!$Y$3:$Z$87,2,FALSE),TIAM15_assumptions!$H$2:$V$2,0))</f>
        <v>0.3</v>
      </c>
      <c r="AO15" s="57">
        <f ca="1">OFFSET(TIAM15_assumptions!$G15,0,MATCH(VLOOKUP(Assumptions!AO$2,TIAM15_assumptions!$Y$3:$Z$87,2,FALSE),TIAM15_assumptions!$H$2:$V$2,0))</f>
        <v>0.2</v>
      </c>
      <c r="AP15" s="57">
        <f ca="1">OFFSET(TIAM15_assumptions!$G15,0,MATCH(VLOOKUP(Assumptions!AP$2,TIAM15_assumptions!$Y$3:$Z$87,2,FALSE),TIAM15_assumptions!$H$2:$V$2,0))</f>
        <v>0.25</v>
      </c>
      <c r="AQ15" s="57">
        <f ca="1">OFFSET(TIAM15_assumptions!$G15,0,MATCH(VLOOKUP(Assumptions!AQ$2,TIAM15_assumptions!$Y$3:$Z$87,2,FALSE),TIAM15_assumptions!$H$2:$V$2,0))</f>
        <v>0.11</v>
      </c>
      <c r="AR15" s="57">
        <f ca="1">OFFSET(TIAM15_assumptions!$G15,0,MATCH(VLOOKUP(Assumptions!AR$2,TIAM15_assumptions!$Y$3:$Z$87,2,FALSE),TIAM15_assumptions!$H$2:$V$2,0))</f>
        <v>0.11</v>
      </c>
      <c r="AS15" s="57">
        <f ca="1">OFFSET(TIAM15_assumptions!$G15,0,MATCH(VLOOKUP(Assumptions!AS$2,TIAM15_assumptions!$Y$3:$Z$87,2,FALSE),TIAM15_assumptions!$H$2:$V$2,0))</f>
        <v>0.11</v>
      </c>
      <c r="AT15" s="57">
        <f ca="1">OFFSET(TIAM15_assumptions!$G15,0,MATCH(VLOOKUP(Assumptions!AT$2,TIAM15_assumptions!$Y$3:$Z$87,2,FALSE),TIAM15_assumptions!$H$2:$V$2,0))</f>
        <v>0.11</v>
      </c>
      <c r="AU15" s="57">
        <f ca="1">OFFSET(TIAM15_assumptions!$G15,0,MATCH(VLOOKUP(Assumptions!AU$2,TIAM15_assumptions!$Y$3:$Z$87,2,FALSE),TIAM15_assumptions!$H$2:$V$2,0))</f>
        <v>0.11</v>
      </c>
      <c r="AV15" s="57">
        <f ca="1">OFFSET(TIAM15_assumptions!$G15,0,MATCH(VLOOKUP(Assumptions!AV$2,TIAM15_assumptions!$Y$3:$Z$87,2,FALSE),TIAM15_assumptions!$H$2:$V$2,0))</f>
        <v>0.11</v>
      </c>
      <c r="AW15" s="57">
        <f ca="1">OFFSET(TIAM15_assumptions!$G15,0,MATCH(VLOOKUP(Assumptions!AW$2,TIAM15_assumptions!$Y$3:$Z$87,2,FALSE),TIAM15_assumptions!$H$2:$V$2,0))</f>
        <v>0.11</v>
      </c>
      <c r="AX15" s="57">
        <f ca="1">OFFSET(TIAM15_assumptions!$G15,0,MATCH(VLOOKUP(Assumptions!AX$2,TIAM15_assumptions!$Y$3:$Z$87,2,FALSE),TIAM15_assumptions!$H$2:$V$2,0))</f>
        <v>0.11</v>
      </c>
      <c r="AY15" s="57">
        <f ca="1">OFFSET(TIAM15_assumptions!$G15,0,MATCH(VLOOKUP(Assumptions!AY$2,TIAM15_assumptions!$Y$3:$Z$87,2,FALSE),TIAM15_assumptions!$H$2:$V$2,0))</f>
        <v>0.11</v>
      </c>
      <c r="AZ15" s="57">
        <f ca="1">OFFSET(TIAM15_assumptions!$G15,0,MATCH(VLOOKUP(Assumptions!AZ$2,TIAM15_assumptions!$Y$3:$Z$87,2,FALSE),TIAM15_assumptions!$H$2:$V$2,0))</f>
        <v>0.11</v>
      </c>
      <c r="BA15" s="57">
        <f ca="1">OFFSET(TIAM15_assumptions!$G15,0,MATCH(VLOOKUP(Assumptions!BA$2,TIAM15_assumptions!$Y$3:$Z$87,2,FALSE),TIAM15_assumptions!$H$2:$V$2,0))</f>
        <v>0.11</v>
      </c>
      <c r="BD15" s="40">
        <f ca="1">IFERROR(SUMIFS('TRA balance'!E$5:E$40,'TRA balance'!$C$5:$C$40,Assumptions!$C15,'TRA balance'!$D$5:$D$40,Assumptions!$B15)*CY15*H15,"")</f>
        <v>100.08184937454</v>
      </c>
      <c r="BE15" s="40">
        <f ca="1">IFERROR(SUMIFS('TRA balance'!F$5:F$40,'TRA balance'!$C$5:$C$40,Assumptions!$C15,'TRA balance'!$D$5:$D$40,Assumptions!$B15)*CZ15*I15,"")</f>
        <v>88.940485810944</v>
      </c>
      <c r="BF15" s="40">
        <f ca="1">IFERROR(SUMIFS('TRA balance'!G$5:G$40,'TRA balance'!$C$5:$C$40,Assumptions!$C15,'TRA balance'!$D$5:$D$40,Assumptions!$B15)*DA15*J15,"")</f>
        <v>169.237545851758</v>
      </c>
      <c r="BG15" s="40">
        <f ca="1">IFERROR(SUMIFS('TRA balance'!H$5:H$40,'TRA balance'!$C$5:$C$40,Assumptions!$C15,'TRA balance'!$D$5:$D$40,Assumptions!$B15)*DB15*K15,"")</f>
        <v>62.076130464672</v>
      </c>
      <c r="BH15" s="40">
        <f ca="1">IFERROR(SUMIFS('TRA balance'!I$5:I$40,'TRA balance'!$C$5:$C$40,Assumptions!$C15,'TRA balance'!$D$5:$D$40,Assumptions!$B15)*DC15*L15,"")</f>
        <v>23.04131043366</v>
      </c>
      <c r="BI15" s="40">
        <f ca="1">IFERROR(SUMIFS('TRA balance'!J$5:J$40,'TRA balance'!$C$5:$C$40,Assumptions!$C15,'TRA balance'!$D$5:$D$40,Assumptions!$B15)*DD15*M15,"")</f>
        <v>131.575723609824</v>
      </c>
      <c r="BJ15" s="40">
        <f ca="1">IFERROR(SUMIFS('TRA balance'!K$5:K$40,'TRA balance'!$C$5:$C$40,Assumptions!$C15,'TRA balance'!$D$5:$D$40,Assumptions!$B15)*DE15*N15,"")</f>
        <v>400.641664282978</v>
      </c>
      <c r="BK15" s="40">
        <f ca="1">IFERROR(SUMIFS('TRA balance'!L$5:L$40,'TRA balance'!$C$5:$C$40,Assumptions!$C15,'TRA balance'!$D$5:$D$40,Assumptions!$B15)*DF15*O15,"")</f>
        <v>698.646890301192</v>
      </c>
      <c r="BL15" s="40">
        <f ca="1">IFERROR(SUMIFS('TRA balance'!M$5:M$40,'TRA balance'!$C$5:$C$40,Assumptions!$C15,'TRA balance'!$D$5:$D$40,Assumptions!$B15)*DG15*P15,"")</f>
        <v>24.0988063068</v>
      </c>
      <c r="BM15" s="40">
        <f ca="1">IFERROR(SUMIFS('TRA balance'!N$5:N$40,'TRA balance'!$C$5:$C$40,Assumptions!$C15,'TRA balance'!$D$5:$D$40,Assumptions!$B15)*DH15*Q15,"")</f>
        <v>51.63971989536</v>
      </c>
      <c r="BN15" s="40">
        <f ca="1">IFERROR(SUMIFS('TRA balance'!O$5:O$40,'TRA balance'!$C$5:$C$40,Assumptions!$C15,'TRA balance'!$D$5:$D$40,Assumptions!$B15)*DI15*R15,"")</f>
        <v>308.736029721312</v>
      </c>
      <c r="BO15" s="40">
        <f ca="1">IFERROR(SUMIFS('TRA balance'!P$5:P$40,'TRA balance'!$C$5:$C$40,Assumptions!$C15,'TRA balance'!$D$5:$D$40,Assumptions!$B15)*DJ15*S15,"")</f>
        <v>333.4250875752</v>
      </c>
      <c r="BP15" s="40">
        <f ca="1">IFERROR(SUMIFS('TRA balance'!Q$5:Q$40,'TRA balance'!$C$5:$C$40,Assumptions!$C15,'TRA balance'!$D$5:$D$40,Assumptions!$B15)*DK15*T15,"")</f>
        <v>26.963461926432</v>
      </c>
      <c r="BQ15" s="40">
        <f ca="1">IFERROR(SUMIFS('TRA balance'!R$5:R$40,'TRA balance'!$C$5:$C$40,Assumptions!$C15,'TRA balance'!$D$5:$D$40,Assumptions!$B15)*DL15*U15,"")</f>
        <v>80.56869501096</v>
      </c>
      <c r="BR15" s="40">
        <f ca="1">IFERROR(SUMIFS('TRA balance'!S$5:S$40,'TRA balance'!$C$5:$C$40,Assumptions!$C15,'TRA balance'!$D$5:$D$40,Assumptions!$B15)*DM15*V15,"")</f>
        <v>1.849102899552</v>
      </c>
      <c r="BS15" s="40">
        <f ca="1">IFERROR(SUMIFS('TRA balance'!T$5:T$40,'TRA balance'!$C$5:$C$40,Assumptions!$C15,'TRA balance'!$D$5:$D$40,Assumptions!$B15)*DN15*W15,"")</f>
        <v>365.04883810494</v>
      </c>
      <c r="BT15" s="40">
        <f ca="1">IFERROR(SUMIFS('TRA balance'!U$5:U$40,'TRA balance'!$C$5:$C$40,Assumptions!$C15,'TRA balance'!$D$5:$D$40,Assumptions!$B15)*DO15*X15,"")</f>
        <v>29.60271245952</v>
      </c>
      <c r="BU15" s="40">
        <f ca="1">IFERROR(SUMIFS('TRA balance'!V$5:V$40,'TRA balance'!$C$5:$C$40,Assumptions!$C15,'TRA balance'!$D$5:$D$40,Assumptions!$B15)*DP15*Y15,"")</f>
        <v>216.010795950432</v>
      </c>
      <c r="BV15" s="40">
        <f ca="1">IFERROR(SUMIFS('TRA balance'!W$5:W$40,'TRA balance'!$C$5:$C$40,Assumptions!$C15,'TRA balance'!$D$5:$D$40,Assumptions!$B15)*DQ15*Z15,"")</f>
        <v>260.282230395426</v>
      </c>
      <c r="BW15" s="40">
        <f ca="1">IFERROR(SUMIFS('TRA balance'!X$5:X$40,'TRA balance'!$C$5:$C$40,Assumptions!$C15,'TRA balance'!$D$5:$D$40,Assumptions!$B15)*DR15*AA15,"")</f>
        <v>411.34865457299</v>
      </c>
      <c r="BX15" s="40">
        <f ca="1">IFERROR(SUMIFS('TRA balance'!Y$5:Y$40,'TRA balance'!$C$5:$C$40,Assumptions!$C15,'TRA balance'!$D$5:$D$40,Assumptions!$B15)*DS15*AB15,"")</f>
        <v>336.99733378938</v>
      </c>
      <c r="BY15" s="40">
        <f ca="1">IFERROR(SUMIFS('TRA balance'!Z$5:Z$40,'TRA balance'!$C$5:$C$40,Assumptions!$C15,'TRA balance'!$D$5:$D$40,Assumptions!$B15)*DT15*AC15,"")</f>
        <v>676.102030625531</v>
      </c>
      <c r="BZ15" s="40">
        <f ca="1">IFERROR(SUMIFS('TRA balance'!AA$5:AA$40,'TRA balance'!$C$5:$C$40,Assumptions!$C15,'TRA balance'!$D$5:$D$40,Assumptions!$B15)*DU15*AD15,"")</f>
        <v>21.26403874512</v>
      </c>
      <c r="CA15" s="40">
        <f ca="1">IFERROR(SUMIFS('TRA balance'!AB$5:AB$40,'TRA balance'!$C$5:$C$40,Assumptions!$C15,'TRA balance'!$D$5:$D$40,Assumptions!$B15)*DV15*AE15,"")</f>
        <v>118.55964284856</v>
      </c>
      <c r="CB15" s="40">
        <f ca="1">IFERROR(SUMIFS('TRA balance'!AC$5:AC$40,'TRA balance'!$C$5:$C$40,Assumptions!$C15,'TRA balance'!$D$5:$D$40,Assumptions!$B15)*DW15*AF15,"")</f>
        <v>923.535416871828</v>
      </c>
      <c r="CC15" s="40">
        <f ca="1">IFERROR(SUMIFS('TRA balance'!AD$5:AD$40,'TRA balance'!$C$5:$C$40,Assumptions!$C15,'TRA balance'!$D$5:$D$40,Assumptions!$B15)*DX15*AG15,"")</f>
        <v>133.25261036256</v>
      </c>
      <c r="CD15" s="40">
        <f ca="1">IFERROR(SUMIFS('TRA balance'!AE$5:AE$40,'TRA balance'!$C$5:$C$40,Assumptions!$C15,'TRA balance'!$D$5:$D$40,Assumptions!$B15)*DY15*AH15,"")</f>
        <v>191.6547129189</v>
      </c>
      <c r="CE15" s="40">
        <f ca="1">IFERROR(SUMIFS('TRA balance'!AF$5:AF$40,'TRA balance'!$C$5:$C$40,Assumptions!$C15,'TRA balance'!$D$5:$D$40,Assumptions!$B15)*DZ15*AI15,"")</f>
        <v>31.241537180928</v>
      </c>
      <c r="CF15" s="40">
        <f ca="1">IFERROR(SUMIFS('TRA balance'!AG$5:AG$40,'TRA balance'!$C$5:$C$40,Assumptions!$C15,'TRA balance'!$D$5:$D$40,Assumptions!$B15)*EA15*AJ15,"")</f>
        <v>257.80375241712</v>
      </c>
      <c r="CG15" s="40">
        <f ca="1">IFERROR(SUMIFS('TRA balance'!AH$5:AH$40,'TRA balance'!$C$5:$C$40,Assumptions!$C15,'TRA balance'!$D$5:$D$40,Assumptions!$B15)*EB15*AK15,"")</f>
        <v>77.391099537408</v>
      </c>
      <c r="CH15" s="40">
        <f ca="1">IFERROR(SUMIFS('TRA balance'!AI$5:AI$40,'TRA balance'!$C$5:$C$40,Assumptions!$C15,'TRA balance'!$D$5:$D$40,Assumptions!$B15)*EC15*AL15,"")</f>
        <v>27.31564448928</v>
      </c>
      <c r="CI15" s="40">
        <f ca="1">IFERROR(SUMIFS('TRA balance'!AJ$5:AJ$40,'TRA balance'!$C$5:$C$40,Assumptions!$C15,'TRA balance'!$D$5:$D$40,Assumptions!$B15)*ED15*AM15,"")</f>
        <v>185.02884034857</v>
      </c>
      <c r="CJ15" s="40">
        <f ca="1">IFERROR(SUMIFS('TRA balance'!AK$5:AK$40,'TRA balance'!$C$5:$C$40,Assumptions!$C15,'TRA balance'!$D$5:$D$40,Assumptions!$B15)*EE15*AN15,"")</f>
        <v>243.393463738944</v>
      </c>
      <c r="CK15" s="40">
        <f ca="1">IFERROR(SUMIFS('TRA balance'!AL$5:AL$40,'TRA balance'!$C$5:$C$40,Assumptions!$C15,'TRA balance'!$D$5:$D$40,Assumptions!$B15)*EF15*AO15,"")</f>
        <v>34.540936421724</v>
      </c>
      <c r="CL15" s="40">
        <f ca="1">IFERROR(SUMIFS('TRA balance'!AM$5:AM$40,'TRA balance'!$C$5:$C$40,Assumptions!$C15,'TRA balance'!$D$5:$D$40,Assumptions!$B15)*EG15*AP15,"")</f>
        <v>37.5441199812</v>
      </c>
      <c r="CM15" s="40">
        <f ca="1">IFERROR(SUMIFS('TRA balance'!AN$5:AN$40,'TRA balance'!$C$5:$C$40,Assumptions!$C15,'TRA balance'!$D$5:$D$40,Assumptions!$B15)*EH15*AQ15,"")</f>
        <v>0</v>
      </c>
      <c r="CN15" s="40">
        <f ca="1">IFERROR(SUMIFS('TRA balance'!AO$5:AO$40,'TRA balance'!$C$5:$C$40,Assumptions!$C15,'TRA balance'!$D$5:$D$40,Assumptions!$B15)*EI15*AR15,"")</f>
        <v>0</v>
      </c>
      <c r="CO15" s="40">
        <f ca="1">IFERROR(SUMIFS('TRA balance'!AP$5:AP$40,'TRA balance'!$C$5:$C$40,Assumptions!$C15,'TRA balance'!$D$5:$D$40,Assumptions!$B15)*EJ15*AS15,"")</f>
        <v>0</v>
      </c>
      <c r="CP15" s="40">
        <f ca="1">IFERROR(SUMIFS('TRA balance'!AQ$5:AQ$40,'TRA balance'!$C$5:$C$40,Assumptions!$C15,'TRA balance'!$D$5:$D$40,Assumptions!$B15)*EK15*AT15,"")</f>
        <v>0</v>
      </c>
      <c r="CQ15" s="40">
        <f ca="1">IFERROR(SUMIFS('TRA balance'!AR$5:AR$40,'TRA balance'!$C$5:$C$40,Assumptions!$C15,'TRA balance'!$D$5:$D$40,Assumptions!$B15)*EL15*AU15,"")</f>
        <v>0</v>
      </c>
      <c r="CR15" s="40">
        <f ca="1">IFERROR(SUMIFS('TRA balance'!AS$5:AS$40,'TRA balance'!$C$5:$C$40,Assumptions!$C15,'TRA balance'!$D$5:$D$40,Assumptions!$B15)*EM15*AV15,"")</f>
        <v>0</v>
      </c>
      <c r="CS15" s="40">
        <f ca="1">IFERROR(SUMIFS('TRA balance'!AT$5:AT$40,'TRA balance'!$C$5:$C$40,Assumptions!$C15,'TRA balance'!$D$5:$D$40,Assumptions!$B15)*EN15*AW15,"")</f>
        <v>0</v>
      </c>
      <c r="CT15" s="40">
        <f ca="1">IFERROR(SUMIFS('TRA balance'!AU$5:AU$40,'TRA balance'!$C$5:$C$40,Assumptions!$C15,'TRA balance'!$D$5:$D$40,Assumptions!$B15)*EO15*AX15,"")</f>
        <v>0</v>
      </c>
      <c r="CU15" s="40">
        <f ca="1">IFERROR(SUMIFS('TRA balance'!AV$5:AV$40,'TRA balance'!$C$5:$C$40,Assumptions!$C15,'TRA balance'!$D$5:$D$40,Assumptions!$B15)*EP15*AY15,"")</f>
        <v>0</v>
      </c>
      <c r="CV15" s="40">
        <f ca="1">IFERROR(SUMIFS('TRA balance'!AW$5:AW$40,'TRA balance'!$C$5:$C$40,Assumptions!$C15,'TRA balance'!$D$5:$D$40,Assumptions!$B15)*EQ15*AZ15,"")</f>
        <v>0</v>
      </c>
      <c r="CW15" s="40">
        <f ca="1">IFERROR(SUMIFS('TRA balance'!AX$5:AX$40,'TRA balance'!$C$5:$C$40,Assumptions!$C15,'TRA balance'!$D$5:$D$40,Assumptions!$B15)*ER15*BA15,"")</f>
        <v>0</v>
      </c>
      <c r="CY15" s="39">
        <f ca="1" t="shared" si="2"/>
        <v>0.9</v>
      </c>
      <c r="CZ15" s="39">
        <f ca="1" t="shared" si="3"/>
        <v>0.9</v>
      </c>
      <c r="DA15" s="39">
        <f ca="1" t="shared" si="4"/>
        <v>0.98</v>
      </c>
      <c r="DB15" s="39">
        <f ca="1" t="shared" si="5"/>
        <v>0.8</v>
      </c>
      <c r="DC15" s="39">
        <f ca="1" t="shared" si="6"/>
        <v>0.95</v>
      </c>
      <c r="DD15" s="39">
        <f ca="1" t="shared" si="7"/>
        <v>0.8</v>
      </c>
      <c r="DE15" s="39">
        <f ca="1" t="shared" si="8"/>
        <v>0.93</v>
      </c>
      <c r="DF15" s="39">
        <f ca="1" t="shared" si="9"/>
        <v>0.9</v>
      </c>
      <c r="DG15" s="39">
        <f ca="1" t="shared" si="10"/>
        <v>0.8</v>
      </c>
      <c r="DH15" s="39">
        <f ca="1" t="shared" si="11"/>
        <v>0.8</v>
      </c>
      <c r="DI15" s="39">
        <f ca="1" t="shared" si="12"/>
        <v>0.8</v>
      </c>
      <c r="DJ15" s="39">
        <f ca="1" t="shared" si="13"/>
        <v>0.8</v>
      </c>
      <c r="DK15" s="39">
        <f ca="1" t="shared" si="14"/>
        <v>0.8</v>
      </c>
      <c r="DL15" s="39">
        <f ca="1" t="shared" si="15"/>
        <v>0.8</v>
      </c>
      <c r="DM15" s="39">
        <f ca="1" t="shared" si="16"/>
        <v>0.8</v>
      </c>
      <c r="DN15" s="39">
        <f ca="1" t="shared" si="17"/>
        <v>0.75</v>
      </c>
      <c r="DO15" s="39">
        <f ca="1" t="shared" si="18"/>
        <v>0.8</v>
      </c>
      <c r="DP15" s="39">
        <f ca="1" t="shared" si="19"/>
        <v>0.8</v>
      </c>
      <c r="DQ15" s="39">
        <f ca="1" t="shared" si="20"/>
        <v>0.95</v>
      </c>
      <c r="DR15" s="39">
        <f ca="1" t="shared" si="21"/>
        <v>0.93</v>
      </c>
      <c r="DS15" s="39">
        <f ca="1" t="shared" si="22"/>
        <v>0.9</v>
      </c>
      <c r="DT15" s="39">
        <f ca="1" t="shared" si="23"/>
        <v>0.975593578177383</v>
      </c>
      <c r="DU15" s="39">
        <f ca="1" t="shared" si="24"/>
        <v>0.8</v>
      </c>
      <c r="DV15" s="39">
        <f ca="1" t="shared" si="25"/>
        <v>0.8</v>
      </c>
      <c r="DW15" s="39">
        <f ca="1" t="shared" si="26"/>
        <v>0.92</v>
      </c>
      <c r="DX15" s="39">
        <f ca="1" t="shared" si="27"/>
        <v>0.95</v>
      </c>
      <c r="DY15" s="39">
        <f ca="1" t="shared" si="28"/>
        <v>0.9</v>
      </c>
      <c r="DZ15" s="39">
        <f ca="1" t="shared" si="29"/>
        <v>0.9</v>
      </c>
      <c r="EA15" s="39">
        <f ca="1" t="shared" si="30"/>
        <v>0.8</v>
      </c>
      <c r="EB15" s="39">
        <f ca="1" t="shared" si="31"/>
        <v>0.8</v>
      </c>
      <c r="EC15" s="39">
        <f ca="1" t="shared" si="32"/>
        <v>0.8</v>
      </c>
      <c r="ED15" s="39">
        <f ca="1" t="shared" si="33"/>
        <v>0.9</v>
      </c>
      <c r="EE15" s="39">
        <f ca="1" t="shared" si="34"/>
        <v>0.8</v>
      </c>
      <c r="EF15" s="39">
        <f ca="1" t="shared" si="35"/>
        <v>0.95</v>
      </c>
      <c r="EG15" s="39">
        <f ca="1" t="shared" si="36"/>
        <v>0.8</v>
      </c>
      <c r="EH15" s="39">
        <f ca="1" t="shared" si="37"/>
        <v>0.975593578177383</v>
      </c>
      <c r="EI15" s="39">
        <f ca="1" t="shared" si="38"/>
        <v>0.975593578177383</v>
      </c>
      <c r="EJ15" s="39">
        <f ca="1" t="shared" si="39"/>
        <v>0.975593578177383</v>
      </c>
      <c r="EK15" s="39">
        <f ca="1" t="shared" si="40"/>
        <v>0.975593578177383</v>
      </c>
      <c r="EL15" s="39">
        <f ca="1" t="shared" si="41"/>
        <v>0.975593578177383</v>
      </c>
      <c r="EM15" s="39">
        <f ca="1" t="shared" si="42"/>
        <v>0.975593578177383</v>
      </c>
      <c r="EN15" s="39">
        <f ca="1" t="shared" si="43"/>
        <v>0.975593578177383</v>
      </c>
      <c r="EO15" s="39">
        <f ca="1" t="shared" si="44"/>
        <v>0.975593578177383</v>
      </c>
      <c r="EP15" s="39">
        <f ca="1" t="shared" si="45"/>
        <v>0.975593578177383</v>
      </c>
      <c r="EQ15" s="39">
        <f ca="1" t="shared" si="46"/>
        <v>0.975593578177383</v>
      </c>
      <c r="ER15" s="39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4" t="str">
        <f t="shared" si="48"/>
        <v>TR</v>
      </c>
      <c r="D16" s="55" t="s">
        <v>200</v>
      </c>
      <c r="E16" s="66" t="s">
        <v>218</v>
      </c>
      <c r="F16" s="56" t="str">
        <f t="shared" si="55"/>
        <v>Diesel</v>
      </c>
      <c r="G16" s="54" t="s">
        <v>219</v>
      </c>
      <c r="H16" s="57">
        <f ca="1">OFFSET(TIAM15_assumptions!$G16,0,MATCH(VLOOKUP(Assumptions!H$2,TIAM15_assumptions!$Y$3:$Z$87,2,FALSE),TIAM15_assumptions!$H$2:$V$2,0))</f>
        <v>0.2</v>
      </c>
      <c r="I16" s="57">
        <f ca="1">OFFSET(TIAM15_assumptions!$G16,0,MATCH(VLOOKUP(Assumptions!I$2,TIAM15_assumptions!$Y$3:$Z$87,2,FALSE),TIAM15_assumptions!$H$2:$V$2,0))</f>
        <v>0.2</v>
      </c>
      <c r="J16" s="57">
        <f ca="1">OFFSET(TIAM15_assumptions!$G16,0,MATCH(VLOOKUP(Assumptions!J$2,TIAM15_assumptions!$Y$3:$Z$87,2,FALSE),TIAM15_assumptions!$H$2:$V$2,0))</f>
        <v>0.2</v>
      </c>
      <c r="K16" s="57">
        <f ca="1">OFFSET(TIAM15_assumptions!$G16,0,MATCH(VLOOKUP(Assumptions!K$2,TIAM15_assumptions!$Y$3:$Z$87,2,FALSE),TIAM15_assumptions!$H$2:$V$2,0))</f>
        <v>0.15</v>
      </c>
      <c r="L16" s="57">
        <f ca="1">OFFSET(TIAM15_assumptions!$G16,0,MATCH(VLOOKUP(Assumptions!L$2,TIAM15_assumptions!$Y$3:$Z$87,2,FALSE),TIAM15_assumptions!$H$2:$V$2,0))</f>
        <v>0.1</v>
      </c>
      <c r="M16" s="57">
        <f ca="1">OFFSET(TIAM15_assumptions!$G16,0,MATCH(VLOOKUP(Assumptions!M$2,TIAM15_assumptions!$Y$3:$Z$87,2,FALSE),TIAM15_assumptions!$H$2:$V$2,0))</f>
        <v>0.15</v>
      </c>
      <c r="N16" s="57">
        <f ca="1">OFFSET(TIAM15_assumptions!$G16,0,MATCH(VLOOKUP(Assumptions!N$2,TIAM15_assumptions!$Y$3:$Z$87,2,FALSE),TIAM15_assumptions!$H$2:$V$2,0))</f>
        <v>0.1</v>
      </c>
      <c r="O16" s="57">
        <f ca="1">OFFSET(TIAM15_assumptions!$G16,0,MATCH(VLOOKUP(Assumptions!O$2,TIAM15_assumptions!$Y$3:$Z$87,2,FALSE),TIAM15_assumptions!$H$2:$V$2,0))</f>
        <v>0.1</v>
      </c>
      <c r="P16" s="57">
        <f ca="1">OFFSET(TIAM15_assumptions!$G16,0,MATCH(VLOOKUP(Assumptions!P$2,TIAM15_assumptions!$Y$3:$Z$87,2,FALSE),TIAM15_assumptions!$H$2:$V$2,0))</f>
        <v>0.15</v>
      </c>
      <c r="Q16" s="57">
        <f ca="1">OFFSET(TIAM15_assumptions!$G16,0,MATCH(VLOOKUP(Assumptions!Q$2,TIAM15_assumptions!$Y$3:$Z$87,2,FALSE),TIAM15_assumptions!$H$2:$V$2,0))</f>
        <v>0.15</v>
      </c>
      <c r="R16" s="57">
        <f ca="1">OFFSET(TIAM15_assumptions!$G16,0,MATCH(VLOOKUP(Assumptions!R$2,TIAM15_assumptions!$Y$3:$Z$87,2,FALSE),TIAM15_assumptions!$H$2:$V$2,0))</f>
        <v>0.15</v>
      </c>
      <c r="S16" s="57">
        <f ca="1">OFFSET(TIAM15_assumptions!$G16,0,MATCH(VLOOKUP(Assumptions!S$2,TIAM15_assumptions!$Y$3:$Z$87,2,FALSE),TIAM15_assumptions!$H$2:$V$2,0))</f>
        <v>0.15</v>
      </c>
      <c r="T16" s="57">
        <f ca="1">OFFSET(TIAM15_assumptions!$G16,0,MATCH(VLOOKUP(Assumptions!T$2,TIAM15_assumptions!$Y$3:$Z$87,2,FALSE),TIAM15_assumptions!$H$2:$V$2,0))</f>
        <v>0.15</v>
      </c>
      <c r="U16" s="57">
        <f ca="1">OFFSET(TIAM15_assumptions!$G16,0,MATCH(VLOOKUP(Assumptions!U$2,TIAM15_assumptions!$Y$3:$Z$87,2,FALSE),TIAM15_assumptions!$H$2:$V$2,0))</f>
        <v>0.15</v>
      </c>
      <c r="V16" s="57">
        <f ca="1">OFFSET(TIAM15_assumptions!$G16,0,MATCH(VLOOKUP(Assumptions!V$2,TIAM15_assumptions!$Y$3:$Z$87,2,FALSE),TIAM15_assumptions!$H$2:$V$2,0))</f>
        <v>0.15</v>
      </c>
      <c r="W16" s="57">
        <f ca="1">OFFSET(TIAM15_assumptions!$G16,0,MATCH(VLOOKUP(Assumptions!W$2,TIAM15_assumptions!$Y$3:$Z$87,2,FALSE),TIAM15_assumptions!$H$2:$V$2,0))</f>
        <v>0.25</v>
      </c>
      <c r="X16" s="57">
        <f ca="1">OFFSET(TIAM15_assumptions!$G16,0,MATCH(VLOOKUP(Assumptions!X$2,TIAM15_assumptions!$Y$3:$Z$87,2,FALSE),TIAM15_assumptions!$H$2:$V$2,0))</f>
        <v>0.15</v>
      </c>
      <c r="Y16" s="57">
        <f ca="1">OFFSET(TIAM15_assumptions!$G16,0,MATCH(VLOOKUP(Assumptions!Y$2,TIAM15_assumptions!$Y$3:$Z$87,2,FALSE),TIAM15_assumptions!$H$2:$V$2,0))</f>
        <v>0.15</v>
      </c>
      <c r="Z16" s="57">
        <f ca="1">OFFSET(TIAM15_assumptions!$G16,0,MATCH(VLOOKUP(Assumptions!Z$2,TIAM15_assumptions!$Y$3:$Z$87,2,FALSE),TIAM15_assumptions!$H$2:$V$2,0))</f>
        <v>0.15</v>
      </c>
      <c r="AA16" s="57">
        <f ca="1">OFFSET(TIAM15_assumptions!$G16,0,MATCH(VLOOKUP(Assumptions!AA$2,TIAM15_assumptions!$Y$3:$Z$87,2,FALSE),TIAM15_assumptions!$H$2:$V$2,0))</f>
        <v>0.1</v>
      </c>
      <c r="AB16" s="57">
        <f ca="1">OFFSET(TIAM15_assumptions!$G16,0,MATCH(VLOOKUP(Assumptions!AB$2,TIAM15_assumptions!$Y$3:$Z$87,2,FALSE),TIAM15_assumptions!$H$2:$V$2,0))</f>
        <v>0.15</v>
      </c>
      <c r="AC16" s="57">
        <f ca="1">OFFSET(TIAM15_assumptions!$G16,0,MATCH(VLOOKUP(Assumptions!AC$2,TIAM15_assumptions!$Y$3:$Z$87,2,FALSE),TIAM15_assumptions!$H$2:$V$2,0))</f>
        <v>0.05</v>
      </c>
      <c r="AD16" s="57">
        <f ca="1">OFFSET(TIAM15_assumptions!$G16,0,MATCH(VLOOKUP(Assumptions!AD$2,TIAM15_assumptions!$Y$3:$Z$87,2,FALSE),TIAM15_assumptions!$H$2:$V$2,0))</f>
        <v>0.15</v>
      </c>
      <c r="AE16" s="57">
        <f ca="1">OFFSET(TIAM15_assumptions!$G16,0,MATCH(VLOOKUP(Assumptions!AE$2,TIAM15_assumptions!$Y$3:$Z$87,2,FALSE),TIAM15_assumptions!$H$2:$V$2,0))</f>
        <v>0.15</v>
      </c>
      <c r="AF16" s="57">
        <f ca="1">OFFSET(TIAM15_assumptions!$G16,0,MATCH(VLOOKUP(Assumptions!AF$2,TIAM15_assumptions!$Y$3:$Z$87,2,FALSE),TIAM15_assumptions!$H$2:$V$2,0))</f>
        <v>0.1</v>
      </c>
      <c r="AG16" s="57">
        <f ca="1">OFFSET(TIAM15_assumptions!$G16,0,MATCH(VLOOKUP(Assumptions!AG$2,TIAM15_assumptions!$Y$3:$Z$87,2,FALSE),TIAM15_assumptions!$H$2:$V$2,0))</f>
        <v>0.1</v>
      </c>
      <c r="AH16" s="57">
        <f ca="1">OFFSET(TIAM15_assumptions!$G16,0,MATCH(VLOOKUP(Assumptions!AH$2,TIAM15_assumptions!$Y$3:$Z$87,2,FALSE),TIAM15_assumptions!$H$2:$V$2,0))</f>
        <v>0.15</v>
      </c>
      <c r="AI16" s="57">
        <f ca="1">OFFSET(TIAM15_assumptions!$G16,0,MATCH(VLOOKUP(Assumptions!AI$2,TIAM15_assumptions!$Y$3:$Z$87,2,FALSE),TIAM15_assumptions!$H$2:$V$2,0))</f>
        <v>0.2</v>
      </c>
      <c r="AJ16" s="57">
        <f ca="1">OFFSET(TIAM15_assumptions!$G16,0,MATCH(VLOOKUP(Assumptions!AJ$2,TIAM15_assumptions!$Y$3:$Z$87,2,FALSE),TIAM15_assumptions!$H$2:$V$2,0))</f>
        <v>0.15</v>
      </c>
      <c r="AK16" s="57">
        <f ca="1">OFFSET(TIAM15_assumptions!$G16,0,MATCH(VLOOKUP(Assumptions!AK$2,TIAM15_assumptions!$Y$3:$Z$87,2,FALSE),TIAM15_assumptions!$H$2:$V$2,0))</f>
        <v>0.15</v>
      </c>
      <c r="AL16" s="57">
        <f ca="1">OFFSET(TIAM15_assumptions!$G16,0,MATCH(VLOOKUP(Assumptions!AL$2,TIAM15_assumptions!$Y$3:$Z$87,2,FALSE),TIAM15_assumptions!$H$2:$V$2,0))</f>
        <v>0.15</v>
      </c>
      <c r="AM16" s="57">
        <f ca="1">OFFSET(TIAM15_assumptions!$G16,0,MATCH(VLOOKUP(Assumptions!AM$2,TIAM15_assumptions!$Y$3:$Z$87,2,FALSE),TIAM15_assumptions!$H$2:$V$2,0))</f>
        <v>0.15</v>
      </c>
      <c r="AN16" s="57">
        <f ca="1">OFFSET(TIAM15_assumptions!$G16,0,MATCH(VLOOKUP(Assumptions!AN$2,TIAM15_assumptions!$Y$3:$Z$87,2,FALSE),TIAM15_assumptions!$H$2:$V$2,0))</f>
        <v>0.15</v>
      </c>
      <c r="AO16" s="57">
        <f ca="1">OFFSET(TIAM15_assumptions!$G16,0,MATCH(VLOOKUP(Assumptions!AO$2,TIAM15_assumptions!$Y$3:$Z$87,2,FALSE),TIAM15_assumptions!$H$2:$V$2,0))</f>
        <v>0.1</v>
      </c>
      <c r="AP16" s="57">
        <f ca="1">OFFSET(TIAM15_assumptions!$G16,0,MATCH(VLOOKUP(Assumptions!AP$2,TIAM15_assumptions!$Y$3:$Z$87,2,FALSE),TIAM15_assumptions!$H$2:$V$2,0))</f>
        <v>0.15</v>
      </c>
      <c r="AQ16" s="57">
        <f ca="1">OFFSET(TIAM15_assumptions!$G16,0,MATCH(VLOOKUP(Assumptions!AQ$2,TIAM15_assumptions!$Y$3:$Z$87,2,FALSE),TIAM15_assumptions!$H$2:$V$2,0))</f>
        <v>0.05</v>
      </c>
      <c r="AR16" s="57">
        <f ca="1">OFFSET(TIAM15_assumptions!$G16,0,MATCH(VLOOKUP(Assumptions!AR$2,TIAM15_assumptions!$Y$3:$Z$87,2,FALSE),TIAM15_assumptions!$H$2:$V$2,0))</f>
        <v>0.05</v>
      </c>
      <c r="AS16" s="57">
        <f ca="1">OFFSET(TIAM15_assumptions!$G16,0,MATCH(VLOOKUP(Assumptions!AS$2,TIAM15_assumptions!$Y$3:$Z$87,2,FALSE),TIAM15_assumptions!$H$2:$V$2,0))</f>
        <v>0.05</v>
      </c>
      <c r="AT16" s="57">
        <f ca="1">OFFSET(TIAM15_assumptions!$G16,0,MATCH(VLOOKUP(Assumptions!AT$2,TIAM15_assumptions!$Y$3:$Z$87,2,FALSE),TIAM15_assumptions!$H$2:$V$2,0))</f>
        <v>0.05</v>
      </c>
      <c r="AU16" s="57">
        <f ca="1">OFFSET(TIAM15_assumptions!$G16,0,MATCH(VLOOKUP(Assumptions!AU$2,TIAM15_assumptions!$Y$3:$Z$87,2,FALSE),TIAM15_assumptions!$H$2:$V$2,0))</f>
        <v>0.05</v>
      </c>
      <c r="AV16" s="57">
        <f ca="1">OFFSET(TIAM15_assumptions!$G16,0,MATCH(VLOOKUP(Assumptions!AV$2,TIAM15_assumptions!$Y$3:$Z$87,2,FALSE),TIAM15_assumptions!$H$2:$V$2,0))</f>
        <v>0.05</v>
      </c>
      <c r="AW16" s="57">
        <f ca="1">OFFSET(TIAM15_assumptions!$G16,0,MATCH(VLOOKUP(Assumptions!AW$2,TIAM15_assumptions!$Y$3:$Z$87,2,FALSE),TIAM15_assumptions!$H$2:$V$2,0))</f>
        <v>0.05</v>
      </c>
      <c r="AX16" s="57">
        <f ca="1">OFFSET(TIAM15_assumptions!$G16,0,MATCH(VLOOKUP(Assumptions!AX$2,TIAM15_assumptions!$Y$3:$Z$87,2,FALSE),TIAM15_assumptions!$H$2:$V$2,0))</f>
        <v>0.05</v>
      </c>
      <c r="AY16" s="57">
        <f ca="1">OFFSET(TIAM15_assumptions!$G16,0,MATCH(VLOOKUP(Assumptions!AY$2,TIAM15_assumptions!$Y$3:$Z$87,2,FALSE),TIAM15_assumptions!$H$2:$V$2,0))</f>
        <v>0.05</v>
      </c>
      <c r="AZ16" s="57">
        <f ca="1">OFFSET(TIAM15_assumptions!$G16,0,MATCH(VLOOKUP(Assumptions!AZ$2,TIAM15_assumptions!$Y$3:$Z$87,2,FALSE),TIAM15_assumptions!$H$2:$V$2,0))</f>
        <v>0.05</v>
      </c>
      <c r="BA16" s="57">
        <f ca="1">OFFSET(TIAM15_assumptions!$G16,0,MATCH(VLOOKUP(Assumptions!BA$2,TIAM15_assumptions!$Y$3:$Z$87,2,FALSE),TIAM15_assumptions!$H$2:$V$2,0))</f>
        <v>0.05</v>
      </c>
      <c r="BD16" s="40">
        <f ca="1">IFERROR(SUMIFS('TRA balance'!E$5:E$40,'TRA balance'!$C$5:$C$40,Assumptions!$C16,'TRA balance'!$D$5:$D$40,Assumptions!$B16)*CY16*H16,"")</f>
        <v>200.16369874908</v>
      </c>
      <c r="BE16" s="40">
        <f ca="1">IFERROR(SUMIFS('TRA balance'!F$5:F$40,'TRA balance'!$C$5:$C$40,Assumptions!$C16,'TRA balance'!$D$5:$D$40,Assumptions!$B16)*CZ16*I16,"")</f>
        <v>177.880971621888</v>
      </c>
      <c r="BF16" s="40">
        <f ca="1">IFERROR(SUMIFS('TRA balance'!G$5:G$40,'TRA balance'!$C$5:$C$40,Assumptions!$C16,'TRA balance'!$D$5:$D$40,Assumptions!$B16)*DA16*J16,"")</f>
        <v>112.825030567838</v>
      </c>
      <c r="BG16" s="40">
        <f ca="1">IFERROR(SUMIFS('TRA balance'!H$5:H$40,'TRA balance'!$C$5:$C$40,Assumptions!$C16,'TRA balance'!$D$5:$D$40,Assumptions!$B16)*DB16*K16,"")</f>
        <v>31.038065232336</v>
      </c>
      <c r="BH16" s="40">
        <f ca="1">IFERROR(SUMIFS('TRA balance'!I$5:I$40,'TRA balance'!$C$5:$C$40,Assumptions!$C16,'TRA balance'!$D$5:$D$40,Assumptions!$B16)*DC16*L16,"")</f>
        <v>11.52065521683</v>
      </c>
      <c r="BI16" s="40">
        <f ca="1">IFERROR(SUMIFS('TRA balance'!J$5:J$40,'TRA balance'!$C$5:$C$40,Assumptions!$C16,'TRA balance'!$D$5:$D$40,Assumptions!$B16)*DD16*M16,"")</f>
        <v>65.787861804912</v>
      </c>
      <c r="BJ16" s="40">
        <f ca="1">IFERROR(SUMIFS('TRA balance'!K$5:K$40,'TRA balance'!$C$5:$C$40,Assumptions!$C16,'TRA balance'!$D$5:$D$40,Assumptions!$B16)*DE16*N16,"")</f>
        <v>133.547221427659</v>
      </c>
      <c r="BK16" s="40">
        <f ca="1">IFERROR(SUMIFS('TRA balance'!L$5:L$40,'TRA balance'!$C$5:$C$40,Assumptions!$C16,'TRA balance'!$D$5:$D$40,Assumptions!$B16)*DF16*O16,"")</f>
        <v>349.323445150596</v>
      </c>
      <c r="BL16" s="40">
        <f ca="1">IFERROR(SUMIFS('TRA balance'!M$5:M$40,'TRA balance'!$C$5:$C$40,Assumptions!$C16,'TRA balance'!$D$5:$D$40,Assumptions!$B16)*DG16*P16,"")</f>
        <v>14.45928378408</v>
      </c>
      <c r="BM16" s="40">
        <f ca="1">IFERROR(SUMIFS('TRA balance'!N$5:N$40,'TRA balance'!$C$5:$C$40,Assumptions!$C16,'TRA balance'!$D$5:$D$40,Assumptions!$B16)*DH16*Q16,"")</f>
        <v>30.983831937216</v>
      </c>
      <c r="BN16" s="40">
        <f ca="1">IFERROR(SUMIFS('TRA balance'!O$5:O$40,'TRA balance'!$C$5:$C$40,Assumptions!$C16,'TRA balance'!$D$5:$D$40,Assumptions!$B16)*DI16*R16,"")</f>
        <v>154.368014860656</v>
      </c>
      <c r="BO16" s="40">
        <f ca="1">IFERROR(SUMIFS('TRA balance'!P$5:P$40,'TRA balance'!$C$5:$C$40,Assumptions!$C16,'TRA balance'!$D$5:$D$40,Assumptions!$B16)*DJ16*S16,"")</f>
        <v>166.7125437876</v>
      </c>
      <c r="BP16" s="40">
        <f ca="1">IFERROR(SUMIFS('TRA balance'!Q$5:Q$40,'TRA balance'!$C$5:$C$40,Assumptions!$C16,'TRA balance'!$D$5:$D$40,Assumptions!$B16)*DK16*T16,"")</f>
        <v>13.481730963216</v>
      </c>
      <c r="BQ16" s="40">
        <f ca="1">IFERROR(SUMIFS('TRA balance'!R$5:R$40,'TRA balance'!$C$5:$C$40,Assumptions!$C16,'TRA balance'!$D$5:$D$40,Assumptions!$B16)*DL16*U16,"")</f>
        <v>48.341217006576</v>
      </c>
      <c r="BR16" s="40">
        <f ca="1">IFERROR(SUMIFS('TRA balance'!S$5:S$40,'TRA balance'!$C$5:$C$40,Assumptions!$C16,'TRA balance'!$D$5:$D$40,Assumptions!$B16)*DM16*V16,"")</f>
        <v>0.924551449776</v>
      </c>
      <c r="BS16" s="40">
        <f ca="1">IFERROR(SUMIFS('TRA balance'!T$5:T$40,'TRA balance'!$C$5:$C$40,Assumptions!$C16,'TRA balance'!$D$5:$D$40,Assumptions!$B16)*DN16*W16,"")</f>
        <v>456.311047631175</v>
      </c>
      <c r="BT16" s="40">
        <f ca="1">IFERROR(SUMIFS('TRA balance'!U$5:U$40,'TRA balance'!$C$5:$C$40,Assumptions!$C16,'TRA balance'!$D$5:$D$40,Assumptions!$B16)*DO16*X16,"")</f>
        <v>14.80135622976</v>
      </c>
      <c r="BU16" s="40">
        <f ca="1">IFERROR(SUMIFS('TRA balance'!V$5:V$40,'TRA balance'!$C$5:$C$40,Assumptions!$C16,'TRA balance'!$D$5:$D$40,Assumptions!$B16)*DP16*Y16,"")</f>
        <v>108.005397975216</v>
      </c>
      <c r="BV16" s="40">
        <f ca="1">IFERROR(SUMIFS('TRA balance'!W$5:W$40,'TRA balance'!$C$5:$C$40,Assumptions!$C16,'TRA balance'!$D$5:$D$40,Assumptions!$B16)*DQ16*Z16,"")</f>
        <v>130.141115197713</v>
      </c>
      <c r="BW16" s="40">
        <f ca="1">IFERROR(SUMIFS('TRA balance'!X$5:X$40,'TRA balance'!$C$5:$C$40,Assumptions!$C16,'TRA balance'!$D$5:$D$40,Assumptions!$B16)*DR16*AA16,"")</f>
        <v>137.116218190997</v>
      </c>
      <c r="BX16" s="40">
        <f ca="1">IFERROR(SUMIFS('TRA balance'!Y$5:Y$40,'TRA balance'!$C$5:$C$40,Assumptions!$C16,'TRA balance'!$D$5:$D$40,Assumptions!$B16)*DS16*AB16,"")</f>
        <v>202.198400273628</v>
      </c>
      <c r="BY16" s="40">
        <f ca="1">IFERROR(SUMIFS('TRA balance'!Z$5:Z$40,'TRA balance'!$C$5:$C$40,Assumptions!$C16,'TRA balance'!$D$5:$D$40,Assumptions!$B16)*DT16*AC16,"")</f>
        <v>307.319104829787</v>
      </c>
      <c r="BZ16" s="40">
        <f ca="1">IFERROR(SUMIFS('TRA balance'!AA$5:AA$40,'TRA balance'!$C$5:$C$40,Assumptions!$C16,'TRA balance'!$D$5:$D$40,Assumptions!$B16)*DU16*AD16,"")</f>
        <v>10.63201937256</v>
      </c>
      <c r="CA16" s="40">
        <f ca="1">IFERROR(SUMIFS('TRA balance'!AB$5:AB$40,'TRA balance'!$C$5:$C$40,Assumptions!$C16,'TRA balance'!$D$5:$D$40,Assumptions!$B16)*DV16*AE16,"")</f>
        <v>71.135785709136</v>
      </c>
      <c r="CB16" s="40">
        <f ca="1">IFERROR(SUMIFS('TRA balance'!AC$5:AC$40,'TRA balance'!$C$5:$C$40,Assumptions!$C16,'TRA balance'!$D$5:$D$40,Assumptions!$B16)*DW16*AF16,"")</f>
        <v>369.414166748731</v>
      </c>
      <c r="CC16" s="40">
        <f ca="1">IFERROR(SUMIFS('TRA balance'!AD$5:AD$40,'TRA balance'!$C$5:$C$40,Assumptions!$C16,'TRA balance'!$D$5:$D$40,Assumptions!$B16)*DX16*AG16,"")</f>
        <v>66.62630518128</v>
      </c>
      <c r="CD16" s="40">
        <f ca="1">IFERROR(SUMIFS('TRA balance'!AE$5:AE$40,'TRA balance'!$C$5:$C$40,Assumptions!$C16,'TRA balance'!$D$5:$D$40,Assumptions!$B16)*DY16*AH16,"")</f>
        <v>114.99282775134</v>
      </c>
      <c r="CE16" s="40">
        <f ca="1">IFERROR(SUMIFS('TRA balance'!AF$5:AF$40,'TRA balance'!$C$5:$C$40,Assumptions!$C16,'TRA balance'!$D$5:$D$40,Assumptions!$B16)*DZ16*AI16,"")</f>
        <v>62.483074361856</v>
      </c>
      <c r="CF16" s="40">
        <f ca="1">IFERROR(SUMIFS('TRA balance'!AG$5:AG$40,'TRA balance'!$C$5:$C$40,Assumptions!$C16,'TRA balance'!$D$5:$D$40,Assumptions!$B16)*EA16*AJ16,"")</f>
        <v>128.90187620856</v>
      </c>
      <c r="CG16" s="40">
        <f ca="1">IFERROR(SUMIFS('TRA balance'!AH$5:AH$40,'TRA balance'!$C$5:$C$40,Assumptions!$C16,'TRA balance'!$D$5:$D$40,Assumptions!$B16)*EB16*AK16,"")</f>
        <v>38.695549768704</v>
      </c>
      <c r="CH16" s="40">
        <f ca="1">IFERROR(SUMIFS('TRA balance'!AI$5:AI$40,'TRA balance'!$C$5:$C$40,Assumptions!$C16,'TRA balance'!$D$5:$D$40,Assumptions!$B16)*EC16*AL16,"")</f>
        <v>13.65782224464</v>
      </c>
      <c r="CI16" s="40">
        <f ca="1">IFERROR(SUMIFS('TRA balance'!AJ$5:AJ$40,'TRA balance'!$C$5:$C$40,Assumptions!$C16,'TRA balance'!$D$5:$D$40,Assumptions!$B16)*ED16*AM16,"")</f>
        <v>111.017304209142</v>
      </c>
      <c r="CJ16" s="40">
        <f ca="1">IFERROR(SUMIFS('TRA balance'!AK$5:AK$40,'TRA balance'!$C$5:$C$40,Assumptions!$C16,'TRA balance'!$D$5:$D$40,Assumptions!$B16)*EE16*AN16,"")</f>
        <v>121.696731869472</v>
      </c>
      <c r="CK16" s="40">
        <f ca="1">IFERROR(SUMIFS('TRA balance'!AL$5:AL$40,'TRA balance'!$C$5:$C$40,Assumptions!$C16,'TRA balance'!$D$5:$D$40,Assumptions!$B16)*EF16*AO16,"")</f>
        <v>17.270468210862</v>
      </c>
      <c r="CL16" s="40">
        <f ca="1">IFERROR(SUMIFS('TRA balance'!AM$5:AM$40,'TRA balance'!$C$5:$C$40,Assumptions!$C16,'TRA balance'!$D$5:$D$40,Assumptions!$B16)*EG16*AP16,"")</f>
        <v>22.52647198872</v>
      </c>
      <c r="CM16" s="40">
        <f ca="1">IFERROR(SUMIFS('TRA balance'!AN$5:AN$40,'TRA balance'!$C$5:$C$40,Assumptions!$C16,'TRA balance'!$D$5:$D$40,Assumptions!$B16)*EH16*AQ16,"")</f>
        <v>0</v>
      </c>
      <c r="CN16" s="40">
        <f ca="1">IFERROR(SUMIFS('TRA balance'!AO$5:AO$40,'TRA balance'!$C$5:$C$40,Assumptions!$C16,'TRA balance'!$D$5:$D$40,Assumptions!$B16)*EI16*AR16,"")</f>
        <v>0</v>
      </c>
      <c r="CO16" s="40">
        <f ca="1">IFERROR(SUMIFS('TRA balance'!AP$5:AP$40,'TRA balance'!$C$5:$C$40,Assumptions!$C16,'TRA balance'!$D$5:$D$40,Assumptions!$B16)*EJ16*AS16,"")</f>
        <v>0</v>
      </c>
      <c r="CP16" s="40">
        <f ca="1">IFERROR(SUMIFS('TRA balance'!AQ$5:AQ$40,'TRA balance'!$C$5:$C$40,Assumptions!$C16,'TRA balance'!$D$5:$D$40,Assumptions!$B16)*EK16*AT16,"")</f>
        <v>0</v>
      </c>
      <c r="CQ16" s="40">
        <f ca="1">IFERROR(SUMIFS('TRA balance'!AR$5:AR$40,'TRA balance'!$C$5:$C$40,Assumptions!$C16,'TRA balance'!$D$5:$D$40,Assumptions!$B16)*EL16*AU16,"")</f>
        <v>0</v>
      </c>
      <c r="CR16" s="40">
        <f ca="1">IFERROR(SUMIFS('TRA balance'!AS$5:AS$40,'TRA balance'!$C$5:$C$40,Assumptions!$C16,'TRA balance'!$D$5:$D$40,Assumptions!$B16)*EM16*AV16,"")</f>
        <v>0</v>
      </c>
      <c r="CS16" s="40">
        <f ca="1">IFERROR(SUMIFS('TRA balance'!AT$5:AT$40,'TRA balance'!$C$5:$C$40,Assumptions!$C16,'TRA balance'!$D$5:$D$40,Assumptions!$B16)*EN16*AW16,"")</f>
        <v>0</v>
      </c>
      <c r="CT16" s="40">
        <f ca="1">IFERROR(SUMIFS('TRA balance'!AU$5:AU$40,'TRA balance'!$C$5:$C$40,Assumptions!$C16,'TRA balance'!$D$5:$D$40,Assumptions!$B16)*EO16*AX16,"")</f>
        <v>0</v>
      </c>
      <c r="CU16" s="40">
        <f ca="1">IFERROR(SUMIFS('TRA balance'!AV$5:AV$40,'TRA balance'!$C$5:$C$40,Assumptions!$C16,'TRA balance'!$D$5:$D$40,Assumptions!$B16)*EP16*AY16,"")</f>
        <v>0</v>
      </c>
      <c r="CV16" s="40">
        <f ca="1">IFERROR(SUMIFS('TRA balance'!AW$5:AW$40,'TRA balance'!$C$5:$C$40,Assumptions!$C16,'TRA balance'!$D$5:$D$40,Assumptions!$B16)*EQ16*AZ16,"")</f>
        <v>0</v>
      </c>
      <c r="CW16" s="40">
        <f ca="1">IFERROR(SUMIFS('TRA balance'!AX$5:AX$40,'TRA balance'!$C$5:$C$40,Assumptions!$C16,'TRA balance'!$D$5:$D$40,Assumptions!$B16)*ER16*BA16,"")</f>
        <v>0</v>
      </c>
      <c r="CY16" s="39">
        <f ca="1" t="shared" si="2"/>
        <v>0.9</v>
      </c>
      <c r="CZ16" s="39">
        <f ca="1" t="shared" si="3"/>
        <v>0.9</v>
      </c>
      <c r="DA16" s="39">
        <f ca="1" t="shared" si="4"/>
        <v>0.98</v>
      </c>
      <c r="DB16" s="39">
        <f ca="1" t="shared" si="5"/>
        <v>0.8</v>
      </c>
      <c r="DC16" s="39">
        <f ca="1" t="shared" si="6"/>
        <v>0.95</v>
      </c>
      <c r="DD16" s="39">
        <f ca="1" t="shared" si="7"/>
        <v>0.8</v>
      </c>
      <c r="DE16" s="39">
        <f ca="1" t="shared" si="8"/>
        <v>0.93</v>
      </c>
      <c r="DF16" s="39">
        <f ca="1" t="shared" si="9"/>
        <v>0.9</v>
      </c>
      <c r="DG16" s="39">
        <f ca="1" t="shared" si="10"/>
        <v>0.8</v>
      </c>
      <c r="DH16" s="39">
        <f ca="1" t="shared" si="11"/>
        <v>0.8</v>
      </c>
      <c r="DI16" s="39">
        <f ca="1" t="shared" si="12"/>
        <v>0.8</v>
      </c>
      <c r="DJ16" s="39">
        <f ca="1" t="shared" si="13"/>
        <v>0.8</v>
      </c>
      <c r="DK16" s="39">
        <f ca="1" t="shared" si="14"/>
        <v>0.8</v>
      </c>
      <c r="DL16" s="39">
        <f ca="1" t="shared" si="15"/>
        <v>0.8</v>
      </c>
      <c r="DM16" s="39">
        <f ca="1" t="shared" si="16"/>
        <v>0.8</v>
      </c>
      <c r="DN16" s="39">
        <f ca="1" t="shared" si="17"/>
        <v>0.75</v>
      </c>
      <c r="DO16" s="39">
        <f ca="1" t="shared" si="18"/>
        <v>0.8</v>
      </c>
      <c r="DP16" s="39">
        <f ca="1" t="shared" si="19"/>
        <v>0.8</v>
      </c>
      <c r="DQ16" s="39">
        <f ca="1" t="shared" si="20"/>
        <v>0.95</v>
      </c>
      <c r="DR16" s="39">
        <f ca="1" t="shared" si="21"/>
        <v>0.93</v>
      </c>
      <c r="DS16" s="39">
        <f ca="1" t="shared" si="22"/>
        <v>0.9</v>
      </c>
      <c r="DT16" s="39">
        <f ca="1" t="shared" si="23"/>
        <v>0.975593578177383</v>
      </c>
      <c r="DU16" s="39">
        <f ca="1" t="shared" si="24"/>
        <v>0.8</v>
      </c>
      <c r="DV16" s="39">
        <f ca="1" t="shared" si="25"/>
        <v>0.8</v>
      </c>
      <c r="DW16" s="39">
        <f ca="1" t="shared" si="26"/>
        <v>0.92</v>
      </c>
      <c r="DX16" s="39">
        <f ca="1" t="shared" si="27"/>
        <v>0.95</v>
      </c>
      <c r="DY16" s="39">
        <f ca="1" t="shared" si="28"/>
        <v>0.9</v>
      </c>
      <c r="DZ16" s="39">
        <f ca="1" t="shared" si="29"/>
        <v>0.9</v>
      </c>
      <c r="EA16" s="39">
        <f ca="1" t="shared" si="30"/>
        <v>0.8</v>
      </c>
      <c r="EB16" s="39">
        <f ca="1" t="shared" si="31"/>
        <v>0.8</v>
      </c>
      <c r="EC16" s="39">
        <f ca="1" t="shared" si="32"/>
        <v>0.8</v>
      </c>
      <c r="ED16" s="39">
        <f ca="1" t="shared" si="33"/>
        <v>0.9</v>
      </c>
      <c r="EE16" s="39">
        <f ca="1" t="shared" si="34"/>
        <v>0.8</v>
      </c>
      <c r="EF16" s="39">
        <f ca="1" t="shared" si="35"/>
        <v>0.95</v>
      </c>
      <c r="EG16" s="39">
        <f ca="1" t="shared" si="36"/>
        <v>0.8</v>
      </c>
      <c r="EH16" s="39">
        <f ca="1" t="shared" si="37"/>
        <v>0.975593578177383</v>
      </c>
      <c r="EI16" s="39">
        <f ca="1" t="shared" si="38"/>
        <v>0.975593578177383</v>
      </c>
      <c r="EJ16" s="39">
        <f ca="1" t="shared" si="39"/>
        <v>0.975593578177383</v>
      </c>
      <c r="EK16" s="39">
        <f ca="1" t="shared" si="40"/>
        <v>0.975593578177383</v>
      </c>
      <c r="EL16" s="39">
        <f ca="1" t="shared" si="41"/>
        <v>0.975593578177383</v>
      </c>
      <c r="EM16" s="39">
        <f ca="1" t="shared" si="42"/>
        <v>0.975593578177383</v>
      </c>
      <c r="EN16" s="39">
        <f ca="1" t="shared" si="43"/>
        <v>0.975593578177383</v>
      </c>
      <c r="EO16" s="39">
        <f ca="1" t="shared" si="44"/>
        <v>0.975593578177383</v>
      </c>
      <c r="EP16" s="39">
        <f ca="1" t="shared" si="45"/>
        <v>0.975593578177383</v>
      </c>
      <c r="EQ16" s="39">
        <f ca="1" t="shared" si="46"/>
        <v>0.975593578177383</v>
      </c>
      <c r="ER16" s="39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4" t="str">
        <f t="shared" si="48"/>
        <v/>
      </c>
      <c r="D17" s="55"/>
      <c r="E17" s="67" t="s">
        <v>220</v>
      </c>
      <c r="F17" s="56" t="str">
        <f t="shared" si="55"/>
        <v>Diesel</v>
      </c>
      <c r="G17" s="54"/>
      <c r="H17" s="61" t="str">
        <f ca="1">IF(SUM(H13:H16)=1,"-","&lt;&gt;1!!")</f>
        <v>-</v>
      </c>
      <c r="I17" s="61" t="str">
        <f ca="1" t="shared" ref="I17:BA17" si="56">IF(SUM(I13:I16)=1,"-","&lt;&gt;1!!")</f>
        <v>-</v>
      </c>
      <c r="J17" s="61" t="str">
        <f ca="1" t="shared" si="56"/>
        <v>-</v>
      </c>
      <c r="K17" s="61" t="str">
        <f ca="1" t="shared" si="56"/>
        <v>-</v>
      </c>
      <c r="L17" s="61" t="str">
        <f ca="1" t="shared" si="56"/>
        <v>-</v>
      </c>
      <c r="M17" s="61" t="str">
        <f ca="1" t="shared" si="56"/>
        <v>-</v>
      </c>
      <c r="N17" s="61" t="str">
        <f ca="1" t="shared" si="56"/>
        <v>-</v>
      </c>
      <c r="O17" s="61" t="str">
        <f ca="1" t="shared" si="56"/>
        <v>-</v>
      </c>
      <c r="P17" s="61" t="str">
        <f ca="1" t="shared" si="56"/>
        <v>-</v>
      </c>
      <c r="Q17" s="61" t="str">
        <f ca="1" t="shared" si="56"/>
        <v>-</v>
      </c>
      <c r="R17" s="61" t="str">
        <f ca="1" t="shared" si="56"/>
        <v>-</v>
      </c>
      <c r="S17" s="61" t="str">
        <f ca="1" t="shared" si="56"/>
        <v>-</v>
      </c>
      <c r="T17" s="61" t="str">
        <f ca="1" t="shared" si="56"/>
        <v>-</v>
      </c>
      <c r="U17" s="61" t="str">
        <f ca="1" t="shared" si="56"/>
        <v>-</v>
      </c>
      <c r="V17" s="61" t="str">
        <f ca="1" t="shared" si="56"/>
        <v>-</v>
      </c>
      <c r="W17" s="61" t="str">
        <f ca="1" t="shared" si="56"/>
        <v>-</v>
      </c>
      <c r="X17" s="61" t="str">
        <f ca="1" t="shared" si="56"/>
        <v>-</v>
      </c>
      <c r="Y17" s="61" t="str">
        <f ca="1" t="shared" si="56"/>
        <v>-</v>
      </c>
      <c r="Z17" s="61" t="str">
        <f ca="1" t="shared" si="56"/>
        <v>-</v>
      </c>
      <c r="AA17" s="61" t="str">
        <f ca="1" t="shared" si="56"/>
        <v>-</v>
      </c>
      <c r="AB17" s="61" t="str">
        <f ca="1" t="shared" si="56"/>
        <v>-</v>
      </c>
      <c r="AC17" s="61" t="str">
        <f ca="1" t="shared" si="56"/>
        <v>-</v>
      </c>
      <c r="AD17" s="61" t="str">
        <f ca="1" t="shared" si="56"/>
        <v>-</v>
      </c>
      <c r="AE17" s="61" t="str">
        <f ca="1" t="shared" si="56"/>
        <v>-</v>
      </c>
      <c r="AF17" s="61" t="str">
        <f ca="1" t="shared" si="56"/>
        <v>-</v>
      </c>
      <c r="AG17" s="61" t="str">
        <f ca="1" t="shared" si="56"/>
        <v>-</v>
      </c>
      <c r="AH17" s="61" t="str">
        <f ca="1" t="shared" si="56"/>
        <v>-</v>
      </c>
      <c r="AI17" s="61" t="str">
        <f ca="1" t="shared" si="56"/>
        <v>-</v>
      </c>
      <c r="AJ17" s="61" t="str">
        <f ca="1" t="shared" si="56"/>
        <v>-</v>
      </c>
      <c r="AK17" s="61" t="str">
        <f ca="1" t="shared" si="56"/>
        <v>-</v>
      </c>
      <c r="AL17" s="61" t="str">
        <f ca="1" t="shared" si="56"/>
        <v>-</v>
      </c>
      <c r="AM17" s="61" t="str">
        <f ca="1" t="shared" si="56"/>
        <v>-</v>
      </c>
      <c r="AN17" s="61" t="str">
        <f ca="1" t="shared" si="56"/>
        <v>-</v>
      </c>
      <c r="AO17" s="61" t="str">
        <f ca="1" t="shared" si="56"/>
        <v>-</v>
      </c>
      <c r="AP17" s="61" t="str">
        <f ca="1" t="shared" si="56"/>
        <v>-</v>
      </c>
      <c r="AQ17" s="61" t="str">
        <f ca="1" t="shared" si="56"/>
        <v>-</v>
      </c>
      <c r="AR17" s="61" t="str">
        <f ca="1" t="shared" si="56"/>
        <v>-</v>
      </c>
      <c r="AS17" s="61" t="str">
        <f ca="1" t="shared" si="56"/>
        <v>-</v>
      </c>
      <c r="AT17" s="61" t="str">
        <f ca="1" t="shared" si="56"/>
        <v>-</v>
      </c>
      <c r="AU17" s="61" t="str">
        <f ca="1" t="shared" si="56"/>
        <v>-</v>
      </c>
      <c r="AV17" s="61" t="str">
        <f ca="1" t="shared" si="56"/>
        <v>-</v>
      </c>
      <c r="AW17" s="61" t="str">
        <f ca="1" t="shared" si="56"/>
        <v>-</v>
      </c>
      <c r="AX17" s="61" t="str">
        <f ca="1" t="shared" si="56"/>
        <v>-</v>
      </c>
      <c r="AY17" s="61" t="str">
        <f ca="1" t="shared" si="56"/>
        <v>-</v>
      </c>
      <c r="AZ17" s="61" t="str">
        <f ca="1" t="shared" si="56"/>
        <v>-</v>
      </c>
      <c r="BA17" s="61" t="str">
        <f ca="1" t="shared" si="56"/>
        <v>-</v>
      </c>
      <c r="BD17" s="40" t="str">
        <f ca="1">IFERROR(SUMIFS('TRA balance'!E$5:E$40,'TRA balance'!$C$5:$C$40,Assumptions!$C17,'TRA balance'!$D$5:$D$40,Assumptions!$B17)*CY17*H17,"")</f>
        <v/>
      </c>
      <c r="BE17" s="40" t="str">
        <f ca="1">IFERROR(SUMIFS('TRA balance'!F$5:F$40,'TRA balance'!$C$5:$C$40,Assumptions!$C17,'TRA balance'!$D$5:$D$40,Assumptions!$B17)*CZ17*I17,"")</f>
        <v/>
      </c>
      <c r="BF17" s="40" t="str">
        <f ca="1">IFERROR(SUMIFS('TRA balance'!G$5:G$40,'TRA balance'!$C$5:$C$40,Assumptions!$C17,'TRA balance'!$D$5:$D$40,Assumptions!$B17)*DA17*J17,"")</f>
        <v/>
      </c>
      <c r="BG17" s="40" t="str">
        <f ca="1">IFERROR(SUMIFS('TRA balance'!H$5:H$40,'TRA balance'!$C$5:$C$40,Assumptions!$C17,'TRA balance'!$D$5:$D$40,Assumptions!$B17)*DB17*K17,"")</f>
        <v/>
      </c>
      <c r="BH17" s="40" t="str">
        <f ca="1">IFERROR(SUMIFS('TRA balance'!I$5:I$40,'TRA balance'!$C$5:$C$40,Assumptions!$C17,'TRA balance'!$D$5:$D$40,Assumptions!$B17)*DC17*L17,"")</f>
        <v/>
      </c>
      <c r="BI17" s="40" t="str">
        <f ca="1">IFERROR(SUMIFS('TRA balance'!J$5:J$40,'TRA balance'!$C$5:$C$40,Assumptions!$C17,'TRA balance'!$D$5:$D$40,Assumptions!$B17)*DD17*M17,"")</f>
        <v/>
      </c>
      <c r="BJ17" s="40" t="str">
        <f ca="1">IFERROR(SUMIFS('TRA balance'!K$5:K$40,'TRA balance'!$C$5:$C$40,Assumptions!$C17,'TRA balance'!$D$5:$D$40,Assumptions!$B17)*DE17*N17,"")</f>
        <v/>
      </c>
      <c r="BK17" s="40" t="str">
        <f ca="1">IFERROR(SUMIFS('TRA balance'!L$5:L$40,'TRA balance'!$C$5:$C$40,Assumptions!$C17,'TRA balance'!$D$5:$D$40,Assumptions!$B17)*DF17*O17,"")</f>
        <v/>
      </c>
      <c r="BL17" s="40" t="str">
        <f ca="1">IFERROR(SUMIFS('TRA balance'!M$5:M$40,'TRA balance'!$C$5:$C$40,Assumptions!$C17,'TRA balance'!$D$5:$D$40,Assumptions!$B17)*DG17*P17,"")</f>
        <v/>
      </c>
      <c r="BM17" s="40" t="str">
        <f ca="1">IFERROR(SUMIFS('TRA balance'!N$5:N$40,'TRA balance'!$C$5:$C$40,Assumptions!$C17,'TRA balance'!$D$5:$D$40,Assumptions!$B17)*DH17*Q17,"")</f>
        <v/>
      </c>
      <c r="BN17" s="40" t="str">
        <f ca="1">IFERROR(SUMIFS('TRA balance'!O$5:O$40,'TRA balance'!$C$5:$C$40,Assumptions!$C17,'TRA balance'!$D$5:$D$40,Assumptions!$B17)*DI17*R17,"")</f>
        <v/>
      </c>
      <c r="BO17" s="40" t="str">
        <f ca="1">IFERROR(SUMIFS('TRA balance'!P$5:P$40,'TRA balance'!$C$5:$C$40,Assumptions!$C17,'TRA balance'!$D$5:$D$40,Assumptions!$B17)*DJ17*S17,"")</f>
        <v/>
      </c>
      <c r="BP17" s="40" t="str">
        <f ca="1">IFERROR(SUMIFS('TRA balance'!Q$5:Q$40,'TRA balance'!$C$5:$C$40,Assumptions!$C17,'TRA balance'!$D$5:$D$40,Assumptions!$B17)*DK17*T17,"")</f>
        <v/>
      </c>
      <c r="BQ17" s="40" t="str">
        <f ca="1">IFERROR(SUMIFS('TRA balance'!R$5:R$40,'TRA balance'!$C$5:$C$40,Assumptions!$C17,'TRA balance'!$D$5:$D$40,Assumptions!$B17)*DL17*U17,"")</f>
        <v/>
      </c>
      <c r="BR17" s="40" t="str">
        <f ca="1">IFERROR(SUMIFS('TRA balance'!S$5:S$40,'TRA balance'!$C$5:$C$40,Assumptions!$C17,'TRA balance'!$D$5:$D$40,Assumptions!$B17)*DM17*V17,"")</f>
        <v/>
      </c>
      <c r="BS17" s="40" t="str">
        <f ca="1">IFERROR(SUMIFS('TRA balance'!T$5:T$40,'TRA balance'!$C$5:$C$40,Assumptions!$C17,'TRA balance'!$D$5:$D$40,Assumptions!$B17)*DN17*W17,"")</f>
        <v/>
      </c>
      <c r="BT17" s="40" t="str">
        <f ca="1">IFERROR(SUMIFS('TRA balance'!U$5:U$40,'TRA balance'!$C$5:$C$40,Assumptions!$C17,'TRA balance'!$D$5:$D$40,Assumptions!$B17)*DO17*X17,"")</f>
        <v/>
      </c>
      <c r="BU17" s="40" t="str">
        <f ca="1">IFERROR(SUMIFS('TRA balance'!V$5:V$40,'TRA balance'!$C$5:$C$40,Assumptions!$C17,'TRA balance'!$D$5:$D$40,Assumptions!$B17)*DP17*Y17,"")</f>
        <v/>
      </c>
      <c r="BV17" s="40" t="str">
        <f ca="1">IFERROR(SUMIFS('TRA balance'!W$5:W$40,'TRA balance'!$C$5:$C$40,Assumptions!$C17,'TRA balance'!$D$5:$D$40,Assumptions!$B17)*DQ17*Z17,"")</f>
        <v/>
      </c>
      <c r="BW17" s="40" t="str">
        <f ca="1">IFERROR(SUMIFS('TRA balance'!X$5:X$40,'TRA balance'!$C$5:$C$40,Assumptions!$C17,'TRA balance'!$D$5:$D$40,Assumptions!$B17)*DR17*AA17,"")</f>
        <v/>
      </c>
      <c r="BX17" s="40" t="str">
        <f ca="1">IFERROR(SUMIFS('TRA balance'!Y$5:Y$40,'TRA balance'!$C$5:$C$40,Assumptions!$C17,'TRA balance'!$D$5:$D$40,Assumptions!$B17)*DS17*AB17,"")</f>
        <v/>
      </c>
      <c r="BY17" s="40" t="str">
        <f ca="1">IFERROR(SUMIFS('TRA balance'!Z$5:Z$40,'TRA balance'!$C$5:$C$40,Assumptions!$C17,'TRA balance'!$D$5:$D$40,Assumptions!$B17)*DT17*AC17,"")</f>
        <v/>
      </c>
      <c r="BZ17" s="40" t="str">
        <f ca="1">IFERROR(SUMIFS('TRA balance'!AA$5:AA$40,'TRA balance'!$C$5:$C$40,Assumptions!$C17,'TRA balance'!$D$5:$D$40,Assumptions!$B17)*DU17*AD17,"")</f>
        <v/>
      </c>
      <c r="CA17" s="40" t="str">
        <f ca="1">IFERROR(SUMIFS('TRA balance'!AB$5:AB$40,'TRA balance'!$C$5:$C$40,Assumptions!$C17,'TRA balance'!$D$5:$D$40,Assumptions!$B17)*DV17*AE17,"")</f>
        <v/>
      </c>
      <c r="CB17" s="40" t="str">
        <f ca="1">IFERROR(SUMIFS('TRA balance'!AC$5:AC$40,'TRA balance'!$C$5:$C$40,Assumptions!$C17,'TRA balance'!$D$5:$D$40,Assumptions!$B17)*DW17*AF17,"")</f>
        <v/>
      </c>
      <c r="CC17" s="40" t="str">
        <f ca="1">IFERROR(SUMIFS('TRA balance'!AD$5:AD$40,'TRA balance'!$C$5:$C$40,Assumptions!$C17,'TRA balance'!$D$5:$D$40,Assumptions!$B17)*DX17*AG17,"")</f>
        <v/>
      </c>
      <c r="CD17" s="40" t="str">
        <f ca="1">IFERROR(SUMIFS('TRA balance'!AE$5:AE$40,'TRA balance'!$C$5:$C$40,Assumptions!$C17,'TRA balance'!$D$5:$D$40,Assumptions!$B17)*DY17*AH17,"")</f>
        <v/>
      </c>
      <c r="CE17" s="40" t="str">
        <f ca="1">IFERROR(SUMIFS('TRA balance'!AF$5:AF$40,'TRA balance'!$C$5:$C$40,Assumptions!$C17,'TRA balance'!$D$5:$D$40,Assumptions!$B17)*DZ17*AI17,"")</f>
        <v/>
      </c>
      <c r="CF17" s="40" t="str">
        <f ca="1">IFERROR(SUMIFS('TRA balance'!AG$5:AG$40,'TRA balance'!$C$5:$C$40,Assumptions!$C17,'TRA balance'!$D$5:$D$40,Assumptions!$B17)*EA17*AJ17,"")</f>
        <v/>
      </c>
      <c r="CG17" s="40" t="str">
        <f ca="1">IFERROR(SUMIFS('TRA balance'!AH$5:AH$40,'TRA balance'!$C$5:$C$40,Assumptions!$C17,'TRA balance'!$D$5:$D$40,Assumptions!$B17)*EB17*AK17,"")</f>
        <v/>
      </c>
      <c r="CH17" s="40" t="str">
        <f ca="1">IFERROR(SUMIFS('TRA balance'!AI$5:AI$40,'TRA balance'!$C$5:$C$40,Assumptions!$C17,'TRA balance'!$D$5:$D$40,Assumptions!$B17)*EC17*AL17,"")</f>
        <v/>
      </c>
      <c r="CI17" s="40" t="str">
        <f ca="1">IFERROR(SUMIFS('TRA balance'!AJ$5:AJ$40,'TRA balance'!$C$5:$C$40,Assumptions!$C17,'TRA balance'!$D$5:$D$40,Assumptions!$B17)*ED17*AM17,"")</f>
        <v/>
      </c>
      <c r="CJ17" s="40" t="str">
        <f ca="1">IFERROR(SUMIFS('TRA balance'!AK$5:AK$40,'TRA balance'!$C$5:$C$40,Assumptions!$C17,'TRA balance'!$D$5:$D$40,Assumptions!$B17)*EE17*AN17,"")</f>
        <v/>
      </c>
      <c r="CK17" s="40" t="str">
        <f ca="1">IFERROR(SUMIFS('TRA balance'!AL$5:AL$40,'TRA balance'!$C$5:$C$40,Assumptions!$C17,'TRA balance'!$D$5:$D$40,Assumptions!$B17)*EF17*AO17,"")</f>
        <v/>
      </c>
      <c r="CL17" s="40" t="str">
        <f ca="1">IFERROR(SUMIFS('TRA balance'!AM$5:AM$40,'TRA balance'!$C$5:$C$40,Assumptions!$C17,'TRA balance'!$D$5:$D$40,Assumptions!$B17)*EG17*AP17,"")</f>
        <v/>
      </c>
      <c r="CM17" s="40" t="str">
        <f ca="1">IFERROR(SUMIFS('TRA balance'!AN$5:AN$40,'TRA balance'!$C$5:$C$40,Assumptions!$C17,'TRA balance'!$D$5:$D$40,Assumptions!$B17)*EH17*AQ17,"")</f>
        <v/>
      </c>
      <c r="CN17" s="40" t="str">
        <f ca="1">IFERROR(SUMIFS('TRA balance'!AO$5:AO$40,'TRA balance'!$C$5:$C$40,Assumptions!$C17,'TRA balance'!$D$5:$D$40,Assumptions!$B17)*EI17*AR17,"")</f>
        <v/>
      </c>
      <c r="CO17" s="40" t="str">
        <f ca="1">IFERROR(SUMIFS('TRA balance'!AP$5:AP$40,'TRA balance'!$C$5:$C$40,Assumptions!$C17,'TRA balance'!$D$5:$D$40,Assumptions!$B17)*EJ17*AS17,"")</f>
        <v/>
      </c>
      <c r="CP17" s="40" t="str">
        <f ca="1">IFERROR(SUMIFS('TRA balance'!AQ$5:AQ$40,'TRA balance'!$C$5:$C$40,Assumptions!$C17,'TRA balance'!$D$5:$D$40,Assumptions!$B17)*EK17*AT17,"")</f>
        <v/>
      </c>
      <c r="CQ17" s="40" t="str">
        <f ca="1">IFERROR(SUMIFS('TRA balance'!AR$5:AR$40,'TRA balance'!$C$5:$C$40,Assumptions!$C17,'TRA balance'!$D$5:$D$40,Assumptions!$B17)*EL17*AU17,"")</f>
        <v/>
      </c>
      <c r="CR17" s="40" t="str">
        <f ca="1">IFERROR(SUMIFS('TRA balance'!AS$5:AS$40,'TRA balance'!$C$5:$C$40,Assumptions!$C17,'TRA balance'!$D$5:$D$40,Assumptions!$B17)*EM17*AV17,"")</f>
        <v/>
      </c>
      <c r="CS17" s="40" t="str">
        <f ca="1">IFERROR(SUMIFS('TRA balance'!AT$5:AT$40,'TRA balance'!$C$5:$C$40,Assumptions!$C17,'TRA balance'!$D$5:$D$40,Assumptions!$B17)*EN17*AW17,"")</f>
        <v/>
      </c>
      <c r="CT17" s="40" t="str">
        <f ca="1">IFERROR(SUMIFS('TRA balance'!AU$5:AU$40,'TRA balance'!$C$5:$C$40,Assumptions!$C17,'TRA balance'!$D$5:$D$40,Assumptions!$B17)*EO17*AX17,"")</f>
        <v/>
      </c>
      <c r="CU17" s="40" t="str">
        <f ca="1">IFERROR(SUMIFS('TRA balance'!AV$5:AV$40,'TRA balance'!$C$5:$C$40,Assumptions!$C17,'TRA balance'!$D$5:$D$40,Assumptions!$B17)*EP17*AY17,"")</f>
        <v/>
      </c>
      <c r="CV17" s="40" t="str">
        <f ca="1">IFERROR(SUMIFS('TRA balance'!AW$5:AW$40,'TRA balance'!$C$5:$C$40,Assumptions!$C17,'TRA balance'!$D$5:$D$40,Assumptions!$B17)*EQ17*AZ17,"")</f>
        <v/>
      </c>
      <c r="CW17" s="40" t="str">
        <f ca="1">IFERROR(SUMIFS('TRA balance'!AX$5:AX$40,'TRA balance'!$C$5:$C$40,Assumptions!$C17,'TRA balance'!$D$5:$D$40,Assumptions!$B17)*ER17*BA17,"")</f>
        <v/>
      </c>
      <c r="CY17" s="39">
        <f ca="1" t="shared" si="2"/>
        <v>1</v>
      </c>
      <c r="CZ17" s="39">
        <f ca="1" t="shared" si="3"/>
        <v>1</v>
      </c>
      <c r="DA17" s="39">
        <f ca="1" t="shared" si="4"/>
        <v>1</v>
      </c>
      <c r="DB17" s="39">
        <f ca="1" t="shared" si="5"/>
        <v>1</v>
      </c>
      <c r="DC17" s="39">
        <f ca="1" t="shared" si="6"/>
        <v>1</v>
      </c>
      <c r="DD17" s="39">
        <f ca="1" t="shared" si="7"/>
        <v>1</v>
      </c>
      <c r="DE17" s="39">
        <f ca="1" t="shared" si="8"/>
        <v>1</v>
      </c>
      <c r="DF17" s="39">
        <f ca="1" t="shared" si="9"/>
        <v>1</v>
      </c>
      <c r="DG17" s="39">
        <f ca="1" t="shared" si="10"/>
        <v>1</v>
      </c>
      <c r="DH17" s="39">
        <f ca="1" t="shared" si="11"/>
        <v>1</v>
      </c>
      <c r="DI17" s="39">
        <f ca="1" t="shared" si="12"/>
        <v>1</v>
      </c>
      <c r="DJ17" s="39">
        <f ca="1" t="shared" si="13"/>
        <v>1</v>
      </c>
      <c r="DK17" s="39">
        <f ca="1" t="shared" si="14"/>
        <v>1</v>
      </c>
      <c r="DL17" s="39">
        <f ca="1" t="shared" si="15"/>
        <v>1</v>
      </c>
      <c r="DM17" s="39">
        <f ca="1" t="shared" si="16"/>
        <v>1</v>
      </c>
      <c r="DN17" s="39">
        <f ca="1" t="shared" si="17"/>
        <v>1</v>
      </c>
      <c r="DO17" s="39">
        <f ca="1" t="shared" si="18"/>
        <v>1</v>
      </c>
      <c r="DP17" s="39">
        <f ca="1" t="shared" si="19"/>
        <v>1</v>
      </c>
      <c r="DQ17" s="39">
        <f ca="1" t="shared" si="20"/>
        <v>1</v>
      </c>
      <c r="DR17" s="39">
        <f ca="1" t="shared" si="21"/>
        <v>1</v>
      </c>
      <c r="DS17" s="39">
        <f ca="1" t="shared" si="22"/>
        <v>1</v>
      </c>
      <c r="DT17" s="39">
        <f ca="1" t="shared" si="23"/>
        <v>1</v>
      </c>
      <c r="DU17" s="39">
        <f ca="1" t="shared" si="24"/>
        <v>1</v>
      </c>
      <c r="DV17" s="39">
        <f ca="1" t="shared" si="25"/>
        <v>1</v>
      </c>
      <c r="DW17" s="39">
        <f ca="1" t="shared" si="26"/>
        <v>1</v>
      </c>
      <c r="DX17" s="39">
        <f ca="1" t="shared" si="27"/>
        <v>1</v>
      </c>
      <c r="DY17" s="39">
        <f ca="1" t="shared" si="28"/>
        <v>1</v>
      </c>
      <c r="DZ17" s="39">
        <f ca="1" t="shared" si="29"/>
        <v>1</v>
      </c>
      <c r="EA17" s="39">
        <f ca="1" t="shared" si="30"/>
        <v>1</v>
      </c>
      <c r="EB17" s="39">
        <f ca="1" t="shared" si="31"/>
        <v>1</v>
      </c>
      <c r="EC17" s="39">
        <f ca="1" t="shared" si="32"/>
        <v>1</v>
      </c>
      <c r="ED17" s="39">
        <f ca="1" t="shared" si="33"/>
        <v>1</v>
      </c>
      <c r="EE17" s="39">
        <f ca="1" t="shared" si="34"/>
        <v>1</v>
      </c>
      <c r="EF17" s="39">
        <f ca="1" t="shared" si="35"/>
        <v>1</v>
      </c>
      <c r="EG17" s="39">
        <f ca="1" t="shared" si="36"/>
        <v>1</v>
      </c>
      <c r="EH17" s="39">
        <f ca="1" t="shared" si="37"/>
        <v>1</v>
      </c>
      <c r="EI17" s="39">
        <f ca="1" t="shared" si="38"/>
        <v>1</v>
      </c>
      <c r="EJ17" s="39">
        <f ca="1" t="shared" si="39"/>
        <v>1</v>
      </c>
      <c r="EK17" s="39">
        <f ca="1" t="shared" si="40"/>
        <v>1</v>
      </c>
      <c r="EL17" s="39">
        <f ca="1" t="shared" si="41"/>
        <v>1</v>
      </c>
      <c r="EM17" s="39">
        <f ca="1" t="shared" si="42"/>
        <v>1</v>
      </c>
      <c r="EN17" s="39">
        <f ca="1" t="shared" si="43"/>
        <v>1</v>
      </c>
      <c r="EO17" s="39">
        <f ca="1" t="shared" si="44"/>
        <v>1</v>
      </c>
      <c r="EP17" s="39">
        <f ca="1" t="shared" si="45"/>
        <v>1</v>
      </c>
      <c r="EQ17" s="39">
        <f ca="1" t="shared" si="46"/>
        <v>1</v>
      </c>
      <c r="ER17" s="39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4" t="str">
        <f t="shared" si="48"/>
        <v>TT</v>
      </c>
      <c r="D18" s="55" t="s">
        <v>192</v>
      </c>
      <c r="E18" s="55" t="s">
        <v>193</v>
      </c>
      <c r="F18" s="56" t="str">
        <f t="shared" si="55"/>
        <v>Diesel</v>
      </c>
      <c r="G18" s="54" t="s">
        <v>194</v>
      </c>
      <c r="H18" s="57">
        <f ca="1">OFFSET(TIAM15_assumptions!$G18,0,MATCH(VLOOKUP(Assumptions!H$2,TIAM15_assumptions!$Y$3:$Z$87,2,FALSE),TIAM15_assumptions!$H$2:$V$2,0))</f>
        <v>0.7</v>
      </c>
      <c r="I18" s="57">
        <f ca="1">OFFSET(TIAM15_assumptions!$G18,0,MATCH(VLOOKUP(Assumptions!I$2,TIAM15_assumptions!$Y$3:$Z$87,2,FALSE),TIAM15_assumptions!$H$2:$V$2,0))</f>
        <v>0.7</v>
      </c>
      <c r="J18" s="57">
        <f ca="1">OFFSET(TIAM15_assumptions!$G18,0,MATCH(VLOOKUP(Assumptions!J$2,TIAM15_assumptions!$Y$3:$Z$87,2,FALSE),TIAM15_assumptions!$H$2:$V$2,0))</f>
        <v>0.7</v>
      </c>
      <c r="K18" s="57">
        <f ca="1">OFFSET(TIAM15_assumptions!$G18,0,MATCH(VLOOKUP(Assumptions!K$2,TIAM15_assumptions!$Y$3:$Z$87,2,FALSE),TIAM15_assumptions!$H$2:$V$2,0))</f>
        <v>0.9</v>
      </c>
      <c r="L18" s="57">
        <f ca="1">OFFSET(TIAM15_assumptions!$G18,0,MATCH(VLOOKUP(Assumptions!L$2,TIAM15_assumptions!$Y$3:$Z$87,2,FALSE),TIAM15_assumptions!$H$2:$V$2,0))</f>
        <v>0.9</v>
      </c>
      <c r="M18" s="57">
        <f ca="1">OFFSET(TIAM15_assumptions!$G18,0,MATCH(VLOOKUP(Assumptions!M$2,TIAM15_assumptions!$Y$3:$Z$87,2,FALSE),TIAM15_assumptions!$H$2:$V$2,0))</f>
        <v>0.9</v>
      </c>
      <c r="N18" s="57">
        <f ca="1">OFFSET(TIAM15_assumptions!$G18,0,MATCH(VLOOKUP(Assumptions!N$2,TIAM15_assumptions!$Y$3:$Z$87,2,FALSE),TIAM15_assumptions!$H$2:$V$2,0))</f>
        <v>0.8</v>
      </c>
      <c r="O18" s="57">
        <f ca="1">OFFSET(TIAM15_assumptions!$G18,0,MATCH(VLOOKUP(Assumptions!O$2,TIAM15_assumptions!$Y$3:$Z$87,2,FALSE),TIAM15_assumptions!$H$2:$V$2,0))</f>
        <v>0.6</v>
      </c>
      <c r="P18" s="57">
        <f ca="1">OFFSET(TIAM15_assumptions!$G18,0,MATCH(VLOOKUP(Assumptions!P$2,TIAM15_assumptions!$Y$3:$Z$87,2,FALSE),TIAM15_assumptions!$H$2:$V$2,0))</f>
        <v>0.9</v>
      </c>
      <c r="Q18" s="57">
        <f ca="1">OFFSET(TIAM15_assumptions!$G18,0,MATCH(VLOOKUP(Assumptions!Q$2,TIAM15_assumptions!$Y$3:$Z$87,2,FALSE),TIAM15_assumptions!$H$2:$V$2,0))</f>
        <v>0.9</v>
      </c>
      <c r="R18" s="57">
        <f ca="1">OFFSET(TIAM15_assumptions!$G18,0,MATCH(VLOOKUP(Assumptions!R$2,TIAM15_assumptions!$Y$3:$Z$87,2,FALSE),TIAM15_assumptions!$H$2:$V$2,0))</f>
        <v>0.9</v>
      </c>
      <c r="S18" s="57">
        <f ca="1">OFFSET(TIAM15_assumptions!$G18,0,MATCH(VLOOKUP(Assumptions!S$2,TIAM15_assumptions!$Y$3:$Z$87,2,FALSE),TIAM15_assumptions!$H$2:$V$2,0))</f>
        <v>0.9</v>
      </c>
      <c r="T18" s="57">
        <f ca="1">OFFSET(TIAM15_assumptions!$G18,0,MATCH(VLOOKUP(Assumptions!T$2,TIAM15_assumptions!$Y$3:$Z$87,2,FALSE),TIAM15_assumptions!$H$2:$V$2,0))</f>
        <v>0.9</v>
      </c>
      <c r="U18" s="57">
        <f ca="1">OFFSET(TIAM15_assumptions!$G18,0,MATCH(VLOOKUP(Assumptions!U$2,TIAM15_assumptions!$Y$3:$Z$87,2,FALSE),TIAM15_assumptions!$H$2:$V$2,0))</f>
        <v>0.9</v>
      </c>
      <c r="V18" s="57">
        <f ca="1">OFFSET(TIAM15_assumptions!$G18,0,MATCH(VLOOKUP(Assumptions!V$2,TIAM15_assumptions!$Y$3:$Z$87,2,FALSE),TIAM15_assumptions!$H$2:$V$2,0))</f>
        <v>0.9</v>
      </c>
      <c r="W18" s="57">
        <f ca="1">OFFSET(TIAM15_assumptions!$G18,0,MATCH(VLOOKUP(Assumptions!W$2,TIAM15_assumptions!$Y$3:$Z$87,2,FALSE),TIAM15_assumptions!$H$2:$V$2,0))</f>
        <v>0.5</v>
      </c>
      <c r="X18" s="57">
        <f ca="1">OFFSET(TIAM15_assumptions!$G18,0,MATCH(VLOOKUP(Assumptions!X$2,TIAM15_assumptions!$Y$3:$Z$87,2,FALSE),TIAM15_assumptions!$H$2:$V$2,0))</f>
        <v>0.9</v>
      </c>
      <c r="Y18" s="57">
        <f ca="1">OFFSET(TIAM15_assumptions!$G18,0,MATCH(VLOOKUP(Assumptions!Y$2,TIAM15_assumptions!$Y$3:$Z$87,2,FALSE),TIAM15_assumptions!$H$2:$V$2,0))</f>
        <v>0.9</v>
      </c>
      <c r="Z18" s="57">
        <f ca="1">OFFSET(TIAM15_assumptions!$G18,0,MATCH(VLOOKUP(Assumptions!Z$2,TIAM15_assumptions!$Y$3:$Z$87,2,FALSE),TIAM15_assumptions!$H$2:$V$2,0))</f>
        <v>0.3</v>
      </c>
      <c r="AA18" s="57">
        <f ca="1">OFFSET(TIAM15_assumptions!$G18,0,MATCH(VLOOKUP(Assumptions!AA$2,TIAM15_assumptions!$Y$3:$Z$87,2,FALSE),TIAM15_assumptions!$H$2:$V$2,0))</f>
        <v>0.8</v>
      </c>
      <c r="AB18" s="57">
        <f ca="1">OFFSET(TIAM15_assumptions!$G18,0,MATCH(VLOOKUP(Assumptions!AB$2,TIAM15_assumptions!$Y$3:$Z$87,2,FALSE),TIAM15_assumptions!$H$2:$V$2,0))</f>
        <v>0.7</v>
      </c>
      <c r="AC18" s="57">
        <f ca="1">OFFSET(TIAM15_assumptions!$G18,0,MATCH(VLOOKUP(Assumptions!AC$2,TIAM15_assumptions!$Y$3:$Z$87,2,FALSE),TIAM15_assumptions!$H$2:$V$2,0))</f>
        <v>0.960321230917373</v>
      </c>
      <c r="AD18" s="57">
        <f ca="1">OFFSET(TIAM15_assumptions!$G18,0,MATCH(VLOOKUP(Assumptions!AD$2,TIAM15_assumptions!$Y$3:$Z$87,2,FALSE),TIAM15_assumptions!$H$2:$V$2,0))</f>
        <v>0.9</v>
      </c>
      <c r="AE18" s="57">
        <f ca="1">OFFSET(TIAM15_assumptions!$G18,0,MATCH(VLOOKUP(Assumptions!AE$2,TIAM15_assumptions!$Y$3:$Z$87,2,FALSE),TIAM15_assumptions!$H$2:$V$2,0))</f>
        <v>0.9</v>
      </c>
      <c r="AF18" s="57">
        <f ca="1">OFFSET(TIAM15_assumptions!$G18,0,MATCH(VLOOKUP(Assumptions!AF$2,TIAM15_assumptions!$Y$3:$Z$87,2,FALSE),TIAM15_assumptions!$H$2:$V$2,0))</f>
        <v>0.8</v>
      </c>
      <c r="AG18" s="57">
        <f ca="1">OFFSET(TIAM15_assumptions!$G18,0,MATCH(VLOOKUP(Assumptions!AG$2,TIAM15_assumptions!$Y$3:$Z$87,2,FALSE),TIAM15_assumptions!$H$2:$V$2,0))</f>
        <v>0.9</v>
      </c>
      <c r="AH18" s="57">
        <f ca="1">OFFSET(TIAM15_assumptions!$G18,0,MATCH(VLOOKUP(Assumptions!AH$2,TIAM15_assumptions!$Y$3:$Z$87,2,FALSE),TIAM15_assumptions!$H$2:$V$2,0))</f>
        <v>0.7</v>
      </c>
      <c r="AI18" s="57">
        <f ca="1">OFFSET(TIAM15_assumptions!$G18,0,MATCH(VLOOKUP(Assumptions!AI$2,TIAM15_assumptions!$Y$3:$Z$87,2,FALSE),TIAM15_assumptions!$H$2:$V$2,0))</f>
        <v>0.7</v>
      </c>
      <c r="AJ18" s="57">
        <f ca="1">OFFSET(TIAM15_assumptions!$G18,0,MATCH(VLOOKUP(Assumptions!AJ$2,TIAM15_assumptions!$Y$3:$Z$87,2,FALSE),TIAM15_assumptions!$H$2:$V$2,0))</f>
        <v>0.9</v>
      </c>
      <c r="AK18" s="57">
        <f ca="1">OFFSET(TIAM15_assumptions!$G18,0,MATCH(VLOOKUP(Assumptions!AK$2,TIAM15_assumptions!$Y$3:$Z$87,2,FALSE),TIAM15_assumptions!$H$2:$V$2,0))</f>
        <v>0.9</v>
      </c>
      <c r="AL18" s="57">
        <f ca="1">OFFSET(TIAM15_assumptions!$G18,0,MATCH(VLOOKUP(Assumptions!AL$2,TIAM15_assumptions!$Y$3:$Z$87,2,FALSE),TIAM15_assumptions!$H$2:$V$2,0))</f>
        <v>0.9</v>
      </c>
      <c r="AM18" s="57">
        <f ca="1">OFFSET(TIAM15_assumptions!$G18,0,MATCH(VLOOKUP(Assumptions!AM$2,TIAM15_assumptions!$Y$3:$Z$87,2,FALSE),TIAM15_assumptions!$H$2:$V$2,0))</f>
        <v>0.7</v>
      </c>
      <c r="AN18" s="57">
        <f ca="1">OFFSET(TIAM15_assumptions!$G18,0,MATCH(VLOOKUP(Assumptions!AN$2,TIAM15_assumptions!$Y$3:$Z$87,2,FALSE),TIAM15_assumptions!$H$2:$V$2,0))</f>
        <v>0.9</v>
      </c>
      <c r="AO18" s="57">
        <f ca="1">OFFSET(TIAM15_assumptions!$G18,0,MATCH(VLOOKUP(Assumptions!AO$2,TIAM15_assumptions!$Y$3:$Z$87,2,FALSE),TIAM15_assumptions!$H$2:$V$2,0))</f>
        <v>0.9</v>
      </c>
      <c r="AP18" s="57">
        <f ca="1">OFFSET(TIAM15_assumptions!$G18,0,MATCH(VLOOKUP(Assumptions!AP$2,TIAM15_assumptions!$Y$3:$Z$87,2,FALSE),TIAM15_assumptions!$H$2:$V$2,0))</f>
        <v>0.9</v>
      </c>
      <c r="AQ18" s="57">
        <f ca="1">OFFSET(TIAM15_assumptions!$G18,0,MATCH(VLOOKUP(Assumptions!AQ$2,TIAM15_assumptions!$Y$3:$Z$87,2,FALSE),TIAM15_assumptions!$H$2:$V$2,0))</f>
        <v>0.960321230917373</v>
      </c>
      <c r="AR18" s="57">
        <f ca="1">OFFSET(TIAM15_assumptions!$G18,0,MATCH(VLOOKUP(Assumptions!AR$2,TIAM15_assumptions!$Y$3:$Z$87,2,FALSE),TIAM15_assumptions!$H$2:$V$2,0))</f>
        <v>0.960321230917373</v>
      </c>
      <c r="AS18" s="57">
        <f ca="1">OFFSET(TIAM15_assumptions!$G18,0,MATCH(VLOOKUP(Assumptions!AS$2,TIAM15_assumptions!$Y$3:$Z$87,2,FALSE),TIAM15_assumptions!$H$2:$V$2,0))</f>
        <v>0.960321230917373</v>
      </c>
      <c r="AT18" s="57">
        <f ca="1">OFFSET(TIAM15_assumptions!$G18,0,MATCH(VLOOKUP(Assumptions!AT$2,TIAM15_assumptions!$Y$3:$Z$87,2,FALSE),TIAM15_assumptions!$H$2:$V$2,0))</f>
        <v>0.960321230917373</v>
      </c>
      <c r="AU18" s="57">
        <f ca="1">OFFSET(TIAM15_assumptions!$G18,0,MATCH(VLOOKUP(Assumptions!AU$2,TIAM15_assumptions!$Y$3:$Z$87,2,FALSE),TIAM15_assumptions!$H$2:$V$2,0))</f>
        <v>0.960321230917373</v>
      </c>
      <c r="AV18" s="57">
        <f ca="1">OFFSET(TIAM15_assumptions!$G18,0,MATCH(VLOOKUP(Assumptions!AV$2,TIAM15_assumptions!$Y$3:$Z$87,2,FALSE),TIAM15_assumptions!$H$2:$V$2,0))</f>
        <v>0.960321230917373</v>
      </c>
      <c r="AW18" s="57">
        <f ca="1">OFFSET(TIAM15_assumptions!$G18,0,MATCH(VLOOKUP(Assumptions!AW$2,TIAM15_assumptions!$Y$3:$Z$87,2,FALSE),TIAM15_assumptions!$H$2:$V$2,0))</f>
        <v>0.960321230917373</v>
      </c>
      <c r="AX18" s="57">
        <f ca="1">OFFSET(TIAM15_assumptions!$G18,0,MATCH(VLOOKUP(Assumptions!AX$2,TIAM15_assumptions!$Y$3:$Z$87,2,FALSE),TIAM15_assumptions!$H$2:$V$2,0))</f>
        <v>0.960321230917373</v>
      </c>
      <c r="AY18" s="57">
        <f ca="1">OFFSET(TIAM15_assumptions!$G18,0,MATCH(VLOOKUP(Assumptions!AY$2,TIAM15_assumptions!$Y$3:$Z$87,2,FALSE),TIAM15_assumptions!$H$2:$V$2,0))</f>
        <v>0.960321230917373</v>
      </c>
      <c r="AZ18" s="57">
        <f ca="1">OFFSET(TIAM15_assumptions!$G18,0,MATCH(VLOOKUP(Assumptions!AZ$2,TIAM15_assumptions!$Y$3:$Z$87,2,FALSE),TIAM15_assumptions!$H$2:$V$2,0))</f>
        <v>0.960321230917373</v>
      </c>
      <c r="BA18" s="57">
        <f ca="1">OFFSET(TIAM15_assumptions!$G18,0,MATCH(VLOOKUP(Assumptions!BA$2,TIAM15_assumptions!$Y$3:$Z$87,2,FALSE),TIAM15_assumptions!$H$2:$V$2,0))</f>
        <v>0.960321230917373</v>
      </c>
      <c r="BD18" s="40">
        <f ca="1">IFERROR(SUMIFS('TRA balance'!E$5:E$40,'TRA balance'!$C$5:$C$40,Assumptions!$C18,'TRA balance'!$D$5:$D$40,Assumptions!$B18)*CY18*H18,"")</f>
        <v>1.86747441048</v>
      </c>
      <c r="BE18" s="40">
        <f ca="1">IFERROR(SUMIFS('TRA balance'!F$5:F$40,'TRA balance'!$C$5:$C$40,Assumptions!$C18,'TRA balance'!$D$5:$D$40,Assumptions!$B18)*CZ18*I18,"")</f>
        <v>10.55918831184</v>
      </c>
      <c r="BF18" s="40">
        <f ca="1">IFERROR(SUMIFS('TRA balance'!G$5:G$40,'TRA balance'!$C$5:$C$40,Assumptions!$C18,'TRA balance'!$D$5:$D$40,Assumptions!$B18)*DA18*J18,"")</f>
        <v>33.36780456576</v>
      </c>
      <c r="BG18" s="40">
        <f ca="1">IFERROR(SUMIFS('TRA balance'!H$5:H$40,'TRA balance'!$C$5:$C$40,Assumptions!$C18,'TRA balance'!$D$5:$D$40,Assumptions!$B18)*DB18*K18,"")</f>
        <v>1.19425288032</v>
      </c>
      <c r="BH18" s="40">
        <f ca="1">IFERROR(SUMIFS('TRA balance'!I$5:I$40,'TRA balance'!$C$5:$C$40,Assumptions!$C18,'TRA balance'!$D$5:$D$40,Assumptions!$B18)*DC18*L18,"")</f>
        <v>4.14957809196</v>
      </c>
      <c r="BI18" s="40">
        <f ca="1">IFERROR(SUMIFS('TRA balance'!J$5:J$40,'TRA balance'!$C$5:$C$40,Assumptions!$C18,'TRA balance'!$D$5:$D$40,Assumptions!$B18)*DD18*M18,"")</f>
        <v>1.70708647608</v>
      </c>
      <c r="BJ18" s="40">
        <f ca="1">IFERROR(SUMIFS('TRA balance'!K$5:K$40,'TRA balance'!$C$5:$C$40,Assumptions!$C18,'TRA balance'!$D$5:$D$40,Assumptions!$B18)*DE18*N18,"")</f>
        <v>32.62861665216</v>
      </c>
      <c r="BK18" s="40">
        <f ca="1">IFERROR(SUMIFS('TRA balance'!L$5:L$40,'TRA balance'!$C$5:$C$40,Assumptions!$C18,'TRA balance'!$D$5:$D$40,Assumptions!$B18)*DF18*O18,"")</f>
        <v>68.47090794072</v>
      </c>
      <c r="BL18" s="40">
        <f ca="1">IFERROR(SUMIFS('TRA balance'!M$5:M$40,'TRA balance'!$C$5:$C$40,Assumptions!$C18,'TRA balance'!$D$5:$D$40,Assumptions!$B18)*DG18*P18,"")</f>
        <v>0.82871509536</v>
      </c>
      <c r="BM18" s="40">
        <f ca="1">IFERROR(SUMIFS('TRA balance'!N$5:N$40,'TRA balance'!$C$5:$C$40,Assumptions!$C18,'TRA balance'!$D$5:$D$40,Assumptions!$B18)*DH18*Q18,"")</f>
        <v>2.95217883144</v>
      </c>
      <c r="BN18" s="40">
        <f ca="1">IFERROR(SUMIFS('TRA balance'!O$5:O$40,'TRA balance'!$C$5:$C$40,Assumptions!$C18,'TRA balance'!$D$5:$D$40,Assumptions!$B18)*DI18*R18,"")</f>
        <v>4.42171548648</v>
      </c>
      <c r="BO18" s="40">
        <f ca="1">IFERROR(SUMIFS('TRA balance'!P$5:P$40,'TRA balance'!$C$5:$C$40,Assumptions!$C18,'TRA balance'!$D$5:$D$40,Assumptions!$B18)*DJ18*S18,"")</f>
        <v>9.66167823096</v>
      </c>
      <c r="BP18" s="40">
        <f ca="1">IFERROR(SUMIFS('TRA balance'!Q$5:Q$40,'TRA balance'!$C$5:$C$40,Assumptions!$C18,'TRA balance'!$D$5:$D$40,Assumptions!$B18)*DK18*T18,"")</f>
        <v>0.39973347396</v>
      </c>
      <c r="BQ18" s="40">
        <f ca="1">IFERROR(SUMIFS('TRA balance'!R$5:R$40,'TRA balance'!$C$5:$C$40,Assumptions!$C18,'TRA balance'!$D$5:$D$40,Assumptions!$B18)*DL18*U18,"")</f>
        <v>6.70884374664</v>
      </c>
      <c r="BR18" s="40">
        <f ca="1">IFERROR(SUMIFS('TRA balance'!S$5:S$40,'TRA balance'!$C$5:$C$40,Assumptions!$C18,'TRA balance'!$D$5:$D$40,Assumptions!$B18)*DM18*V18,"")</f>
        <v>0</v>
      </c>
      <c r="BS18" s="40">
        <f ca="1">IFERROR(SUMIFS('TRA balance'!T$5:T$40,'TRA balance'!$C$5:$C$40,Assumptions!$C18,'TRA balance'!$D$5:$D$40,Assumptions!$B18)*DN18*W18,"")</f>
        <v>54.9780096096</v>
      </c>
      <c r="BT18" s="40">
        <f ca="1">IFERROR(SUMIFS('TRA balance'!U$5:U$40,'TRA balance'!$C$5:$C$40,Assumptions!$C18,'TRA balance'!$D$5:$D$40,Assumptions!$B18)*DO18*X18,"")</f>
        <v>1.47555434268</v>
      </c>
      <c r="BU18" s="40">
        <f ca="1">IFERROR(SUMIFS('TRA balance'!V$5:V$40,'TRA balance'!$C$5:$C$40,Assumptions!$C18,'TRA balance'!$D$5:$D$40,Assumptions!$B18)*DP18*Y18,"")</f>
        <v>1.64862032616</v>
      </c>
      <c r="BV18" s="40">
        <f ca="1">IFERROR(SUMIFS('TRA balance'!W$5:W$40,'TRA balance'!$C$5:$C$40,Assumptions!$C18,'TRA balance'!$D$5:$D$40,Assumptions!$B18)*DQ18*Z18,"")</f>
        <v>2.00706022908</v>
      </c>
      <c r="BW18" s="40">
        <f ca="1">IFERROR(SUMIFS('TRA balance'!X$5:X$40,'TRA balance'!$C$5:$C$40,Assumptions!$C18,'TRA balance'!$D$5:$D$40,Assumptions!$B18)*DR18*AA18,"")</f>
        <v>1.56257070048</v>
      </c>
      <c r="BX18" s="40">
        <f ca="1">IFERROR(SUMIFS('TRA balance'!Y$5:Y$40,'TRA balance'!$C$5:$C$40,Assumptions!$C18,'TRA balance'!$D$5:$D$40,Assumptions!$B18)*DS18*AB18,"")</f>
        <v>2.40085514592</v>
      </c>
      <c r="BY18" s="40">
        <f ca="1">IFERROR(SUMIFS('TRA balance'!Z$5:Z$40,'TRA balance'!$C$5:$C$40,Assumptions!$C18,'TRA balance'!$D$5:$D$40,Assumptions!$B18)*DT18*AC18,"")</f>
        <v>656.751677245628</v>
      </c>
      <c r="BZ18" s="40">
        <f ca="1">IFERROR(SUMIFS('TRA balance'!AA$5:AA$40,'TRA balance'!$C$5:$C$40,Assumptions!$C18,'TRA balance'!$D$5:$D$40,Assumptions!$B18)*DU18*AD18,"")</f>
        <v>0.51252837804</v>
      </c>
      <c r="CA18" s="40">
        <f ca="1">IFERROR(SUMIFS('TRA balance'!AB$5:AB$40,'TRA balance'!$C$5:$C$40,Assumptions!$C18,'TRA balance'!$D$5:$D$40,Assumptions!$B18)*DV18*AE18,"")</f>
        <v>3.22397332704</v>
      </c>
      <c r="CB18" s="40">
        <f ca="1">IFERROR(SUMIFS('TRA balance'!AC$5:AC$40,'TRA balance'!$C$5:$C$40,Assumptions!$C18,'TRA balance'!$D$5:$D$40,Assumptions!$B18)*DW18*AF18,"")</f>
        <v>62.2472322528</v>
      </c>
      <c r="CC18" s="40">
        <f ca="1">IFERROR(SUMIFS('TRA balance'!AD$5:AD$40,'TRA balance'!$C$5:$C$40,Assumptions!$C18,'TRA balance'!$D$5:$D$40,Assumptions!$B18)*DX18*AG18,"")</f>
        <v>154.81258092396</v>
      </c>
      <c r="CD18" s="40">
        <f ca="1">IFERROR(SUMIFS('TRA balance'!AE$5:AE$40,'TRA balance'!$C$5:$C$40,Assumptions!$C18,'TRA balance'!$D$5:$D$40,Assumptions!$B18)*DY18*AH18,"")</f>
        <v>0</v>
      </c>
      <c r="CE18" s="40">
        <f ca="1">IFERROR(SUMIFS('TRA balance'!AF$5:AF$40,'TRA balance'!$C$5:$C$40,Assumptions!$C18,'TRA balance'!$D$5:$D$40,Assumptions!$B18)*DZ18*AI18,"")</f>
        <v>3.53363491656</v>
      </c>
      <c r="CF18" s="40">
        <f ca="1">IFERROR(SUMIFS('TRA balance'!AG$5:AG$40,'TRA balance'!$C$5:$C$40,Assumptions!$C18,'TRA balance'!$D$5:$D$40,Assumptions!$B18)*EA18*AJ18,"")</f>
        <v>3.47931621072</v>
      </c>
      <c r="CG18" s="40">
        <f ca="1">IFERROR(SUMIFS('TRA balance'!AH$5:AH$40,'TRA balance'!$C$5:$C$40,Assumptions!$C18,'TRA balance'!$D$5:$D$40,Assumptions!$B18)*EB18*AK18,"")</f>
        <v>4.09793223924</v>
      </c>
      <c r="CH18" s="40">
        <f ca="1">IFERROR(SUMIFS('TRA balance'!AI$5:AI$40,'TRA balance'!$C$5:$C$40,Assumptions!$C18,'TRA balance'!$D$5:$D$40,Assumptions!$B18)*EC18*AL18,"")</f>
        <v>0.34149341124</v>
      </c>
      <c r="CI18" s="40">
        <f ca="1">IFERROR(SUMIFS('TRA balance'!AJ$5:AJ$40,'TRA balance'!$C$5:$C$40,Assumptions!$C18,'TRA balance'!$D$5:$D$40,Assumptions!$B18)*ED18*AM18,"")</f>
        <v>3.39947937756</v>
      </c>
      <c r="CJ18" s="40">
        <f ca="1">IFERROR(SUMIFS('TRA balance'!AK$5:AK$40,'TRA balance'!$C$5:$C$40,Assumptions!$C18,'TRA balance'!$D$5:$D$40,Assumptions!$B18)*EE18*AN18,"")</f>
        <v>24.32787953256</v>
      </c>
      <c r="CK18" s="40">
        <f ca="1">IFERROR(SUMIFS('TRA balance'!AL$5:AL$40,'TRA balance'!$C$5:$C$40,Assumptions!$C18,'TRA balance'!$D$5:$D$40,Assumptions!$B18)*EF18*AO18,"")</f>
        <v>1.27820659392</v>
      </c>
      <c r="CL18" s="40">
        <f ca="1">IFERROR(SUMIFS('TRA balance'!AM$5:AM$40,'TRA balance'!$C$5:$C$40,Assumptions!$C18,'TRA balance'!$D$5:$D$40,Assumptions!$B18)*EG18*AP18,"")</f>
        <v>0.70488713592</v>
      </c>
      <c r="CM18" s="40">
        <f ca="1">IFERROR(SUMIFS('TRA balance'!AN$5:AN$40,'TRA balance'!$C$5:$C$40,Assumptions!$C18,'TRA balance'!$D$5:$D$40,Assumptions!$B18)*EH18*AQ18,"")</f>
        <v>0</v>
      </c>
      <c r="CN18" s="40">
        <f ca="1">IFERROR(SUMIFS('TRA balance'!AO$5:AO$40,'TRA balance'!$C$5:$C$40,Assumptions!$C18,'TRA balance'!$D$5:$D$40,Assumptions!$B18)*EI18*AR18,"")</f>
        <v>0</v>
      </c>
      <c r="CO18" s="40">
        <f ca="1">IFERROR(SUMIFS('TRA balance'!AP$5:AP$40,'TRA balance'!$C$5:$C$40,Assumptions!$C18,'TRA balance'!$D$5:$D$40,Assumptions!$B18)*EJ18*AS18,"")</f>
        <v>0</v>
      </c>
      <c r="CP18" s="40">
        <f ca="1">IFERROR(SUMIFS('TRA balance'!AQ$5:AQ$40,'TRA balance'!$C$5:$C$40,Assumptions!$C18,'TRA balance'!$D$5:$D$40,Assumptions!$B18)*EK18*AT18,"")</f>
        <v>0</v>
      </c>
      <c r="CQ18" s="40">
        <f ca="1">IFERROR(SUMIFS('TRA balance'!AR$5:AR$40,'TRA balance'!$C$5:$C$40,Assumptions!$C18,'TRA balance'!$D$5:$D$40,Assumptions!$B18)*EL18*AU18,"")</f>
        <v>0</v>
      </c>
      <c r="CR18" s="40">
        <f ca="1">IFERROR(SUMIFS('TRA balance'!AS$5:AS$40,'TRA balance'!$C$5:$C$40,Assumptions!$C18,'TRA balance'!$D$5:$D$40,Assumptions!$B18)*EM18*AV18,"")</f>
        <v>0</v>
      </c>
      <c r="CS18" s="40">
        <f ca="1">IFERROR(SUMIFS('TRA balance'!AT$5:AT$40,'TRA balance'!$C$5:$C$40,Assumptions!$C18,'TRA balance'!$D$5:$D$40,Assumptions!$B18)*EN18*AW18,"")</f>
        <v>0</v>
      </c>
      <c r="CT18" s="40">
        <f ca="1">IFERROR(SUMIFS('TRA balance'!AU$5:AU$40,'TRA balance'!$C$5:$C$40,Assumptions!$C18,'TRA balance'!$D$5:$D$40,Assumptions!$B18)*EO18*AX18,"")</f>
        <v>0</v>
      </c>
      <c r="CU18" s="40">
        <f ca="1">IFERROR(SUMIFS('TRA balance'!AV$5:AV$40,'TRA balance'!$C$5:$C$40,Assumptions!$C18,'TRA balance'!$D$5:$D$40,Assumptions!$B18)*EP18*AY18,"")</f>
        <v>0</v>
      </c>
      <c r="CV18" s="40">
        <f ca="1">IFERROR(SUMIFS('TRA balance'!AW$5:AW$40,'TRA balance'!$C$5:$C$40,Assumptions!$C18,'TRA balance'!$D$5:$D$40,Assumptions!$B18)*EQ18*AZ18,"")</f>
        <v>0</v>
      </c>
      <c r="CW18" s="40">
        <f ca="1">IFERROR(SUMIFS('TRA balance'!AX$5:AX$40,'TRA balance'!$C$5:$C$40,Assumptions!$C18,'TRA balance'!$D$5:$D$40,Assumptions!$B18)*ER18*BA18,"")</f>
        <v>0</v>
      </c>
      <c r="CY18" s="39">
        <f ca="1" t="shared" si="2"/>
        <v>1</v>
      </c>
      <c r="CZ18" s="39">
        <f ca="1" t="shared" si="3"/>
        <v>1</v>
      </c>
      <c r="DA18" s="39">
        <f ca="1" t="shared" si="4"/>
        <v>1</v>
      </c>
      <c r="DB18" s="39">
        <f ca="1" t="shared" si="5"/>
        <v>1</v>
      </c>
      <c r="DC18" s="39">
        <f ca="1" t="shared" si="6"/>
        <v>1</v>
      </c>
      <c r="DD18" s="39">
        <f ca="1" t="shared" si="7"/>
        <v>1</v>
      </c>
      <c r="DE18" s="39">
        <f ca="1" t="shared" si="8"/>
        <v>1</v>
      </c>
      <c r="DF18" s="39">
        <f ca="1" t="shared" si="9"/>
        <v>1</v>
      </c>
      <c r="DG18" s="39">
        <f ca="1" t="shared" si="10"/>
        <v>1</v>
      </c>
      <c r="DH18" s="39">
        <f ca="1" t="shared" si="11"/>
        <v>1</v>
      </c>
      <c r="DI18" s="39">
        <f ca="1" t="shared" si="12"/>
        <v>1</v>
      </c>
      <c r="DJ18" s="39">
        <f ca="1" t="shared" si="13"/>
        <v>1</v>
      </c>
      <c r="DK18" s="39">
        <f ca="1" t="shared" si="14"/>
        <v>1</v>
      </c>
      <c r="DL18" s="39">
        <f ca="1" t="shared" si="15"/>
        <v>1</v>
      </c>
      <c r="DM18" s="39">
        <f ca="1" t="shared" si="16"/>
        <v>1</v>
      </c>
      <c r="DN18" s="39">
        <f ca="1" t="shared" si="17"/>
        <v>1</v>
      </c>
      <c r="DO18" s="39">
        <f ca="1" t="shared" si="18"/>
        <v>1</v>
      </c>
      <c r="DP18" s="39">
        <f ca="1" t="shared" si="19"/>
        <v>1</v>
      </c>
      <c r="DQ18" s="39">
        <f ca="1" t="shared" si="20"/>
        <v>1</v>
      </c>
      <c r="DR18" s="39">
        <f ca="1" t="shared" si="21"/>
        <v>1</v>
      </c>
      <c r="DS18" s="39">
        <f ca="1" t="shared" si="22"/>
        <v>1</v>
      </c>
      <c r="DT18" s="39">
        <f ca="1" t="shared" si="23"/>
        <v>1</v>
      </c>
      <c r="DU18" s="39">
        <f ca="1" t="shared" si="24"/>
        <v>1</v>
      </c>
      <c r="DV18" s="39">
        <f ca="1" t="shared" si="25"/>
        <v>1</v>
      </c>
      <c r="DW18" s="39">
        <f ca="1" t="shared" si="26"/>
        <v>1</v>
      </c>
      <c r="DX18" s="39">
        <f ca="1" t="shared" si="27"/>
        <v>1</v>
      </c>
      <c r="DY18" s="39">
        <f ca="1" t="shared" si="28"/>
        <v>1</v>
      </c>
      <c r="DZ18" s="39">
        <f ca="1" t="shared" si="29"/>
        <v>1</v>
      </c>
      <c r="EA18" s="39">
        <f ca="1" t="shared" si="30"/>
        <v>1</v>
      </c>
      <c r="EB18" s="39">
        <f ca="1" t="shared" si="31"/>
        <v>1</v>
      </c>
      <c r="EC18" s="39">
        <f ca="1" t="shared" si="32"/>
        <v>1</v>
      </c>
      <c r="ED18" s="39">
        <f ca="1" t="shared" si="33"/>
        <v>1</v>
      </c>
      <c r="EE18" s="39">
        <f ca="1" t="shared" si="34"/>
        <v>1</v>
      </c>
      <c r="EF18" s="39">
        <f ca="1" t="shared" si="35"/>
        <v>1</v>
      </c>
      <c r="EG18" s="39">
        <f ca="1" t="shared" si="36"/>
        <v>1</v>
      </c>
      <c r="EH18" s="39">
        <f ca="1" t="shared" si="37"/>
        <v>1</v>
      </c>
      <c r="EI18" s="39">
        <f ca="1" t="shared" si="38"/>
        <v>1</v>
      </c>
      <c r="EJ18" s="39">
        <f ca="1" t="shared" si="39"/>
        <v>1</v>
      </c>
      <c r="EK18" s="39">
        <f ca="1" t="shared" si="40"/>
        <v>1</v>
      </c>
      <c r="EL18" s="39">
        <f ca="1" t="shared" si="41"/>
        <v>1</v>
      </c>
      <c r="EM18" s="39">
        <f ca="1" t="shared" si="42"/>
        <v>1</v>
      </c>
      <c r="EN18" s="39">
        <f ca="1" t="shared" si="43"/>
        <v>1</v>
      </c>
      <c r="EO18" s="39">
        <f ca="1" t="shared" si="44"/>
        <v>1</v>
      </c>
      <c r="EP18" s="39">
        <f ca="1" t="shared" si="45"/>
        <v>1</v>
      </c>
      <c r="EQ18" s="39">
        <f ca="1" t="shared" si="46"/>
        <v>1</v>
      </c>
      <c r="ER18" s="39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4" t="str">
        <f t="shared" si="48"/>
        <v>TT</v>
      </c>
      <c r="D19" s="55" t="s">
        <v>192</v>
      </c>
      <c r="E19" s="55" t="s">
        <v>197</v>
      </c>
      <c r="F19" s="56" t="str">
        <f t="shared" si="55"/>
        <v>Diesel</v>
      </c>
      <c r="G19" s="54" t="s">
        <v>198</v>
      </c>
      <c r="H19" s="57">
        <f ca="1">OFFSET(TIAM15_assumptions!$G19,0,MATCH(VLOOKUP(Assumptions!H$2,TIAM15_assumptions!$Y$3:$Z$87,2,FALSE),TIAM15_assumptions!$H$2:$V$2,0))</f>
        <v>0.3</v>
      </c>
      <c r="I19" s="57">
        <f ca="1">OFFSET(TIAM15_assumptions!$G19,0,MATCH(VLOOKUP(Assumptions!I$2,TIAM15_assumptions!$Y$3:$Z$87,2,FALSE),TIAM15_assumptions!$H$2:$V$2,0))</f>
        <v>0.3</v>
      </c>
      <c r="J19" s="57">
        <f ca="1">OFFSET(TIAM15_assumptions!$G19,0,MATCH(VLOOKUP(Assumptions!J$2,TIAM15_assumptions!$Y$3:$Z$87,2,FALSE),TIAM15_assumptions!$H$2:$V$2,0))</f>
        <v>0.3</v>
      </c>
      <c r="K19" s="57">
        <f ca="1">OFFSET(TIAM15_assumptions!$G19,0,MATCH(VLOOKUP(Assumptions!K$2,TIAM15_assumptions!$Y$3:$Z$87,2,FALSE),TIAM15_assumptions!$H$2:$V$2,0))</f>
        <v>0.1</v>
      </c>
      <c r="L19" s="57">
        <f ca="1">OFFSET(TIAM15_assumptions!$G19,0,MATCH(VLOOKUP(Assumptions!L$2,TIAM15_assumptions!$Y$3:$Z$87,2,FALSE),TIAM15_assumptions!$H$2:$V$2,0))</f>
        <v>0.1</v>
      </c>
      <c r="M19" s="57">
        <f ca="1">OFFSET(TIAM15_assumptions!$G19,0,MATCH(VLOOKUP(Assumptions!M$2,TIAM15_assumptions!$Y$3:$Z$87,2,FALSE),TIAM15_assumptions!$H$2:$V$2,0))</f>
        <v>0.1</v>
      </c>
      <c r="N19" s="57">
        <f ca="1">OFFSET(TIAM15_assumptions!$G19,0,MATCH(VLOOKUP(Assumptions!N$2,TIAM15_assumptions!$Y$3:$Z$87,2,FALSE),TIAM15_assumptions!$H$2:$V$2,0))</f>
        <v>0.2</v>
      </c>
      <c r="O19" s="57">
        <f ca="1">OFFSET(TIAM15_assumptions!$G19,0,MATCH(VLOOKUP(Assumptions!O$2,TIAM15_assumptions!$Y$3:$Z$87,2,FALSE),TIAM15_assumptions!$H$2:$V$2,0))</f>
        <v>0.4</v>
      </c>
      <c r="P19" s="57">
        <f ca="1">OFFSET(TIAM15_assumptions!$G19,0,MATCH(VLOOKUP(Assumptions!P$2,TIAM15_assumptions!$Y$3:$Z$87,2,FALSE),TIAM15_assumptions!$H$2:$V$2,0))</f>
        <v>0.1</v>
      </c>
      <c r="Q19" s="57">
        <f ca="1">OFFSET(TIAM15_assumptions!$G19,0,MATCH(VLOOKUP(Assumptions!Q$2,TIAM15_assumptions!$Y$3:$Z$87,2,FALSE),TIAM15_assumptions!$H$2:$V$2,0))</f>
        <v>0.1</v>
      </c>
      <c r="R19" s="57">
        <f ca="1">OFFSET(TIAM15_assumptions!$G19,0,MATCH(VLOOKUP(Assumptions!R$2,TIAM15_assumptions!$Y$3:$Z$87,2,FALSE),TIAM15_assumptions!$H$2:$V$2,0))</f>
        <v>0.1</v>
      </c>
      <c r="S19" s="57">
        <f ca="1">OFFSET(TIAM15_assumptions!$G19,0,MATCH(VLOOKUP(Assumptions!S$2,TIAM15_assumptions!$Y$3:$Z$87,2,FALSE),TIAM15_assumptions!$H$2:$V$2,0))</f>
        <v>0.1</v>
      </c>
      <c r="T19" s="57">
        <f ca="1">OFFSET(TIAM15_assumptions!$G19,0,MATCH(VLOOKUP(Assumptions!T$2,TIAM15_assumptions!$Y$3:$Z$87,2,FALSE),TIAM15_assumptions!$H$2:$V$2,0))</f>
        <v>0.1</v>
      </c>
      <c r="U19" s="57">
        <f ca="1">OFFSET(TIAM15_assumptions!$G19,0,MATCH(VLOOKUP(Assumptions!U$2,TIAM15_assumptions!$Y$3:$Z$87,2,FALSE),TIAM15_assumptions!$H$2:$V$2,0))</f>
        <v>0.1</v>
      </c>
      <c r="V19" s="57">
        <f ca="1">OFFSET(TIAM15_assumptions!$G19,0,MATCH(VLOOKUP(Assumptions!V$2,TIAM15_assumptions!$Y$3:$Z$87,2,FALSE),TIAM15_assumptions!$H$2:$V$2,0))</f>
        <v>0.1</v>
      </c>
      <c r="W19" s="57">
        <f ca="1">OFFSET(TIAM15_assumptions!$G19,0,MATCH(VLOOKUP(Assumptions!W$2,TIAM15_assumptions!$Y$3:$Z$87,2,FALSE),TIAM15_assumptions!$H$2:$V$2,0))</f>
        <v>0.5</v>
      </c>
      <c r="X19" s="57">
        <f ca="1">OFFSET(TIAM15_assumptions!$G19,0,MATCH(VLOOKUP(Assumptions!X$2,TIAM15_assumptions!$Y$3:$Z$87,2,FALSE),TIAM15_assumptions!$H$2:$V$2,0))</f>
        <v>0.1</v>
      </c>
      <c r="Y19" s="57">
        <f ca="1">OFFSET(TIAM15_assumptions!$G19,0,MATCH(VLOOKUP(Assumptions!Y$2,TIAM15_assumptions!$Y$3:$Z$87,2,FALSE),TIAM15_assumptions!$H$2:$V$2,0))</f>
        <v>0.1</v>
      </c>
      <c r="Z19" s="57">
        <f ca="1">OFFSET(TIAM15_assumptions!$G19,0,MATCH(VLOOKUP(Assumptions!Z$2,TIAM15_assumptions!$Y$3:$Z$87,2,FALSE),TIAM15_assumptions!$H$2:$V$2,0))</f>
        <v>0.7</v>
      </c>
      <c r="AA19" s="57">
        <f ca="1">OFFSET(TIAM15_assumptions!$G19,0,MATCH(VLOOKUP(Assumptions!AA$2,TIAM15_assumptions!$Y$3:$Z$87,2,FALSE),TIAM15_assumptions!$H$2:$V$2,0))</f>
        <v>0.2</v>
      </c>
      <c r="AB19" s="57">
        <f ca="1">OFFSET(TIAM15_assumptions!$G19,0,MATCH(VLOOKUP(Assumptions!AB$2,TIAM15_assumptions!$Y$3:$Z$87,2,FALSE),TIAM15_assumptions!$H$2:$V$2,0))</f>
        <v>0.3</v>
      </c>
      <c r="AC19" s="57">
        <f ca="1">OFFSET(TIAM15_assumptions!$G19,0,MATCH(VLOOKUP(Assumptions!AC$2,TIAM15_assumptions!$Y$3:$Z$87,2,FALSE),TIAM15_assumptions!$H$2:$V$2,0))</f>
        <v>0.0396787690826272</v>
      </c>
      <c r="AD19" s="57">
        <f ca="1">OFFSET(TIAM15_assumptions!$G19,0,MATCH(VLOOKUP(Assumptions!AD$2,TIAM15_assumptions!$Y$3:$Z$87,2,FALSE),TIAM15_assumptions!$H$2:$V$2,0))</f>
        <v>0.1</v>
      </c>
      <c r="AE19" s="57">
        <f ca="1">OFFSET(TIAM15_assumptions!$G19,0,MATCH(VLOOKUP(Assumptions!AE$2,TIAM15_assumptions!$Y$3:$Z$87,2,FALSE),TIAM15_assumptions!$H$2:$V$2,0))</f>
        <v>0.1</v>
      </c>
      <c r="AF19" s="57">
        <f ca="1">OFFSET(TIAM15_assumptions!$G19,0,MATCH(VLOOKUP(Assumptions!AF$2,TIAM15_assumptions!$Y$3:$Z$87,2,FALSE),TIAM15_assumptions!$H$2:$V$2,0))</f>
        <v>0.2</v>
      </c>
      <c r="AG19" s="57">
        <f ca="1">OFFSET(TIAM15_assumptions!$G19,0,MATCH(VLOOKUP(Assumptions!AG$2,TIAM15_assumptions!$Y$3:$Z$87,2,FALSE),TIAM15_assumptions!$H$2:$V$2,0))</f>
        <v>0.1</v>
      </c>
      <c r="AH19" s="57">
        <f ca="1">OFFSET(TIAM15_assumptions!$G19,0,MATCH(VLOOKUP(Assumptions!AH$2,TIAM15_assumptions!$Y$3:$Z$87,2,FALSE),TIAM15_assumptions!$H$2:$V$2,0))</f>
        <v>0.3</v>
      </c>
      <c r="AI19" s="57">
        <f ca="1">OFFSET(TIAM15_assumptions!$G19,0,MATCH(VLOOKUP(Assumptions!AI$2,TIAM15_assumptions!$Y$3:$Z$87,2,FALSE),TIAM15_assumptions!$H$2:$V$2,0))</f>
        <v>0.3</v>
      </c>
      <c r="AJ19" s="57">
        <f ca="1">OFFSET(TIAM15_assumptions!$G19,0,MATCH(VLOOKUP(Assumptions!AJ$2,TIAM15_assumptions!$Y$3:$Z$87,2,FALSE),TIAM15_assumptions!$H$2:$V$2,0))</f>
        <v>0.1</v>
      </c>
      <c r="AK19" s="57">
        <f ca="1">OFFSET(TIAM15_assumptions!$G19,0,MATCH(VLOOKUP(Assumptions!AK$2,TIAM15_assumptions!$Y$3:$Z$87,2,FALSE),TIAM15_assumptions!$H$2:$V$2,0))</f>
        <v>0.1</v>
      </c>
      <c r="AL19" s="57">
        <f ca="1">OFFSET(TIAM15_assumptions!$G19,0,MATCH(VLOOKUP(Assumptions!AL$2,TIAM15_assumptions!$Y$3:$Z$87,2,FALSE),TIAM15_assumptions!$H$2:$V$2,0))</f>
        <v>0.1</v>
      </c>
      <c r="AM19" s="57">
        <f ca="1">OFFSET(TIAM15_assumptions!$G19,0,MATCH(VLOOKUP(Assumptions!AM$2,TIAM15_assumptions!$Y$3:$Z$87,2,FALSE),TIAM15_assumptions!$H$2:$V$2,0))</f>
        <v>0.3</v>
      </c>
      <c r="AN19" s="57">
        <f ca="1">OFFSET(TIAM15_assumptions!$G19,0,MATCH(VLOOKUP(Assumptions!AN$2,TIAM15_assumptions!$Y$3:$Z$87,2,FALSE),TIAM15_assumptions!$H$2:$V$2,0))</f>
        <v>0.1</v>
      </c>
      <c r="AO19" s="57">
        <f ca="1">OFFSET(TIAM15_assumptions!$G19,0,MATCH(VLOOKUP(Assumptions!AO$2,TIAM15_assumptions!$Y$3:$Z$87,2,FALSE),TIAM15_assumptions!$H$2:$V$2,0))</f>
        <v>0.1</v>
      </c>
      <c r="AP19" s="57">
        <f ca="1">OFFSET(TIAM15_assumptions!$G19,0,MATCH(VLOOKUP(Assumptions!AP$2,TIAM15_assumptions!$Y$3:$Z$87,2,FALSE),TIAM15_assumptions!$H$2:$V$2,0))</f>
        <v>0.1</v>
      </c>
      <c r="AQ19" s="57">
        <f ca="1">OFFSET(TIAM15_assumptions!$G19,0,MATCH(VLOOKUP(Assumptions!AQ$2,TIAM15_assumptions!$Y$3:$Z$87,2,FALSE),TIAM15_assumptions!$H$2:$V$2,0))</f>
        <v>0.0396787690826272</v>
      </c>
      <c r="AR19" s="57">
        <f ca="1">OFFSET(TIAM15_assumptions!$G19,0,MATCH(VLOOKUP(Assumptions!AR$2,TIAM15_assumptions!$Y$3:$Z$87,2,FALSE),TIAM15_assumptions!$H$2:$V$2,0))</f>
        <v>0.0396787690826272</v>
      </c>
      <c r="AS19" s="57">
        <f ca="1">OFFSET(TIAM15_assumptions!$G19,0,MATCH(VLOOKUP(Assumptions!AS$2,TIAM15_assumptions!$Y$3:$Z$87,2,FALSE),TIAM15_assumptions!$H$2:$V$2,0))</f>
        <v>0.0396787690826272</v>
      </c>
      <c r="AT19" s="57">
        <f ca="1">OFFSET(TIAM15_assumptions!$G19,0,MATCH(VLOOKUP(Assumptions!AT$2,TIAM15_assumptions!$Y$3:$Z$87,2,FALSE),TIAM15_assumptions!$H$2:$V$2,0))</f>
        <v>0.0396787690826272</v>
      </c>
      <c r="AU19" s="57">
        <f ca="1">OFFSET(TIAM15_assumptions!$G19,0,MATCH(VLOOKUP(Assumptions!AU$2,TIAM15_assumptions!$Y$3:$Z$87,2,FALSE),TIAM15_assumptions!$H$2:$V$2,0))</f>
        <v>0.0396787690826272</v>
      </c>
      <c r="AV19" s="57">
        <f ca="1">OFFSET(TIAM15_assumptions!$G19,0,MATCH(VLOOKUP(Assumptions!AV$2,TIAM15_assumptions!$Y$3:$Z$87,2,FALSE),TIAM15_assumptions!$H$2:$V$2,0))</f>
        <v>0.0396787690826272</v>
      </c>
      <c r="AW19" s="57">
        <f ca="1">OFFSET(TIAM15_assumptions!$G19,0,MATCH(VLOOKUP(Assumptions!AW$2,TIAM15_assumptions!$Y$3:$Z$87,2,FALSE),TIAM15_assumptions!$H$2:$V$2,0))</f>
        <v>0.0396787690826272</v>
      </c>
      <c r="AX19" s="57">
        <f ca="1">OFFSET(TIAM15_assumptions!$G19,0,MATCH(VLOOKUP(Assumptions!AX$2,TIAM15_assumptions!$Y$3:$Z$87,2,FALSE),TIAM15_assumptions!$H$2:$V$2,0))</f>
        <v>0.0396787690826272</v>
      </c>
      <c r="AY19" s="57">
        <f ca="1">OFFSET(TIAM15_assumptions!$G19,0,MATCH(VLOOKUP(Assumptions!AY$2,TIAM15_assumptions!$Y$3:$Z$87,2,FALSE),TIAM15_assumptions!$H$2:$V$2,0))</f>
        <v>0.0396787690826272</v>
      </c>
      <c r="AZ19" s="57">
        <f ca="1">OFFSET(TIAM15_assumptions!$G19,0,MATCH(VLOOKUP(Assumptions!AZ$2,TIAM15_assumptions!$Y$3:$Z$87,2,FALSE),TIAM15_assumptions!$H$2:$V$2,0))</f>
        <v>0.0396787690826272</v>
      </c>
      <c r="BA19" s="57">
        <f ca="1">OFFSET(TIAM15_assumptions!$G19,0,MATCH(VLOOKUP(Assumptions!BA$2,TIAM15_assumptions!$Y$3:$Z$87,2,FALSE),TIAM15_assumptions!$H$2:$V$2,0))</f>
        <v>0.0396787690826272</v>
      </c>
      <c r="BD19" s="40">
        <f ca="1">IFERROR(SUMIFS('TRA balance'!E$5:E$40,'TRA balance'!$C$5:$C$40,Assumptions!$C19,'TRA balance'!$D$5:$D$40,Assumptions!$B19)*CY19*H19,"")</f>
        <v>0.80034617592</v>
      </c>
      <c r="BE19" s="40">
        <f ca="1">IFERROR(SUMIFS('TRA balance'!F$5:F$40,'TRA balance'!$C$5:$C$40,Assumptions!$C19,'TRA balance'!$D$5:$D$40,Assumptions!$B19)*CZ19*I19,"")</f>
        <v>4.52536641936</v>
      </c>
      <c r="BF19" s="40">
        <f ca="1">IFERROR(SUMIFS('TRA balance'!G$5:G$40,'TRA balance'!$C$5:$C$40,Assumptions!$C19,'TRA balance'!$D$5:$D$40,Assumptions!$B19)*DA19*J19,"")</f>
        <v>14.30048767104</v>
      </c>
      <c r="BG19" s="40">
        <f ca="1">IFERROR(SUMIFS('TRA balance'!H$5:H$40,'TRA balance'!$C$5:$C$40,Assumptions!$C19,'TRA balance'!$D$5:$D$40,Assumptions!$B19)*DB19*K19,"")</f>
        <v>0.13269476448</v>
      </c>
      <c r="BH19" s="40">
        <f ca="1">IFERROR(SUMIFS('TRA balance'!I$5:I$40,'TRA balance'!$C$5:$C$40,Assumptions!$C19,'TRA balance'!$D$5:$D$40,Assumptions!$B19)*DC19*L19,"")</f>
        <v>0.46106423244</v>
      </c>
      <c r="BI19" s="40">
        <f ca="1">IFERROR(SUMIFS('TRA balance'!J$5:J$40,'TRA balance'!$C$5:$C$40,Assumptions!$C19,'TRA balance'!$D$5:$D$40,Assumptions!$B19)*DD19*M19,"")</f>
        <v>0.18967627512</v>
      </c>
      <c r="BJ19" s="40">
        <f ca="1">IFERROR(SUMIFS('TRA balance'!K$5:K$40,'TRA balance'!$C$5:$C$40,Assumptions!$C19,'TRA balance'!$D$5:$D$40,Assumptions!$B19)*DE19*N19,"")</f>
        <v>8.15715416304</v>
      </c>
      <c r="BK19" s="40">
        <f ca="1">IFERROR(SUMIFS('TRA balance'!L$5:L$40,'TRA balance'!$C$5:$C$40,Assumptions!$C19,'TRA balance'!$D$5:$D$40,Assumptions!$B19)*DF19*O19,"")</f>
        <v>45.64727196048</v>
      </c>
      <c r="BL19" s="40">
        <f ca="1">IFERROR(SUMIFS('TRA balance'!M$5:M$40,'TRA balance'!$C$5:$C$40,Assumptions!$C19,'TRA balance'!$D$5:$D$40,Assumptions!$B19)*DG19*P19,"")</f>
        <v>0.09207945504</v>
      </c>
      <c r="BM19" s="40">
        <f ca="1">IFERROR(SUMIFS('TRA balance'!N$5:N$40,'TRA balance'!$C$5:$C$40,Assumptions!$C19,'TRA balance'!$D$5:$D$40,Assumptions!$B19)*DH19*Q19,"")</f>
        <v>0.32801987016</v>
      </c>
      <c r="BN19" s="40">
        <f ca="1">IFERROR(SUMIFS('TRA balance'!O$5:O$40,'TRA balance'!$C$5:$C$40,Assumptions!$C19,'TRA balance'!$D$5:$D$40,Assumptions!$B19)*DI19*R19,"")</f>
        <v>0.49130172072</v>
      </c>
      <c r="BO19" s="40">
        <f ca="1">IFERROR(SUMIFS('TRA balance'!P$5:P$40,'TRA balance'!$C$5:$C$40,Assumptions!$C19,'TRA balance'!$D$5:$D$40,Assumptions!$B19)*DJ19*S19,"")</f>
        <v>1.07351980344</v>
      </c>
      <c r="BP19" s="40">
        <f ca="1">IFERROR(SUMIFS('TRA balance'!Q$5:Q$40,'TRA balance'!$C$5:$C$40,Assumptions!$C19,'TRA balance'!$D$5:$D$40,Assumptions!$B19)*DK19*T19,"")</f>
        <v>0.04441483044</v>
      </c>
      <c r="BQ19" s="40">
        <f ca="1">IFERROR(SUMIFS('TRA balance'!R$5:R$40,'TRA balance'!$C$5:$C$40,Assumptions!$C19,'TRA balance'!$D$5:$D$40,Assumptions!$B19)*DL19*U19,"")</f>
        <v>0.74542708296</v>
      </c>
      <c r="BR19" s="40">
        <f ca="1">IFERROR(SUMIFS('TRA balance'!S$5:S$40,'TRA balance'!$C$5:$C$40,Assumptions!$C19,'TRA balance'!$D$5:$D$40,Assumptions!$B19)*DM19*V19,"")</f>
        <v>0</v>
      </c>
      <c r="BS19" s="40">
        <f ca="1">IFERROR(SUMIFS('TRA balance'!T$5:T$40,'TRA balance'!$C$5:$C$40,Assumptions!$C19,'TRA balance'!$D$5:$D$40,Assumptions!$B19)*DN19*W19,"")</f>
        <v>54.9780096096</v>
      </c>
      <c r="BT19" s="40">
        <f ca="1">IFERROR(SUMIFS('TRA balance'!U$5:U$40,'TRA balance'!$C$5:$C$40,Assumptions!$C19,'TRA balance'!$D$5:$D$40,Assumptions!$B19)*DO19*X19,"")</f>
        <v>0.16395048252</v>
      </c>
      <c r="BU19" s="40">
        <f ca="1">IFERROR(SUMIFS('TRA balance'!V$5:V$40,'TRA balance'!$C$5:$C$40,Assumptions!$C19,'TRA balance'!$D$5:$D$40,Assumptions!$B19)*DP19*Y19,"")</f>
        <v>0.18318003624</v>
      </c>
      <c r="BV19" s="40">
        <f ca="1">IFERROR(SUMIFS('TRA balance'!W$5:W$40,'TRA balance'!$C$5:$C$40,Assumptions!$C19,'TRA balance'!$D$5:$D$40,Assumptions!$B19)*DQ19*Z19,"")</f>
        <v>4.68314053452</v>
      </c>
      <c r="BW19" s="40">
        <f ca="1">IFERROR(SUMIFS('TRA balance'!X$5:X$40,'TRA balance'!$C$5:$C$40,Assumptions!$C19,'TRA balance'!$D$5:$D$40,Assumptions!$B19)*DR19*AA19,"")</f>
        <v>0.39064267512</v>
      </c>
      <c r="BX19" s="40">
        <f ca="1">IFERROR(SUMIFS('TRA balance'!Y$5:Y$40,'TRA balance'!$C$5:$C$40,Assumptions!$C19,'TRA balance'!$D$5:$D$40,Assumptions!$B19)*DS19*AB19,"")</f>
        <v>1.02893791968</v>
      </c>
      <c r="BY19" s="40">
        <f ca="1">IFERROR(SUMIFS('TRA balance'!Z$5:Z$40,'TRA balance'!$C$5:$C$40,Assumptions!$C19,'TRA balance'!$D$5:$D$40,Assumptions!$B19)*DT19*AC19,"")</f>
        <v>27.1358138371717</v>
      </c>
      <c r="BZ19" s="40">
        <f ca="1">IFERROR(SUMIFS('TRA balance'!AA$5:AA$40,'TRA balance'!$C$5:$C$40,Assumptions!$C19,'TRA balance'!$D$5:$D$40,Assumptions!$B19)*DU19*AD19,"")</f>
        <v>0.05694759756</v>
      </c>
      <c r="CA19" s="40">
        <f ca="1">IFERROR(SUMIFS('TRA balance'!AB$5:AB$40,'TRA balance'!$C$5:$C$40,Assumptions!$C19,'TRA balance'!$D$5:$D$40,Assumptions!$B19)*DV19*AE19,"")</f>
        <v>0.35821925856</v>
      </c>
      <c r="CB19" s="40">
        <f ca="1">IFERROR(SUMIFS('TRA balance'!AC$5:AC$40,'TRA balance'!$C$5:$C$40,Assumptions!$C19,'TRA balance'!$D$5:$D$40,Assumptions!$B19)*DW19*AF19,"")</f>
        <v>15.5618080632</v>
      </c>
      <c r="CC19" s="40">
        <f ca="1">IFERROR(SUMIFS('TRA balance'!AD$5:AD$40,'TRA balance'!$C$5:$C$40,Assumptions!$C19,'TRA balance'!$D$5:$D$40,Assumptions!$B19)*DX19*AG19,"")</f>
        <v>17.20139788044</v>
      </c>
      <c r="CD19" s="40">
        <f ca="1">IFERROR(SUMIFS('TRA balance'!AE$5:AE$40,'TRA balance'!$C$5:$C$40,Assumptions!$C19,'TRA balance'!$D$5:$D$40,Assumptions!$B19)*DY19*AH19,"")</f>
        <v>0</v>
      </c>
      <c r="CE19" s="40">
        <f ca="1">IFERROR(SUMIFS('TRA balance'!AF$5:AF$40,'TRA balance'!$C$5:$C$40,Assumptions!$C19,'TRA balance'!$D$5:$D$40,Assumptions!$B19)*DZ19*AI19,"")</f>
        <v>1.51441496424</v>
      </c>
      <c r="CF19" s="40">
        <f ca="1">IFERROR(SUMIFS('TRA balance'!AG$5:AG$40,'TRA balance'!$C$5:$C$40,Assumptions!$C19,'TRA balance'!$D$5:$D$40,Assumptions!$B19)*EA19*AJ19,"")</f>
        <v>0.38659069008</v>
      </c>
      <c r="CG19" s="40">
        <f ca="1">IFERROR(SUMIFS('TRA balance'!AH$5:AH$40,'TRA balance'!$C$5:$C$40,Assumptions!$C19,'TRA balance'!$D$5:$D$40,Assumptions!$B19)*EB19*AK19,"")</f>
        <v>0.45532580436</v>
      </c>
      <c r="CH19" s="40">
        <f ca="1">IFERROR(SUMIFS('TRA balance'!AI$5:AI$40,'TRA balance'!$C$5:$C$40,Assumptions!$C19,'TRA balance'!$D$5:$D$40,Assumptions!$B19)*EC19*AL19,"")</f>
        <v>0.03794371236</v>
      </c>
      <c r="CI19" s="40">
        <f ca="1">IFERROR(SUMIFS('TRA balance'!AJ$5:AJ$40,'TRA balance'!$C$5:$C$40,Assumptions!$C19,'TRA balance'!$D$5:$D$40,Assumptions!$B19)*ED19*AM19,"")</f>
        <v>1.45691973324</v>
      </c>
      <c r="CJ19" s="40">
        <f ca="1">IFERROR(SUMIFS('TRA balance'!AK$5:AK$40,'TRA balance'!$C$5:$C$40,Assumptions!$C19,'TRA balance'!$D$5:$D$40,Assumptions!$B19)*EE19*AN19,"")</f>
        <v>2.70309772584</v>
      </c>
      <c r="CK19" s="40">
        <f ca="1">IFERROR(SUMIFS('TRA balance'!AL$5:AL$40,'TRA balance'!$C$5:$C$40,Assumptions!$C19,'TRA balance'!$D$5:$D$40,Assumptions!$B19)*EF19*AO19,"")</f>
        <v>0.14202295488</v>
      </c>
      <c r="CL19" s="40">
        <f ca="1">IFERROR(SUMIFS('TRA balance'!AM$5:AM$40,'TRA balance'!$C$5:$C$40,Assumptions!$C19,'TRA balance'!$D$5:$D$40,Assumptions!$B19)*EG19*AP19,"")</f>
        <v>0.07832079288</v>
      </c>
      <c r="CM19" s="40">
        <f ca="1">IFERROR(SUMIFS('TRA balance'!AN$5:AN$40,'TRA balance'!$C$5:$C$40,Assumptions!$C19,'TRA balance'!$D$5:$D$40,Assumptions!$B19)*EH19*AQ19,"")</f>
        <v>0</v>
      </c>
      <c r="CN19" s="40">
        <f ca="1">IFERROR(SUMIFS('TRA balance'!AO$5:AO$40,'TRA balance'!$C$5:$C$40,Assumptions!$C19,'TRA balance'!$D$5:$D$40,Assumptions!$B19)*EI19*AR19,"")</f>
        <v>0</v>
      </c>
      <c r="CO19" s="40">
        <f ca="1">IFERROR(SUMIFS('TRA balance'!AP$5:AP$40,'TRA balance'!$C$5:$C$40,Assumptions!$C19,'TRA balance'!$D$5:$D$40,Assumptions!$B19)*EJ19*AS19,"")</f>
        <v>0</v>
      </c>
      <c r="CP19" s="40">
        <f ca="1">IFERROR(SUMIFS('TRA balance'!AQ$5:AQ$40,'TRA balance'!$C$5:$C$40,Assumptions!$C19,'TRA balance'!$D$5:$D$40,Assumptions!$B19)*EK19*AT19,"")</f>
        <v>0</v>
      </c>
      <c r="CQ19" s="40">
        <f ca="1">IFERROR(SUMIFS('TRA balance'!AR$5:AR$40,'TRA balance'!$C$5:$C$40,Assumptions!$C19,'TRA balance'!$D$5:$D$40,Assumptions!$B19)*EL19*AU19,"")</f>
        <v>0</v>
      </c>
      <c r="CR19" s="40">
        <f ca="1">IFERROR(SUMIFS('TRA balance'!AS$5:AS$40,'TRA balance'!$C$5:$C$40,Assumptions!$C19,'TRA balance'!$D$5:$D$40,Assumptions!$B19)*EM19*AV19,"")</f>
        <v>0</v>
      </c>
      <c r="CS19" s="40">
        <f ca="1">IFERROR(SUMIFS('TRA balance'!AT$5:AT$40,'TRA balance'!$C$5:$C$40,Assumptions!$C19,'TRA balance'!$D$5:$D$40,Assumptions!$B19)*EN19*AW19,"")</f>
        <v>0</v>
      </c>
      <c r="CT19" s="40">
        <f ca="1">IFERROR(SUMIFS('TRA balance'!AU$5:AU$40,'TRA balance'!$C$5:$C$40,Assumptions!$C19,'TRA balance'!$D$5:$D$40,Assumptions!$B19)*EO19*AX19,"")</f>
        <v>0</v>
      </c>
      <c r="CU19" s="40">
        <f ca="1">IFERROR(SUMIFS('TRA balance'!AV$5:AV$40,'TRA balance'!$C$5:$C$40,Assumptions!$C19,'TRA balance'!$D$5:$D$40,Assumptions!$B19)*EP19*AY19,"")</f>
        <v>0</v>
      </c>
      <c r="CV19" s="40">
        <f ca="1">IFERROR(SUMIFS('TRA balance'!AW$5:AW$40,'TRA balance'!$C$5:$C$40,Assumptions!$C19,'TRA balance'!$D$5:$D$40,Assumptions!$B19)*EQ19*AZ19,"")</f>
        <v>0</v>
      </c>
      <c r="CW19" s="40">
        <f ca="1">IFERROR(SUMIFS('TRA balance'!AX$5:AX$40,'TRA balance'!$C$5:$C$40,Assumptions!$C19,'TRA balance'!$D$5:$D$40,Assumptions!$B19)*ER19*BA19,"")</f>
        <v>0</v>
      </c>
      <c r="CY19" s="39">
        <f ca="1" t="shared" si="2"/>
        <v>1</v>
      </c>
      <c r="CZ19" s="39">
        <f ca="1" t="shared" si="3"/>
        <v>1</v>
      </c>
      <c r="DA19" s="39">
        <f ca="1" t="shared" si="4"/>
        <v>1</v>
      </c>
      <c r="DB19" s="39">
        <f ca="1" t="shared" si="5"/>
        <v>1</v>
      </c>
      <c r="DC19" s="39">
        <f ca="1" t="shared" si="6"/>
        <v>1</v>
      </c>
      <c r="DD19" s="39">
        <f ca="1" t="shared" si="7"/>
        <v>1</v>
      </c>
      <c r="DE19" s="39">
        <f ca="1" t="shared" si="8"/>
        <v>1</v>
      </c>
      <c r="DF19" s="39">
        <f ca="1" t="shared" si="9"/>
        <v>1</v>
      </c>
      <c r="DG19" s="39">
        <f ca="1" t="shared" si="10"/>
        <v>1</v>
      </c>
      <c r="DH19" s="39">
        <f ca="1" t="shared" si="11"/>
        <v>1</v>
      </c>
      <c r="DI19" s="39">
        <f ca="1" t="shared" si="12"/>
        <v>1</v>
      </c>
      <c r="DJ19" s="39">
        <f ca="1" t="shared" si="13"/>
        <v>1</v>
      </c>
      <c r="DK19" s="39">
        <f ca="1" t="shared" si="14"/>
        <v>1</v>
      </c>
      <c r="DL19" s="39">
        <f ca="1" t="shared" si="15"/>
        <v>1</v>
      </c>
      <c r="DM19" s="39">
        <f ca="1" t="shared" si="16"/>
        <v>1</v>
      </c>
      <c r="DN19" s="39">
        <f ca="1" t="shared" si="17"/>
        <v>1</v>
      </c>
      <c r="DO19" s="39">
        <f ca="1" t="shared" si="18"/>
        <v>1</v>
      </c>
      <c r="DP19" s="39">
        <f ca="1" t="shared" si="19"/>
        <v>1</v>
      </c>
      <c r="DQ19" s="39">
        <f ca="1" t="shared" si="20"/>
        <v>1</v>
      </c>
      <c r="DR19" s="39">
        <f ca="1" t="shared" si="21"/>
        <v>1</v>
      </c>
      <c r="DS19" s="39">
        <f ca="1" t="shared" si="22"/>
        <v>1</v>
      </c>
      <c r="DT19" s="39">
        <f ca="1" t="shared" si="23"/>
        <v>1</v>
      </c>
      <c r="DU19" s="39">
        <f ca="1" t="shared" si="24"/>
        <v>1</v>
      </c>
      <c r="DV19" s="39">
        <f ca="1" t="shared" si="25"/>
        <v>1</v>
      </c>
      <c r="DW19" s="39">
        <f ca="1" t="shared" si="26"/>
        <v>1</v>
      </c>
      <c r="DX19" s="39">
        <f ca="1" t="shared" si="27"/>
        <v>1</v>
      </c>
      <c r="DY19" s="39">
        <f ca="1" t="shared" si="28"/>
        <v>1</v>
      </c>
      <c r="DZ19" s="39">
        <f ca="1" t="shared" si="29"/>
        <v>1</v>
      </c>
      <c r="EA19" s="39">
        <f ca="1" t="shared" si="30"/>
        <v>1</v>
      </c>
      <c r="EB19" s="39">
        <f ca="1" t="shared" si="31"/>
        <v>1</v>
      </c>
      <c r="EC19" s="39">
        <f ca="1" t="shared" si="32"/>
        <v>1</v>
      </c>
      <c r="ED19" s="39">
        <f ca="1" t="shared" si="33"/>
        <v>1</v>
      </c>
      <c r="EE19" s="39">
        <f ca="1" t="shared" si="34"/>
        <v>1</v>
      </c>
      <c r="EF19" s="39">
        <f ca="1" t="shared" si="35"/>
        <v>1</v>
      </c>
      <c r="EG19" s="39">
        <f ca="1" t="shared" si="36"/>
        <v>1</v>
      </c>
      <c r="EH19" s="39">
        <f ca="1" t="shared" si="37"/>
        <v>1</v>
      </c>
      <c r="EI19" s="39">
        <f ca="1" t="shared" si="38"/>
        <v>1</v>
      </c>
      <c r="EJ19" s="39">
        <f ca="1" t="shared" si="39"/>
        <v>1</v>
      </c>
      <c r="EK19" s="39">
        <f ca="1" t="shared" si="40"/>
        <v>1</v>
      </c>
      <c r="EL19" s="39">
        <f ca="1" t="shared" si="41"/>
        <v>1</v>
      </c>
      <c r="EM19" s="39">
        <f ca="1" t="shared" si="42"/>
        <v>1</v>
      </c>
      <c r="EN19" s="39">
        <f ca="1" t="shared" si="43"/>
        <v>1</v>
      </c>
      <c r="EO19" s="39">
        <f ca="1" t="shared" si="44"/>
        <v>1</v>
      </c>
      <c r="EP19" s="39">
        <f ca="1" t="shared" si="45"/>
        <v>1</v>
      </c>
      <c r="EQ19" s="39">
        <f ca="1" t="shared" si="46"/>
        <v>1</v>
      </c>
      <c r="ER19" s="39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8"/>
      <c r="D20" s="58"/>
      <c r="E20" s="59" t="s">
        <v>199</v>
      </c>
      <c r="F20" s="60" t="str">
        <f t="shared" si="55"/>
        <v>Diesel</v>
      </c>
      <c r="G20" s="58"/>
      <c r="H20" s="59" t="str">
        <f ca="1" t="shared" ref="H20" si="57">IF(SUM(H18:H19)=1,"-","&lt;&gt;1!!")</f>
        <v>-</v>
      </c>
      <c r="I20" s="59" t="str">
        <f ca="1" t="shared" ref="I20:BA20" si="58">IF(SUM(I18:I19)=1,"-","&lt;&gt;1!!")</f>
        <v>-</v>
      </c>
      <c r="J20" s="59" t="str">
        <f ca="1" t="shared" si="58"/>
        <v>-</v>
      </c>
      <c r="K20" s="59" t="str">
        <f ca="1" t="shared" si="58"/>
        <v>-</v>
      </c>
      <c r="L20" s="59" t="str">
        <f ca="1" t="shared" si="58"/>
        <v>-</v>
      </c>
      <c r="M20" s="59" t="str">
        <f ca="1" t="shared" si="58"/>
        <v>-</v>
      </c>
      <c r="N20" s="59" t="str">
        <f ca="1" t="shared" si="58"/>
        <v>-</v>
      </c>
      <c r="O20" s="59" t="str">
        <f ca="1" t="shared" si="58"/>
        <v>-</v>
      </c>
      <c r="P20" s="59" t="str">
        <f ca="1" t="shared" si="58"/>
        <v>-</v>
      </c>
      <c r="Q20" s="59" t="str">
        <f ca="1" t="shared" si="58"/>
        <v>-</v>
      </c>
      <c r="R20" s="59" t="str">
        <f ca="1" t="shared" si="58"/>
        <v>-</v>
      </c>
      <c r="S20" s="59" t="str">
        <f ca="1" t="shared" si="58"/>
        <v>-</v>
      </c>
      <c r="T20" s="59" t="str">
        <f ca="1" t="shared" si="58"/>
        <v>-</v>
      </c>
      <c r="U20" s="59" t="str">
        <f ca="1" t="shared" si="58"/>
        <v>-</v>
      </c>
      <c r="V20" s="59" t="str">
        <f ca="1" t="shared" si="58"/>
        <v>-</v>
      </c>
      <c r="W20" s="59" t="str">
        <f ca="1" t="shared" si="58"/>
        <v>-</v>
      </c>
      <c r="X20" s="59" t="str">
        <f ca="1" t="shared" si="58"/>
        <v>-</v>
      </c>
      <c r="Y20" s="59" t="str">
        <f ca="1" t="shared" si="58"/>
        <v>-</v>
      </c>
      <c r="Z20" s="59" t="str">
        <f ca="1" t="shared" si="58"/>
        <v>-</v>
      </c>
      <c r="AA20" s="59" t="str">
        <f ca="1" t="shared" si="58"/>
        <v>-</v>
      </c>
      <c r="AB20" s="59" t="str">
        <f ca="1" t="shared" si="58"/>
        <v>-</v>
      </c>
      <c r="AC20" s="59" t="str">
        <f ca="1" t="shared" si="58"/>
        <v>-</v>
      </c>
      <c r="AD20" s="59" t="str">
        <f ca="1" t="shared" si="58"/>
        <v>-</v>
      </c>
      <c r="AE20" s="59" t="str">
        <f ca="1" t="shared" si="58"/>
        <v>-</v>
      </c>
      <c r="AF20" s="59" t="str">
        <f ca="1" t="shared" si="58"/>
        <v>-</v>
      </c>
      <c r="AG20" s="59" t="str">
        <f ca="1" t="shared" si="58"/>
        <v>-</v>
      </c>
      <c r="AH20" s="59" t="str">
        <f ca="1" t="shared" si="58"/>
        <v>-</v>
      </c>
      <c r="AI20" s="59" t="str">
        <f ca="1" t="shared" si="58"/>
        <v>-</v>
      </c>
      <c r="AJ20" s="59" t="str">
        <f ca="1" t="shared" si="58"/>
        <v>-</v>
      </c>
      <c r="AK20" s="59" t="str">
        <f ca="1" t="shared" si="58"/>
        <v>-</v>
      </c>
      <c r="AL20" s="59" t="str">
        <f ca="1" t="shared" si="58"/>
        <v>-</v>
      </c>
      <c r="AM20" s="59" t="str">
        <f ca="1" t="shared" si="58"/>
        <v>-</v>
      </c>
      <c r="AN20" s="59" t="str">
        <f ca="1" t="shared" si="58"/>
        <v>-</v>
      </c>
      <c r="AO20" s="59" t="str">
        <f ca="1" t="shared" si="58"/>
        <v>-</v>
      </c>
      <c r="AP20" s="59" t="str">
        <f ca="1" t="shared" si="58"/>
        <v>-</v>
      </c>
      <c r="AQ20" s="59" t="str">
        <f ca="1" t="shared" si="58"/>
        <v>-</v>
      </c>
      <c r="AR20" s="59" t="str">
        <f ca="1" t="shared" si="58"/>
        <v>-</v>
      </c>
      <c r="AS20" s="59" t="str">
        <f ca="1" t="shared" si="58"/>
        <v>-</v>
      </c>
      <c r="AT20" s="59" t="str">
        <f ca="1" t="shared" si="58"/>
        <v>-</v>
      </c>
      <c r="AU20" s="59" t="str">
        <f ca="1" t="shared" si="58"/>
        <v>-</v>
      </c>
      <c r="AV20" s="59" t="str">
        <f ca="1" t="shared" si="58"/>
        <v>-</v>
      </c>
      <c r="AW20" s="59" t="str">
        <f ca="1" t="shared" si="58"/>
        <v>-</v>
      </c>
      <c r="AX20" s="59" t="str">
        <f ca="1" t="shared" si="58"/>
        <v>-</v>
      </c>
      <c r="AY20" s="59" t="str">
        <f ca="1" t="shared" si="58"/>
        <v>-</v>
      </c>
      <c r="AZ20" s="59" t="str">
        <f ca="1" t="shared" si="58"/>
        <v>-</v>
      </c>
      <c r="BA20" s="59" t="str">
        <f ca="1" t="shared" si="58"/>
        <v>-</v>
      </c>
      <c r="BD20" s="40" t="str">
        <f ca="1">IFERROR(SUMIFS('TRA balance'!E$5:E$40,'TRA balance'!$C$5:$C$40,Assumptions!$C20,'TRA balance'!$D$5:$D$40,Assumptions!$B20)*CY20*H20,"")</f>
        <v/>
      </c>
      <c r="BE20" s="40" t="str">
        <f ca="1">IFERROR(SUMIFS('TRA balance'!F$5:F$40,'TRA balance'!$C$5:$C$40,Assumptions!$C20,'TRA balance'!$D$5:$D$40,Assumptions!$B20)*CZ20*I20,"")</f>
        <v/>
      </c>
      <c r="BF20" s="40" t="str">
        <f ca="1">IFERROR(SUMIFS('TRA balance'!G$5:G$40,'TRA balance'!$C$5:$C$40,Assumptions!$C20,'TRA balance'!$D$5:$D$40,Assumptions!$B20)*DA20*J20,"")</f>
        <v/>
      </c>
      <c r="BG20" s="40" t="str">
        <f ca="1">IFERROR(SUMIFS('TRA balance'!H$5:H$40,'TRA balance'!$C$5:$C$40,Assumptions!$C20,'TRA balance'!$D$5:$D$40,Assumptions!$B20)*DB20*K20,"")</f>
        <v/>
      </c>
      <c r="BH20" s="40" t="str">
        <f ca="1">IFERROR(SUMIFS('TRA balance'!I$5:I$40,'TRA balance'!$C$5:$C$40,Assumptions!$C20,'TRA balance'!$D$5:$D$40,Assumptions!$B20)*DC20*L20,"")</f>
        <v/>
      </c>
      <c r="BI20" s="40" t="str">
        <f ca="1">IFERROR(SUMIFS('TRA balance'!J$5:J$40,'TRA balance'!$C$5:$C$40,Assumptions!$C20,'TRA balance'!$D$5:$D$40,Assumptions!$B20)*DD20*M20,"")</f>
        <v/>
      </c>
      <c r="BJ20" s="40" t="str">
        <f ca="1">IFERROR(SUMIFS('TRA balance'!K$5:K$40,'TRA balance'!$C$5:$C$40,Assumptions!$C20,'TRA balance'!$D$5:$D$40,Assumptions!$B20)*DE20*N20,"")</f>
        <v/>
      </c>
      <c r="BK20" s="40" t="str">
        <f ca="1">IFERROR(SUMIFS('TRA balance'!L$5:L$40,'TRA balance'!$C$5:$C$40,Assumptions!$C20,'TRA balance'!$D$5:$D$40,Assumptions!$B20)*DF20*O20,"")</f>
        <v/>
      </c>
      <c r="BL20" s="40" t="str">
        <f ca="1">IFERROR(SUMIFS('TRA balance'!M$5:M$40,'TRA balance'!$C$5:$C$40,Assumptions!$C20,'TRA balance'!$D$5:$D$40,Assumptions!$B20)*DG20*P20,"")</f>
        <v/>
      </c>
      <c r="BM20" s="40" t="str">
        <f ca="1">IFERROR(SUMIFS('TRA balance'!N$5:N$40,'TRA balance'!$C$5:$C$40,Assumptions!$C20,'TRA balance'!$D$5:$D$40,Assumptions!$B20)*DH20*Q20,"")</f>
        <v/>
      </c>
      <c r="BN20" s="40" t="str">
        <f ca="1">IFERROR(SUMIFS('TRA balance'!O$5:O$40,'TRA balance'!$C$5:$C$40,Assumptions!$C20,'TRA balance'!$D$5:$D$40,Assumptions!$B20)*DI20*R20,"")</f>
        <v/>
      </c>
      <c r="BO20" s="40" t="str">
        <f ca="1">IFERROR(SUMIFS('TRA balance'!P$5:P$40,'TRA balance'!$C$5:$C$40,Assumptions!$C20,'TRA balance'!$D$5:$D$40,Assumptions!$B20)*DJ20*S20,"")</f>
        <v/>
      </c>
      <c r="BP20" s="40" t="str">
        <f ca="1">IFERROR(SUMIFS('TRA balance'!Q$5:Q$40,'TRA balance'!$C$5:$C$40,Assumptions!$C20,'TRA balance'!$D$5:$D$40,Assumptions!$B20)*DK20*T20,"")</f>
        <v/>
      </c>
      <c r="BQ20" s="40" t="str">
        <f ca="1">IFERROR(SUMIFS('TRA balance'!R$5:R$40,'TRA balance'!$C$5:$C$40,Assumptions!$C20,'TRA balance'!$D$5:$D$40,Assumptions!$B20)*DL20*U20,"")</f>
        <v/>
      </c>
      <c r="BR20" s="40" t="str">
        <f ca="1">IFERROR(SUMIFS('TRA balance'!S$5:S$40,'TRA balance'!$C$5:$C$40,Assumptions!$C20,'TRA balance'!$D$5:$D$40,Assumptions!$B20)*DM20*V20,"")</f>
        <v/>
      </c>
      <c r="BS20" s="40" t="str">
        <f ca="1">IFERROR(SUMIFS('TRA balance'!T$5:T$40,'TRA balance'!$C$5:$C$40,Assumptions!$C20,'TRA balance'!$D$5:$D$40,Assumptions!$B20)*DN20*W20,"")</f>
        <v/>
      </c>
      <c r="BT20" s="40" t="str">
        <f ca="1">IFERROR(SUMIFS('TRA balance'!U$5:U$40,'TRA balance'!$C$5:$C$40,Assumptions!$C20,'TRA balance'!$D$5:$D$40,Assumptions!$B20)*DO20*X20,"")</f>
        <v/>
      </c>
      <c r="BU20" s="40" t="str">
        <f ca="1">IFERROR(SUMIFS('TRA balance'!V$5:V$40,'TRA balance'!$C$5:$C$40,Assumptions!$C20,'TRA balance'!$D$5:$D$40,Assumptions!$B20)*DP20*Y20,"")</f>
        <v/>
      </c>
      <c r="BV20" s="40" t="str">
        <f ca="1">IFERROR(SUMIFS('TRA balance'!W$5:W$40,'TRA balance'!$C$5:$C$40,Assumptions!$C20,'TRA balance'!$D$5:$D$40,Assumptions!$B20)*DQ20*Z20,"")</f>
        <v/>
      </c>
      <c r="BW20" s="40" t="str">
        <f ca="1">IFERROR(SUMIFS('TRA balance'!X$5:X$40,'TRA balance'!$C$5:$C$40,Assumptions!$C20,'TRA balance'!$D$5:$D$40,Assumptions!$B20)*DR20*AA20,"")</f>
        <v/>
      </c>
      <c r="BX20" s="40" t="str">
        <f ca="1">IFERROR(SUMIFS('TRA balance'!Y$5:Y$40,'TRA balance'!$C$5:$C$40,Assumptions!$C20,'TRA balance'!$D$5:$D$40,Assumptions!$B20)*DS20*AB20,"")</f>
        <v/>
      </c>
      <c r="BY20" s="40" t="str">
        <f ca="1">IFERROR(SUMIFS('TRA balance'!Z$5:Z$40,'TRA balance'!$C$5:$C$40,Assumptions!$C20,'TRA balance'!$D$5:$D$40,Assumptions!$B20)*DT20*AC20,"")</f>
        <v/>
      </c>
      <c r="BZ20" s="40" t="str">
        <f ca="1">IFERROR(SUMIFS('TRA balance'!AA$5:AA$40,'TRA balance'!$C$5:$C$40,Assumptions!$C20,'TRA balance'!$D$5:$D$40,Assumptions!$B20)*DU20*AD20,"")</f>
        <v/>
      </c>
      <c r="CA20" s="40" t="str">
        <f ca="1">IFERROR(SUMIFS('TRA balance'!AB$5:AB$40,'TRA balance'!$C$5:$C$40,Assumptions!$C20,'TRA balance'!$D$5:$D$40,Assumptions!$B20)*DV20*AE20,"")</f>
        <v/>
      </c>
      <c r="CB20" s="40" t="str">
        <f ca="1">IFERROR(SUMIFS('TRA balance'!AC$5:AC$40,'TRA balance'!$C$5:$C$40,Assumptions!$C20,'TRA balance'!$D$5:$D$40,Assumptions!$B20)*DW20*AF20,"")</f>
        <v/>
      </c>
      <c r="CC20" s="40" t="str">
        <f ca="1">IFERROR(SUMIFS('TRA balance'!AD$5:AD$40,'TRA balance'!$C$5:$C$40,Assumptions!$C20,'TRA balance'!$D$5:$D$40,Assumptions!$B20)*DX20*AG20,"")</f>
        <v/>
      </c>
      <c r="CD20" s="40" t="str">
        <f ca="1">IFERROR(SUMIFS('TRA balance'!AE$5:AE$40,'TRA balance'!$C$5:$C$40,Assumptions!$C20,'TRA balance'!$D$5:$D$40,Assumptions!$B20)*DY20*AH20,"")</f>
        <v/>
      </c>
      <c r="CE20" s="40" t="str">
        <f ca="1">IFERROR(SUMIFS('TRA balance'!AF$5:AF$40,'TRA balance'!$C$5:$C$40,Assumptions!$C20,'TRA balance'!$D$5:$D$40,Assumptions!$B20)*DZ20*AI20,"")</f>
        <v/>
      </c>
      <c r="CF20" s="40" t="str">
        <f ca="1">IFERROR(SUMIFS('TRA balance'!AG$5:AG$40,'TRA balance'!$C$5:$C$40,Assumptions!$C20,'TRA balance'!$D$5:$D$40,Assumptions!$B20)*EA20*AJ20,"")</f>
        <v/>
      </c>
      <c r="CG20" s="40" t="str">
        <f ca="1">IFERROR(SUMIFS('TRA balance'!AH$5:AH$40,'TRA balance'!$C$5:$C$40,Assumptions!$C20,'TRA balance'!$D$5:$D$40,Assumptions!$B20)*EB20*AK20,"")</f>
        <v/>
      </c>
      <c r="CH20" s="40" t="str">
        <f ca="1">IFERROR(SUMIFS('TRA balance'!AI$5:AI$40,'TRA balance'!$C$5:$C$40,Assumptions!$C20,'TRA balance'!$D$5:$D$40,Assumptions!$B20)*EC20*AL20,"")</f>
        <v/>
      </c>
      <c r="CI20" s="40" t="str">
        <f ca="1">IFERROR(SUMIFS('TRA balance'!AJ$5:AJ$40,'TRA balance'!$C$5:$C$40,Assumptions!$C20,'TRA balance'!$D$5:$D$40,Assumptions!$B20)*ED20*AM20,"")</f>
        <v/>
      </c>
      <c r="CJ20" s="40" t="str">
        <f ca="1">IFERROR(SUMIFS('TRA balance'!AK$5:AK$40,'TRA balance'!$C$5:$C$40,Assumptions!$C20,'TRA balance'!$D$5:$D$40,Assumptions!$B20)*EE20*AN20,"")</f>
        <v/>
      </c>
      <c r="CK20" s="40" t="str">
        <f ca="1">IFERROR(SUMIFS('TRA balance'!AL$5:AL$40,'TRA balance'!$C$5:$C$40,Assumptions!$C20,'TRA balance'!$D$5:$D$40,Assumptions!$B20)*EF20*AO20,"")</f>
        <v/>
      </c>
      <c r="CL20" s="40" t="str">
        <f ca="1">IFERROR(SUMIFS('TRA balance'!AM$5:AM$40,'TRA balance'!$C$5:$C$40,Assumptions!$C20,'TRA balance'!$D$5:$D$40,Assumptions!$B20)*EG20*AP20,"")</f>
        <v/>
      </c>
      <c r="CM20" s="40" t="str">
        <f ca="1">IFERROR(SUMIFS('TRA balance'!AN$5:AN$40,'TRA balance'!$C$5:$C$40,Assumptions!$C20,'TRA balance'!$D$5:$D$40,Assumptions!$B20)*EH20*AQ20,"")</f>
        <v/>
      </c>
      <c r="CN20" s="40" t="str">
        <f ca="1">IFERROR(SUMIFS('TRA balance'!AO$5:AO$40,'TRA balance'!$C$5:$C$40,Assumptions!$C20,'TRA balance'!$D$5:$D$40,Assumptions!$B20)*EI20*AR20,"")</f>
        <v/>
      </c>
      <c r="CO20" s="40" t="str">
        <f ca="1">IFERROR(SUMIFS('TRA balance'!AP$5:AP$40,'TRA balance'!$C$5:$C$40,Assumptions!$C20,'TRA balance'!$D$5:$D$40,Assumptions!$B20)*EJ20*AS20,"")</f>
        <v/>
      </c>
      <c r="CP20" s="40" t="str">
        <f ca="1">IFERROR(SUMIFS('TRA balance'!AQ$5:AQ$40,'TRA balance'!$C$5:$C$40,Assumptions!$C20,'TRA balance'!$D$5:$D$40,Assumptions!$B20)*EK20*AT20,"")</f>
        <v/>
      </c>
      <c r="CQ20" s="40" t="str">
        <f ca="1">IFERROR(SUMIFS('TRA balance'!AR$5:AR$40,'TRA balance'!$C$5:$C$40,Assumptions!$C20,'TRA balance'!$D$5:$D$40,Assumptions!$B20)*EL20*AU20,"")</f>
        <v/>
      </c>
      <c r="CR20" s="40" t="str">
        <f ca="1">IFERROR(SUMIFS('TRA balance'!AS$5:AS$40,'TRA balance'!$C$5:$C$40,Assumptions!$C20,'TRA balance'!$D$5:$D$40,Assumptions!$B20)*EM20*AV20,"")</f>
        <v/>
      </c>
      <c r="CS20" s="40" t="str">
        <f ca="1">IFERROR(SUMIFS('TRA balance'!AT$5:AT$40,'TRA balance'!$C$5:$C$40,Assumptions!$C20,'TRA balance'!$D$5:$D$40,Assumptions!$B20)*EN20*AW20,"")</f>
        <v/>
      </c>
      <c r="CT20" s="40" t="str">
        <f ca="1">IFERROR(SUMIFS('TRA balance'!AU$5:AU$40,'TRA balance'!$C$5:$C$40,Assumptions!$C20,'TRA balance'!$D$5:$D$40,Assumptions!$B20)*EO20*AX20,"")</f>
        <v/>
      </c>
      <c r="CU20" s="40" t="str">
        <f ca="1">IFERROR(SUMIFS('TRA balance'!AV$5:AV$40,'TRA balance'!$C$5:$C$40,Assumptions!$C20,'TRA balance'!$D$5:$D$40,Assumptions!$B20)*EP20*AY20,"")</f>
        <v/>
      </c>
      <c r="CV20" s="40" t="str">
        <f ca="1">IFERROR(SUMIFS('TRA balance'!AW$5:AW$40,'TRA balance'!$C$5:$C$40,Assumptions!$C20,'TRA balance'!$D$5:$D$40,Assumptions!$B20)*EQ20*AZ20,"")</f>
        <v/>
      </c>
      <c r="CW20" s="40" t="str">
        <f ca="1">IFERROR(SUMIFS('TRA balance'!AX$5:AX$40,'TRA balance'!$C$5:$C$40,Assumptions!$C20,'TRA balance'!$D$5:$D$40,Assumptions!$B20)*ER20*BA20,"")</f>
        <v/>
      </c>
      <c r="CY20" s="39">
        <f ca="1" t="shared" si="2"/>
        <v>1</v>
      </c>
      <c r="CZ20" s="39">
        <f ca="1" t="shared" si="3"/>
        <v>1</v>
      </c>
      <c r="DA20" s="39">
        <f ca="1" t="shared" si="4"/>
        <v>1</v>
      </c>
      <c r="DB20" s="39">
        <f ca="1" t="shared" si="5"/>
        <v>1</v>
      </c>
      <c r="DC20" s="39">
        <f ca="1" t="shared" si="6"/>
        <v>1</v>
      </c>
      <c r="DD20" s="39">
        <f ca="1" t="shared" si="7"/>
        <v>1</v>
      </c>
      <c r="DE20" s="39">
        <f ca="1" t="shared" si="8"/>
        <v>1</v>
      </c>
      <c r="DF20" s="39">
        <f ca="1" t="shared" si="9"/>
        <v>1</v>
      </c>
      <c r="DG20" s="39">
        <f ca="1" t="shared" si="10"/>
        <v>1</v>
      </c>
      <c r="DH20" s="39">
        <f ca="1" t="shared" si="11"/>
        <v>1</v>
      </c>
      <c r="DI20" s="39">
        <f ca="1" t="shared" si="12"/>
        <v>1</v>
      </c>
      <c r="DJ20" s="39">
        <f ca="1" t="shared" si="13"/>
        <v>1</v>
      </c>
      <c r="DK20" s="39">
        <f ca="1" t="shared" si="14"/>
        <v>1</v>
      </c>
      <c r="DL20" s="39">
        <f ca="1" t="shared" si="15"/>
        <v>1</v>
      </c>
      <c r="DM20" s="39">
        <f ca="1" t="shared" si="16"/>
        <v>1</v>
      </c>
      <c r="DN20" s="39">
        <f ca="1" t="shared" si="17"/>
        <v>1</v>
      </c>
      <c r="DO20" s="39">
        <f ca="1" t="shared" si="18"/>
        <v>1</v>
      </c>
      <c r="DP20" s="39">
        <f ca="1" t="shared" si="19"/>
        <v>1</v>
      </c>
      <c r="DQ20" s="39">
        <f ca="1" t="shared" si="20"/>
        <v>1</v>
      </c>
      <c r="DR20" s="39">
        <f ca="1" t="shared" si="21"/>
        <v>1</v>
      </c>
      <c r="DS20" s="39">
        <f ca="1" t="shared" si="22"/>
        <v>1</v>
      </c>
      <c r="DT20" s="39">
        <f ca="1" t="shared" si="23"/>
        <v>1</v>
      </c>
      <c r="DU20" s="39">
        <f ca="1" t="shared" si="24"/>
        <v>1</v>
      </c>
      <c r="DV20" s="39">
        <f ca="1" t="shared" si="25"/>
        <v>1</v>
      </c>
      <c r="DW20" s="39">
        <f ca="1" t="shared" si="26"/>
        <v>1</v>
      </c>
      <c r="DX20" s="39">
        <f ca="1" t="shared" si="27"/>
        <v>1</v>
      </c>
      <c r="DY20" s="39">
        <f ca="1" t="shared" si="28"/>
        <v>1</v>
      </c>
      <c r="DZ20" s="39">
        <f ca="1" t="shared" si="29"/>
        <v>1</v>
      </c>
      <c r="EA20" s="39">
        <f ca="1" t="shared" si="30"/>
        <v>1</v>
      </c>
      <c r="EB20" s="39">
        <f ca="1" t="shared" si="31"/>
        <v>1</v>
      </c>
      <c r="EC20" s="39">
        <f ca="1" t="shared" si="32"/>
        <v>1</v>
      </c>
      <c r="ED20" s="39">
        <f ca="1" t="shared" si="33"/>
        <v>1</v>
      </c>
      <c r="EE20" s="39">
        <f ca="1" t="shared" si="34"/>
        <v>1</v>
      </c>
      <c r="EF20" s="39">
        <f ca="1" t="shared" si="35"/>
        <v>1</v>
      </c>
      <c r="EG20" s="39">
        <f ca="1" t="shared" si="36"/>
        <v>1</v>
      </c>
      <c r="EH20" s="39">
        <f ca="1" t="shared" si="37"/>
        <v>1</v>
      </c>
      <c r="EI20" s="39">
        <f ca="1" t="shared" si="38"/>
        <v>1</v>
      </c>
      <c r="EJ20" s="39">
        <f ca="1" t="shared" si="39"/>
        <v>1</v>
      </c>
      <c r="EK20" s="39">
        <f ca="1" t="shared" si="40"/>
        <v>1</v>
      </c>
      <c r="EL20" s="39">
        <f ca="1" t="shared" si="41"/>
        <v>1</v>
      </c>
      <c r="EM20" s="39">
        <f ca="1" t="shared" si="42"/>
        <v>1</v>
      </c>
      <c r="EN20" s="39">
        <f ca="1" t="shared" si="43"/>
        <v>1</v>
      </c>
      <c r="EO20" s="39">
        <f ca="1" t="shared" si="44"/>
        <v>1</v>
      </c>
      <c r="EP20" s="39">
        <f ca="1" t="shared" si="45"/>
        <v>1</v>
      </c>
      <c r="EQ20" s="39">
        <f ca="1" t="shared" si="46"/>
        <v>1</v>
      </c>
      <c r="ER20" s="39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2">
        <v>1</v>
      </c>
      <c r="D21" s="63" t="s">
        <v>200</v>
      </c>
      <c r="E21" s="63" t="s">
        <v>201</v>
      </c>
      <c r="F21" s="64" t="s">
        <v>67</v>
      </c>
      <c r="G21" s="62"/>
      <c r="H21" s="62">
        <f ca="1">OFFSET(TIAM15_assumptions!$G21,0,MATCH(VLOOKUP(Assumptions!H$2,TIAM15_assumptions!$Y$3:$Z$87,2,FALSE),TIAM15_assumptions!$H$2:$V$2,0))</f>
        <v>1</v>
      </c>
      <c r="I21" s="62">
        <f ca="1">OFFSET(TIAM15_assumptions!$G21,0,MATCH(VLOOKUP(Assumptions!I$2,TIAM15_assumptions!$Y$3:$Z$87,2,FALSE),TIAM15_assumptions!$H$2:$V$2,0))</f>
        <v>1</v>
      </c>
      <c r="J21" s="62">
        <f ca="1">OFFSET(TIAM15_assumptions!$G21,0,MATCH(VLOOKUP(Assumptions!J$2,TIAM15_assumptions!$Y$3:$Z$87,2,FALSE),TIAM15_assumptions!$H$2:$V$2,0))</f>
        <v>0.9</v>
      </c>
      <c r="K21" s="62">
        <f ca="1">OFFSET(TIAM15_assumptions!$G21,0,MATCH(VLOOKUP(Assumptions!K$2,TIAM15_assumptions!$Y$3:$Z$87,2,FALSE),TIAM15_assumptions!$H$2:$V$2,0))</f>
        <v>0.97</v>
      </c>
      <c r="L21" s="62">
        <f ca="1">OFFSET(TIAM15_assumptions!$G21,0,MATCH(VLOOKUP(Assumptions!L$2,TIAM15_assumptions!$Y$3:$Z$87,2,FALSE),TIAM15_assumptions!$H$2:$V$2,0))</f>
        <v>0.7</v>
      </c>
      <c r="M21" s="62">
        <f ca="1">OFFSET(TIAM15_assumptions!$G21,0,MATCH(VLOOKUP(Assumptions!M$2,TIAM15_assumptions!$Y$3:$Z$87,2,FALSE),TIAM15_assumptions!$H$2:$V$2,0))</f>
        <v>0.97</v>
      </c>
      <c r="N21" s="62">
        <f ca="1">OFFSET(TIAM15_assumptions!$G21,0,MATCH(VLOOKUP(Assumptions!N$2,TIAM15_assumptions!$Y$3:$Z$87,2,FALSE),TIAM15_assumptions!$H$2:$V$2,0))</f>
        <v>0.9</v>
      </c>
      <c r="O21" s="62">
        <f ca="1">OFFSET(TIAM15_assumptions!$G21,0,MATCH(VLOOKUP(Assumptions!O$2,TIAM15_assumptions!$Y$3:$Z$87,2,FALSE),TIAM15_assumptions!$H$2:$V$2,0))</f>
        <v>0.9</v>
      </c>
      <c r="P21" s="62">
        <f ca="1">OFFSET(TIAM15_assumptions!$G21,0,MATCH(VLOOKUP(Assumptions!P$2,TIAM15_assumptions!$Y$3:$Z$87,2,FALSE),TIAM15_assumptions!$H$2:$V$2,0))</f>
        <v>0.9</v>
      </c>
      <c r="Q21" s="62">
        <f ca="1">OFFSET(TIAM15_assumptions!$G21,0,MATCH(VLOOKUP(Assumptions!Q$2,TIAM15_assumptions!$Y$3:$Z$87,2,FALSE),TIAM15_assumptions!$H$2:$V$2,0))</f>
        <v>0.9</v>
      </c>
      <c r="R21" s="62">
        <f ca="1">OFFSET(TIAM15_assumptions!$G21,0,MATCH(VLOOKUP(Assumptions!R$2,TIAM15_assumptions!$Y$3:$Z$87,2,FALSE),TIAM15_assumptions!$H$2:$V$2,0))</f>
        <v>0.97</v>
      </c>
      <c r="S21" s="62">
        <f ca="1">OFFSET(TIAM15_assumptions!$G21,0,MATCH(VLOOKUP(Assumptions!S$2,TIAM15_assumptions!$Y$3:$Z$87,2,FALSE),TIAM15_assumptions!$H$2:$V$2,0))</f>
        <v>0.97</v>
      </c>
      <c r="T21" s="62">
        <f ca="1">OFFSET(TIAM15_assumptions!$G21,0,MATCH(VLOOKUP(Assumptions!T$2,TIAM15_assumptions!$Y$3:$Z$87,2,FALSE),TIAM15_assumptions!$H$2:$V$2,0))</f>
        <v>0.97</v>
      </c>
      <c r="U21" s="62">
        <f ca="1">OFFSET(TIAM15_assumptions!$G21,0,MATCH(VLOOKUP(Assumptions!U$2,TIAM15_assumptions!$Y$3:$Z$87,2,FALSE),TIAM15_assumptions!$H$2:$V$2,0))</f>
        <v>0.9</v>
      </c>
      <c r="V21" s="62">
        <f ca="1">OFFSET(TIAM15_assumptions!$G21,0,MATCH(VLOOKUP(Assumptions!V$2,TIAM15_assumptions!$Y$3:$Z$87,2,FALSE),TIAM15_assumptions!$H$2:$V$2,0))</f>
        <v>0.97</v>
      </c>
      <c r="W21" s="62">
        <f ca="1">OFFSET(TIAM15_assumptions!$G21,0,MATCH(VLOOKUP(Assumptions!W$2,TIAM15_assumptions!$Y$3:$Z$87,2,FALSE),TIAM15_assumptions!$H$2:$V$2,0))</f>
        <v>1</v>
      </c>
      <c r="X21" s="62">
        <f ca="1">OFFSET(TIAM15_assumptions!$G21,0,MATCH(VLOOKUP(Assumptions!X$2,TIAM15_assumptions!$Y$3:$Z$87,2,FALSE),TIAM15_assumptions!$H$2:$V$2,0))</f>
        <v>0.97</v>
      </c>
      <c r="Y21" s="62">
        <f ca="1">OFFSET(TIAM15_assumptions!$G21,0,MATCH(VLOOKUP(Assumptions!Y$2,TIAM15_assumptions!$Y$3:$Z$87,2,FALSE),TIAM15_assumptions!$H$2:$V$2,0))</f>
        <v>0.97</v>
      </c>
      <c r="Z21" s="62">
        <f ca="1">OFFSET(TIAM15_assumptions!$G21,0,MATCH(VLOOKUP(Assumptions!Z$2,TIAM15_assumptions!$Y$3:$Z$87,2,FALSE),TIAM15_assumptions!$H$2:$V$2,0))</f>
        <v>0.9</v>
      </c>
      <c r="AA21" s="62">
        <f ca="1">OFFSET(TIAM15_assumptions!$G21,0,MATCH(VLOOKUP(Assumptions!AA$2,TIAM15_assumptions!$Y$3:$Z$87,2,FALSE),TIAM15_assumptions!$H$2:$V$2,0))</f>
        <v>0.9</v>
      </c>
      <c r="AB21" s="62">
        <f ca="1">OFFSET(TIAM15_assumptions!$G21,0,MATCH(VLOOKUP(Assumptions!AB$2,TIAM15_assumptions!$Y$3:$Z$87,2,FALSE),TIAM15_assumptions!$H$2:$V$2,0))</f>
        <v>0.7</v>
      </c>
      <c r="AC21" s="62">
        <f ca="1">OFFSET(TIAM15_assumptions!$G21,0,MATCH(VLOOKUP(Assumptions!AC$2,TIAM15_assumptions!$Y$3:$Z$87,2,FALSE),TIAM15_assumptions!$H$2:$V$2,0))</f>
        <v>0.8</v>
      </c>
      <c r="AD21" s="62">
        <f ca="1">OFFSET(TIAM15_assumptions!$G21,0,MATCH(VLOOKUP(Assumptions!AD$2,TIAM15_assumptions!$Y$3:$Z$87,2,FALSE),TIAM15_assumptions!$H$2:$V$2,0))</f>
        <v>0.97</v>
      </c>
      <c r="AE21" s="62">
        <f ca="1">OFFSET(TIAM15_assumptions!$G21,0,MATCH(VLOOKUP(Assumptions!AE$2,TIAM15_assumptions!$Y$3:$Z$87,2,FALSE),TIAM15_assumptions!$H$2:$V$2,0))</f>
        <v>0.9</v>
      </c>
      <c r="AF21" s="62">
        <f ca="1">OFFSET(TIAM15_assumptions!$G21,0,MATCH(VLOOKUP(Assumptions!AF$2,TIAM15_assumptions!$Y$3:$Z$87,2,FALSE),TIAM15_assumptions!$H$2:$V$2,0))</f>
        <v>1</v>
      </c>
      <c r="AG21" s="62">
        <f ca="1">OFFSET(TIAM15_assumptions!$G21,0,MATCH(VLOOKUP(Assumptions!AG$2,TIAM15_assumptions!$Y$3:$Z$87,2,FALSE),TIAM15_assumptions!$H$2:$V$2,0))</f>
        <v>0.7</v>
      </c>
      <c r="AH21" s="62">
        <f ca="1">OFFSET(TIAM15_assumptions!$G21,0,MATCH(VLOOKUP(Assumptions!AH$2,TIAM15_assumptions!$Y$3:$Z$87,2,FALSE),TIAM15_assumptions!$H$2:$V$2,0))</f>
        <v>0.7</v>
      </c>
      <c r="AI21" s="62">
        <f ca="1">OFFSET(TIAM15_assumptions!$G21,0,MATCH(VLOOKUP(Assumptions!AI$2,TIAM15_assumptions!$Y$3:$Z$87,2,FALSE),TIAM15_assumptions!$H$2:$V$2,0))</f>
        <v>1</v>
      </c>
      <c r="AJ21" s="62">
        <f ca="1">OFFSET(TIAM15_assumptions!$G21,0,MATCH(VLOOKUP(Assumptions!AJ$2,TIAM15_assumptions!$Y$3:$Z$87,2,FALSE),TIAM15_assumptions!$H$2:$V$2,0))</f>
        <v>0.97</v>
      </c>
      <c r="AK21" s="62">
        <f ca="1">OFFSET(TIAM15_assumptions!$G21,0,MATCH(VLOOKUP(Assumptions!AK$2,TIAM15_assumptions!$Y$3:$Z$87,2,FALSE),TIAM15_assumptions!$H$2:$V$2,0))</f>
        <v>0.97</v>
      </c>
      <c r="AL21" s="62">
        <f ca="1">OFFSET(TIAM15_assumptions!$G21,0,MATCH(VLOOKUP(Assumptions!AL$2,TIAM15_assumptions!$Y$3:$Z$87,2,FALSE),TIAM15_assumptions!$H$2:$V$2,0))</f>
        <v>0.97</v>
      </c>
      <c r="AM21" s="62">
        <f ca="1">OFFSET(TIAM15_assumptions!$G21,0,MATCH(VLOOKUP(Assumptions!AM$2,TIAM15_assumptions!$Y$3:$Z$87,2,FALSE),TIAM15_assumptions!$H$2:$V$2,0))</f>
        <v>0.7</v>
      </c>
      <c r="AN21" s="62">
        <f ca="1">OFFSET(TIAM15_assumptions!$G21,0,MATCH(VLOOKUP(Assumptions!AN$2,TIAM15_assumptions!$Y$3:$Z$87,2,FALSE),TIAM15_assumptions!$H$2:$V$2,0))</f>
        <v>0.97</v>
      </c>
      <c r="AO21" s="62">
        <f ca="1">OFFSET(TIAM15_assumptions!$G21,0,MATCH(VLOOKUP(Assumptions!AO$2,TIAM15_assumptions!$Y$3:$Z$87,2,FALSE),TIAM15_assumptions!$H$2:$V$2,0))</f>
        <v>0.7</v>
      </c>
      <c r="AP21" s="62">
        <f ca="1">OFFSET(TIAM15_assumptions!$G21,0,MATCH(VLOOKUP(Assumptions!AP$2,TIAM15_assumptions!$Y$3:$Z$87,2,FALSE),TIAM15_assumptions!$H$2:$V$2,0))</f>
        <v>0.9</v>
      </c>
      <c r="AQ21" s="62">
        <f ca="1">OFFSET(TIAM15_assumptions!$G21,0,MATCH(VLOOKUP(Assumptions!AQ$2,TIAM15_assumptions!$Y$3:$Z$87,2,FALSE),TIAM15_assumptions!$H$2:$V$2,0))</f>
        <v>0.8</v>
      </c>
      <c r="AR21" s="62">
        <f ca="1">OFFSET(TIAM15_assumptions!$G21,0,MATCH(VLOOKUP(Assumptions!AR$2,TIAM15_assumptions!$Y$3:$Z$87,2,FALSE),TIAM15_assumptions!$H$2:$V$2,0))</f>
        <v>0.8</v>
      </c>
      <c r="AS21" s="62">
        <f ca="1">OFFSET(TIAM15_assumptions!$G21,0,MATCH(VLOOKUP(Assumptions!AS$2,TIAM15_assumptions!$Y$3:$Z$87,2,FALSE),TIAM15_assumptions!$H$2:$V$2,0))</f>
        <v>0.8</v>
      </c>
      <c r="AT21" s="62">
        <f ca="1">OFFSET(TIAM15_assumptions!$G21,0,MATCH(VLOOKUP(Assumptions!AT$2,TIAM15_assumptions!$Y$3:$Z$87,2,FALSE),TIAM15_assumptions!$H$2:$V$2,0))</f>
        <v>0.8</v>
      </c>
      <c r="AU21" s="62">
        <f ca="1">OFFSET(TIAM15_assumptions!$G21,0,MATCH(VLOOKUP(Assumptions!AU$2,TIAM15_assumptions!$Y$3:$Z$87,2,FALSE),TIAM15_assumptions!$H$2:$V$2,0))</f>
        <v>0.8</v>
      </c>
      <c r="AV21" s="62">
        <f ca="1">OFFSET(TIAM15_assumptions!$G21,0,MATCH(VLOOKUP(Assumptions!AV$2,TIAM15_assumptions!$Y$3:$Z$87,2,FALSE),TIAM15_assumptions!$H$2:$V$2,0))</f>
        <v>0.8</v>
      </c>
      <c r="AW21" s="62">
        <f ca="1">OFFSET(TIAM15_assumptions!$G21,0,MATCH(VLOOKUP(Assumptions!AW$2,TIAM15_assumptions!$Y$3:$Z$87,2,FALSE),TIAM15_assumptions!$H$2:$V$2,0))</f>
        <v>0.8</v>
      </c>
      <c r="AX21" s="62">
        <f ca="1">OFFSET(TIAM15_assumptions!$G21,0,MATCH(VLOOKUP(Assumptions!AX$2,TIAM15_assumptions!$Y$3:$Z$87,2,FALSE),TIAM15_assumptions!$H$2:$V$2,0))</f>
        <v>0.8</v>
      </c>
      <c r="AY21" s="62">
        <f ca="1">OFFSET(TIAM15_assumptions!$G21,0,MATCH(VLOOKUP(Assumptions!AY$2,TIAM15_assumptions!$Y$3:$Z$87,2,FALSE),TIAM15_assumptions!$H$2:$V$2,0))</f>
        <v>0.8</v>
      </c>
      <c r="AZ21" s="62">
        <f ca="1">OFFSET(TIAM15_assumptions!$G21,0,MATCH(VLOOKUP(Assumptions!AZ$2,TIAM15_assumptions!$Y$3:$Z$87,2,FALSE),TIAM15_assumptions!$H$2:$V$2,0))</f>
        <v>0.8</v>
      </c>
      <c r="BA21" s="62">
        <f ca="1">OFFSET(TIAM15_assumptions!$G21,0,MATCH(VLOOKUP(Assumptions!BA$2,TIAM15_assumptions!$Y$3:$Z$87,2,FALSE),TIAM15_assumptions!$H$2:$V$2,0))</f>
        <v>0.8</v>
      </c>
      <c r="BD21" s="40">
        <f ca="1">IFERROR(SUMIFS('TRA balance'!E$5:E$40,'TRA balance'!$C$5:$C$40,Assumptions!$C21,'TRA balance'!$D$5:$D$40,Assumptions!$B21)*CY21*H21,"")</f>
        <v>0</v>
      </c>
      <c r="BE21" s="40">
        <f ca="1">IFERROR(SUMIFS('TRA balance'!F$5:F$40,'TRA balance'!$C$5:$C$40,Assumptions!$C21,'TRA balance'!$D$5:$D$40,Assumptions!$B21)*CZ21*I21,"")</f>
        <v>0</v>
      </c>
      <c r="BF21" s="40">
        <f ca="1">IFERROR(SUMIFS('TRA balance'!G$5:G$40,'TRA balance'!$C$5:$C$40,Assumptions!$C21,'TRA balance'!$D$5:$D$40,Assumptions!$B21)*DA21*J21,"")</f>
        <v>0</v>
      </c>
      <c r="BG21" s="40">
        <f ca="1">IFERROR(SUMIFS('TRA balance'!H$5:H$40,'TRA balance'!$C$5:$C$40,Assumptions!$C21,'TRA balance'!$D$5:$D$40,Assumptions!$B21)*DB21*K21,"")</f>
        <v>0</v>
      </c>
      <c r="BH21" s="40">
        <f ca="1">IFERROR(SUMIFS('TRA balance'!I$5:I$40,'TRA balance'!$C$5:$C$40,Assumptions!$C21,'TRA balance'!$D$5:$D$40,Assumptions!$B21)*DC21*L21,"")</f>
        <v>0</v>
      </c>
      <c r="BI21" s="40">
        <f ca="1">IFERROR(SUMIFS('TRA balance'!J$5:J$40,'TRA balance'!$C$5:$C$40,Assumptions!$C21,'TRA balance'!$D$5:$D$40,Assumptions!$B21)*DD21*M21,"")</f>
        <v>0</v>
      </c>
      <c r="BJ21" s="40">
        <f ca="1">IFERROR(SUMIFS('TRA balance'!K$5:K$40,'TRA balance'!$C$5:$C$40,Assumptions!$C21,'TRA balance'!$D$5:$D$40,Assumptions!$B21)*DE21*N21,"")</f>
        <v>0</v>
      </c>
      <c r="BK21" s="40">
        <f ca="1">IFERROR(SUMIFS('TRA balance'!L$5:L$40,'TRA balance'!$C$5:$C$40,Assumptions!$C21,'TRA balance'!$D$5:$D$40,Assumptions!$B21)*DF21*O21,"")</f>
        <v>0</v>
      </c>
      <c r="BL21" s="40">
        <f ca="1">IFERROR(SUMIFS('TRA balance'!M$5:M$40,'TRA balance'!$C$5:$C$40,Assumptions!$C21,'TRA balance'!$D$5:$D$40,Assumptions!$B21)*DG21*P21,"")</f>
        <v>0</v>
      </c>
      <c r="BM21" s="40">
        <f ca="1">IFERROR(SUMIFS('TRA balance'!N$5:N$40,'TRA balance'!$C$5:$C$40,Assumptions!$C21,'TRA balance'!$D$5:$D$40,Assumptions!$B21)*DH21*Q21,"")</f>
        <v>0</v>
      </c>
      <c r="BN21" s="40">
        <f ca="1">IFERROR(SUMIFS('TRA balance'!O$5:O$40,'TRA balance'!$C$5:$C$40,Assumptions!$C21,'TRA balance'!$D$5:$D$40,Assumptions!$B21)*DI21*R21,"")</f>
        <v>0</v>
      </c>
      <c r="BO21" s="40">
        <f ca="1">IFERROR(SUMIFS('TRA balance'!P$5:P$40,'TRA balance'!$C$5:$C$40,Assumptions!$C21,'TRA balance'!$D$5:$D$40,Assumptions!$B21)*DJ21*S21,"")</f>
        <v>0</v>
      </c>
      <c r="BP21" s="40">
        <f ca="1">IFERROR(SUMIFS('TRA balance'!Q$5:Q$40,'TRA balance'!$C$5:$C$40,Assumptions!$C21,'TRA balance'!$D$5:$D$40,Assumptions!$B21)*DK21*T21,"")</f>
        <v>0</v>
      </c>
      <c r="BQ21" s="40">
        <f ca="1">IFERROR(SUMIFS('TRA balance'!R$5:R$40,'TRA balance'!$C$5:$C$40,Assumptions!$C21,'TRA balance'!$D$5:$D$40,Assumptions!$B21)*DL21*U21,"")</f>
        <v>0</v>
      </c>
      <c r="BR21" s="40">
        <f ca="1">IFERROR(SUMIFS('TRA balance'!S$5:S$40,'TRA balance'!$C$5:$C$40,Assumptions!$C21,'TRA balance'!$D$5:$D$40,Assumptions!$B21)*DM21*V21,"")</f>
        <v>0</v>
      </c>
      <c r="BS21" s="40">
        <f ca="1">IFERROR(SUMIFS('TRA balance'!T$5:T$40,'TRA balance'!$C$5:$C$40,Assumptions!$C21,'TRA balance'!$D$5:$D$40,Assumptions!$B21)*DN21*W21,"")</f>
        <v>0</v>
      </c>
      <c r="BT21" s="40">
        <f ca="1">IFERROR(SUMIFS('TRA balance'!U$5:U$40,'TRA balance'!$C$5:$C$40,Assumptions!$C21,'TRA balance'!$D$5:$D$40,Assumptions!$B21)*DO21*X21,"")</f>
        <v>0</v>
      </c>
      <c r="BU21" s="40">
        <f ca="1">IFERROR(SUMIFS('TRA balance'!V$5:V$40,'TRA balance'!$C$5:$C$40,Assumptions!$C21,'TRA balance'!$D$5:$D$40,Assumptions!$B21)*DP21*Y21,"")</f>
        <v>0</v>
      </c>
      <c r="BV21" s="40">
        <f ca="1">IFERROR(SUMIFS('TRA balance'!W$5:W$40,'TRA balance'!$C$5:$C$40,Assumptions!$C21,'TRA balance'!$D$5:$D$40,Assumptions!$B21)*DQ21*Z21,"")</f>
        <v>0</v>
      </c>
      <c r="BW21" s="40">
        <f ca="1">IFERROR(SUMIFS('TRA balance'!X$5:X$40,'TRA balance'!$C$5:$C$40,Assumptions!$C21,'TRA balance'!$D$5:$D$40,Assumptions!$B21)*DR21*AA21,"")</f>
        <v>0</v>
      </c>
      <c r="BX21" s="40">
        <f ca="1">IFERROR(SUMIFS('TRA balance'!Y$5:Y$40,'TRA balance'!$C$5:$C$40,Assumptions!$C21,'TRA balance'!$D$5:$D$40,Assumptions!$B21)*DS21*AB21,"")</f>
        <v>0</v>
      </c>
      <c r="BY21" s="40">
        <f ca="1">IFERROR(SUMIFS('TRA balance'!Z$5:Z$40,'TRA balance'!$C$5:$C$40,Assumptions!$C21,'TRA balance'!$D$5:$D$40,Assumptions!$B21)*DT21*AC21,"")</f>
        <v>0</v>
      </c>
      <c r="BZ21" s="40">
        <f ca="1">IFERROR(SUMIFS('TRA balance'!AA$5:AA$40,'TRA balance'!$C$5:$C$40,Assumptions!$C21,'TRA balance'!$D$5:$D$40,Assumptions!$B21)*DU21*AD21,"")</f>
        <v>0</v>
      </c>
      <c r="CA21" s="40">
        <f ca="1">IFERROR(SUMIFS('TRA balance'!AB$5:AB$40,'TRA balance'!$C$5:$C$40,Assumptions!$C21,'TRA balance'!$D$5:$D$40,Assumptions!$B21)*DV21*AE21,"")</f>
        <v>0</v>
      </c>
      <c r="CB21" s="40">
        <f ca="1">IFERROR(SUMIFS('TRA balance'!AC$5:AC$40,'TRA balance'!$C$5:$C$40,Assumptions!$C21,'TRA balance'!$D$5:$D$40,Assumptions!$B21)*DW21*AF21,"")</f>
        <v>0</v>
      </c>
      <c r="CC21" s="40">
        <f ca="1">IFERROR(SUMIFS('TRA balance'!AD$5:AD$40,'TRA balance'!$C$5:$C$40,Assumptions!$C21,'TRA balance'!$D$5:$D$40,Assumptions!$B21)*DX21*AG21,"")</f>
        <v>0</v>
      </c>
      <c r="CD21" s="40">
        <f ca="1">IFERROR(SUMIFS('TRA balance'!AE$5:AE$40,'TRA balance'!$C$5:$C$40,Assumptions!$C21,'TRA balance'!$D$5:$D$40,Assumptions!$B21)*DY21*AH21,"")</f>
        <v>0</v>
      </c>
      <c r="CE21" s="40">
        <f ca="1">IFERROR(SUMIFS('TRA balance'!AF$5:AF$40,'TRA balance'!$C$5:$C$40,Assumptions!$C21,'TRA balance'!$D$5:$D$40,Assumptions!$B21)*DZ21*AI21,"")</f>
        <v>0</v>
      </c>
      <c r="CF21" s="40">
        <f ca="1">IFERROR(SUMIFS('TRA balance'!AG$5:AG$40,'TRA balance'!$C$5:$C$40,Assumptions!$C21,'TRA balance'!$D$5:$D$40,Assumptions!$B21)*EA21*AJ21,"")</f>
        <v>0</v>
      </c>
      <c r="CG21" s="40">
        <f ca="1">IFERROR(SUMIFS('TRA balance'!AH$5:AH$40,'TRA balance'!$C$5:$C$40,Assumptions!$C21,'TRA balance'!$D$5:$D$40,Assumptions!$B21)*EB21*AK21,"")</f>
        <v>0</v>
      </c>
      <c r="CH21" s="40">
        <f ca="1">IFERROR(SUMIFS('TRA balance'!AI$5:AI$40,'TRA balance'!$C$5:$C$40,Assumptions!$C21,'TRA balance'!$D$5:$D$40,Assumptions!$B21)*EC21*AL21,"")</f>
        <v>0</v>
      </c>
      <c r="CI21" s="40">
        <f ca="1">IFERROR(SUMIFS('TRA balance'!AJ$5:AJ$40,'TRA balance'!$C$5:$C$40,Assumptions!$C21,'TRA balance'!$D$5:$D$40,Assumptions!$B21)*ED21*AM21,"")</f>
        <v>0</v>
      </c>
      <c r="CJ21" s="40">
        <f ca="1">IFERROR(SUMIFS('TRA balance'!AK$5:AK$40,'TRA balance'!$C$5:$C$40,Assumptions!$C21,'TRA balance'!$D$5:$D$40,Assumptions!$B21)*EE21*AN21,"")</f>
        <v>0</v>
      </c>
      <c r="CK21" s="40">
        <f ca="1">IFERROR(SUMIFS('TRA balance'!AL$5:AL$40,'TRA balance'!$C$5:$C$40,Assumptions!$C21,'TRA balance'!$D$5:$D$40,Assumptions!$B21)*EF21*AO21,"")</f>
        <v>0</v>
      </c>
      <c r="CL21" s="40">
        <f ca="1">IFERROR(SUMIFS('TRA balance'!AM$5:AM$40,'TRA balance'!$C$5:$C$40,Assumptions!$C21,'TRA balance'!$D$5:$D$40,Assumptions!$B21)*EG21*AP21,"")</f>
        <v>0</v>
      </c>
      <c r="CM21" s="40">
        <f ca="1">IFERROR(SUMIFS('TRA balance'!AN$5:AN$40,'TRA balance'!$C$5:$C$40,Assumptions!$C21,'TRA balance'!$D$5:$D$40,Assumptions!$B21)*EH21*AQ21,"")</f>
        <v>0</v>
      </c>
      <c r="CN21" s="40">
        <f ca="1">IFERROR(SUMIFS('TRA balance'!AO$5:AO$40,'TRA balance'!$C$5:$C$40,Assumptions!$C21,'TRA balance'!$D$5:$D$40,Assumptions!$B21)*EI21*AR21,"")</f>
        <v>0</v>
      </c>
      <c r="CO21" s="40">
        <f ca="1">IFERROR(SUMIFS('TRA balance'!AP$5:AP$40,'TRA balance'!$C$5:$C$40,Assumptions!$C21,'TRA balance'!$D$5:$D$40,Assumptions!$B21)*EJ21*AS21,"")</f>
        <v>0</v>
      </c>
      <c r="CP21" s="40">
        <f ca="1">IFERROR(SUMIFS('TRA balance'!AQ$5:AQ$40,'TRA balance'!$C$5:$C$40,Assumptions!$C21,'TRA balance'!$D$5:$D$40,Assumptions!$B21)*EK21*AT21,"")</f>
        <v>0</v>
      </c>
      <c r="CQ21" s="40">
        <f ca="1">IFERROR(SUMIFS('TRA balance'!AR$5:AR$40,'TRA balance'!$C$5:$C$40,Assumptions!$C21,'TRA balance'!$D$5:$D$40,Assumptions!$B21)*EL21*AU21,"")</f>
        <v>0</v>
      </c>
      <c r="CR21" s="40">
        <f ca="1">IFERROR(SUMIFS('TRA balance'!AS$5:AS$40,'TRA balance'!$C$5:$C$40,Assumptions!$C21,'TRA balance'!$D$5:$D$40,Assumptions!$B21)*EM21*AV21,"")</f>
        <v>0</v>
      </c>
      <c r="CS21" s="40">
        <f ca="1">IFERROR(SUMIFS('TRA balance'!AT$5:AT$40,'TRA balance'!$C$5:$C$40,Assumptions!$C21,'TRA balance'!$D$5:$D$40,Assumptions!$B21)*EN21*AW21,"")</f>
        <v>0</v>
      </c>
      <c r="CT21" s="40">
        <f ca="1">IFERROR(SUMIFS('TRA balance'!AU$5:AU$40,'TRA balance'!$C$5:$C$40,Assumptions!$C21,'TRA balance'!$D$5:$D$40,Assumptions!$B21)*EO21*AX21,"")</f>
        <v>0</v>
      </c>
      <c r="CU21" s="40">
        <f ca="1">IFERROR(SUMIFS('TRA balance'!AV$5:AV$40,'TRA balance'!$C$5:$C$40,Assumptions!$C21,'TRA balance'!$D$5:$D$40,Assumptions!$B21)*EP21*AY21,"")</f>
        <v>0</v>
      </c>
      <c r="CV21" s="40">
        <f ca="1">IFERROR(SUMIFS('TRA balance'!AW$5:AW$40,'TRA balance'!$C$5:$C$40,Assumptions!$C21,'TRA balance'!$D$5:$D$40,Assumptions!$B21)*EQ21*AZ21,"")</f>
        <v>0</v>
      </c>
      <c r="CW21" s="40">
        <f ca="1">IFERROR(SUMIFS('TRA balance'!AX$5:AX$40,'TRA balance'!$C$5:$C$40,Assumptions!$C21,'TRA balance'!$D$5:$D$40,Assumptions!$B21)*ER21*BA21,"")</f>
        <v>0</v>
      </c>
      <c r="CY21" s="39">
        <f ca="1" t="shared" si="2"/>
        <v>1</v>
      </c>
      <c r="CZ21" s="39">
        <f ca="1" t="shared" si="3"/>
        <v>1</v>
      </c>
      <c r="DA21" s="39">
        <f ca="1" t="shared" si="4"/>
        <v>1</v>
      </c>
      <c r="DB21" s="39">
        <f ca="1" t="shared" si="5"/>
        <v>1</v>
      </c>
      <c r="DC21" s="39">
        <f ca="1" t="shared" si="6"/>
        <v>1</v>
      </c>
      <c r="DD21" s="39">
        <f ca="1" t="shared" si="7"/>
        <v>1</v>
      </c>
      <c r="DE21" s="39">
        <f ca="1" t="shared" si="8"/>
        <v>1</v>
      </c>
      <c r="DF21" s="39">
        <f ca="1" t="shared" si="9"/>
        <v>1</v>
      </c>
      <c r="DG21" s="39">
        <f ca="1" t="shared" si="10"/>
        <v>1</v>
      </c>
      <c r="DH21" s="39">
        <f ca="1" t="shared" si="11"/>
        <v>1</v>
      </c>
      <c r="DI21" s="39">
        <f ca="1" t="shared" si="12"/>
        <v>1</v>
      </c>
      <c r="DJ21" s="39">
        <f ca="1" t="shared" si="13"/>
        <v>1</v>
      </c>
      <c r="DK21" s="39">
        <f ca="1" t="shared" si="14"/>
        <v>1</v>
      </c>
      <c r="DL21" s="39">
        <f ca="1" t="shared" si="15"/>
        <v>1</v>
      </c>
      <c r="DM21" s="39">
        <f ca="1" t="shared" si="16"/>
        <v>1</v>
      </c>
      <c r="DN21" s="39">
        <f ca="1" t="shared" si="17"/>
        <v>1</v>
      </c>
      <c r="DO21" s="39">
        <f ca="1" t="shared" si="18"/>
        <v>1</v>
      </c>
      <c r="DP21" s="39">
        <f ca="1" t="shared" si="19"/>
        <v>1</v>
      </c>
      <c r="DQ21" s="39">
        <f ca="1" t="shared" si="20"/>
        <v>1</v>
      </c>
      <c r="DR21" s="39">
        <f ca="1" t="shared" si="21"/>
        <v>1</v>
      </c>
      <c r="DS21" s="39">
        <f ca="1" t="shared" si="22"/>
        <v>1</v>
      </c>
      <c r="DT21" s="39">
        <f ca="1" t="shared" si="23"/>
        <v>1</v>
      </c>
      <c r="DU21" s="39">
        <f ca="1" t="shared" si="24"/>
        <v>1</v>
      </c>
      <c r="DV21" s="39">
        <f ca="1" t="shared" si="25"/>
        <v>1</v>
      </c>
      <c r="DW21" s="39">
        <f ca="1" t="shared" si="26"/>
        <v>1</v>
      </c>
      <c r="DX21" s="39">
        <f ca="1" t="shared" si="27"/>
        <v>1</v>
      </c>
      <c r="DY21" s="39">
        <f ca="1" t="shared" si="28"/>
        <v>1</v>
      </c>
      <c r="DZ21" s="39">
        <f ca="1" t="shared" si="29"/>
        <v>1</v>
      </c>
      <c r="EA21" s="39">
        <f ca="1" t="shared" si="30"/>
        <v>1</v>
      </c>
      <c r="EB21" s="39">
        <f ca="1" t="shared" si="31"/>
        <v>1</v>
      </c>
      <c r="EC21" s="39">
        <f ca="1" t="shared" si="32"/>
        <v>1</v>
      </c>
      <c r="ED21" s="39">
        <f ca="1" t="shared" si="33"/>
        <v>1</v>
      </c>
      <c r="EE21" s="39">
        <f ca="1" t="shared" si="34"/>
        <v>1</v>
      </c>
      <c r="EF21" s="39">
        <f ca="1" t="shared" si="35"/>
        <v>1</v>
      </c>
      <c r="EG21" s="39">
        <f ca="1" t="shared" si="36"/>
        <v>1</v>
      </c>
      <c r="EH21" s="39">
        <f ca="1" t="shared" si="37"/>
        <v>1</v>
      </c>
      <c r="EI21" s="39">
        <f ca="1" t="shared" si="38"/>
        <v>1</v>
      </c>
      <c r="EJ21" s="39">
        <f ca="1" t="shared" si="39"/>
        <v>1</v>
      </c>
      <c r="EK21" s="39">
        <f ca="1" t="shared" si="40"/>
        <v>1</v>
      </c>
      <c r="EL21" s="39">
        <f ca="1" t="shared" si="41"/>
        <v>1</v>
      </c>
      <c r="EM21" s="39">
        <f ca="1" t="shared" si="42"/>
        <v>1</v>
      </c>
      <c r="EN21" s="39">
        <f ca="1" t="shared" si="43"/>
        <v>1</v>
      </c>
      <c r="EO21" s="39">
        <f ca="1" t="shared" si="44"/>
        <v>1</v>
      </c>
      <c r="EP21" s="39">
        <f ca="1" t="shared" si="45"/>
        <v>1</v>
      </c>
      <c r="EQ21" s="39">
        <f ca="1" t="shared" si="46"/>
        <v>1</v>
      </c>
      <c r="ER21" s="39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4" t="str">
        <f t="shared" si="48"/>
        <v>TR</v>
      </c>
      <c r="D22" s="55" t="s">
        <v>200</v>
      </c>
      <c r="E22" s="66" t="s">
        <v>202</v>
      </c>
      <c r="F22" s="56" t="str">
        <f>F21</f>
        <v>Gasoline</v>
      </c>
      <c r="G22" s="54" t="s">
        <v>203</v>
      </c>
      <c r="H22" s="57">
        <f ca="1">OFFSET(TIAM15_assumptions!$G22,0,MATCH(VLOOKUP(Assumptions!H$2,TIAM15_assumptions!$Y$3:$Z$87,2,FALSE),TIAM15_assumptions!$H$2:$V$2,0))</f>
        <v>0.45</v>
      </c>
      <c r="I22" s="57">
        <f ca="1">OFFSET(TIAM15_assumptions!$G22,0,MATCH(VLOOKUP(Assumptions!I$2,TIAM15_assumptions!$Y$3:$Z$87,2,FALSE),TIAM15_assumptions!$H$2:$V$2,0))</f>
        <v>0.45</v>
      </c>
      <c r="J22" s="57">
        <f ca="1">OFFSET(TIAM15_assumptions!$G22,0,MATCH(VLOOKUP(Assumptions!J$2,TIAM15_assumptions!$Y$3:$Z$87,2,FALSE),TIAM15_assumptions!$H$2:$V$2,0))</f>
        <v>0.69</v>
      </c>
      <c r="K22" s="57">
        <f ca="1">OFFSET(TIAM15_assumptions!$G22,0,MATCH(VLOOKUP(Assumptions!K$2,TIAM15_assumptions!$Y$3:$Z$87,2,FALSE),TIAM15_assumptions!$H$2:$V$2,0))</f>
        <v>0.64</v>
      </c>
      <c r="L22" s="57">
        <f ca="1">OFFSET(TIAM15_assumptions!$G22,0,MATCH(VLOOKUP(Assumptions!L$2,TIAM15_assumptions!$Y$3:$Z$87,2,FALSE),TIAM15_assumptions!$H$2:$V$2,0))</f>
        <v>0.65</v>
      </c>
      <c r="M22" s="57">
        <f ca="1">OFFSET(TIAM15_assumptions!$G22,0,MATCH(VLOOKUP(Assumptions!M$2,TIAM15_assumptions!$Y$3:$Z$87,2,FALSE),TIAM15_assumptions!$H$2:$V$2,0))</f>
        <v>0.64</v>
      </c>
      <c r="N22" s="57">
        <f ca="1">OFFSET(TIAM15_assumptions!$G22,0,MATCH(VLOOKUP(Assumptions!N$2,TIAM15_assumptions!$Y$3:$Z$87,2,FALSE),TIAM15_assumptions!$H$2:$V$2,0))</f>
        <v>0.67</v>
      </c>
      <c r="O22" s="57">
        <f ca="1">OFFSET(TIAM15_assumptions!$G22,0,MATCH(VLOOKUP(Assumptions!O$2,TIAM15_assumptions!$Y$3:$Z$87,2,FALSE),TIAM15_assumptions!$H$2:$V$2,0))</f>
        <v>0.65</v>
      </c>
      <c r="P22" s="57">
        <f ca="1">OFFSET(TIAM15_assumptions!$G22,0,MATCH(VLOOKUP(Assumptions!P$2,TIAM15_assumptions!$Y$3:$Z$87,2,FALSE),TIAM15_assumptions!$H$2:$V$2,0))</f>
        <v>0.65</v>
      </c>
      <c r="Q22" s="57">
        <f ca="1">OFFSET(TIAM15_assumptions!$G22,0,MATCH(VLOOKUP(Assumptions!Q$2,TIAM15_assumptions!$Y$3:$Z$87,2,FALSE),TIAM15_assumptions!$H$2:$V$2,0))</f>
        <v>0.65</v>
      </c>
      <c r="R22" s="57">
        <f ca="1">OFFSET(TIAM15_assumptions!$G22,0,MATCH(VLOOKUP(Assumptions!R$2,TIAM15_assumptions!$Y$3:$Z$87,2,FALSE),TIAM15_assumptions!$H$2:$V$2,0))</f>
        <v>0.64</v>
      </c>
      <c r="S22" s="57">
        <f ca="1">OFFSET(TIAM15_assumptions!$G22,0,MATCH(VLOOKUP(Assumptions!S$2,TIAM15_assumptions!$Y$3:$Z$87,2,FALSE),TIAM15_assumptions!$H$2:$V$2,0))</f>
        <v>0.64</v>
      </c>
      <c r="T22" s="57">
        <f ca="1">OFFSET(TIAM15_assumptions!$G22,0,MATCH(VLOOKUP(Assumptions!T$2,TIAM15_assumptions!$Y$3:$Z$87,2,FALSE),TIAM15_assumptions!$H$2:$V$2,0))</f>
        <v>0.64</v>
      </c>
      <c r="U22" s="57">
        <f ca="1">OFFSET(TIAM15_assumptions!$G22,0,MATCH(VLOOKUP(Assumptions!U$2,TIAM15_assumptions!$Y$3:$Z$87,2,FALSE),TIAM15_assumptions!$H$2:$V$2,0))</f>
        <v>0.65</v>
      </c>
      <c r="V22" s="57">
        <f ca="1">OFFSET(TIAM15_assumptions!$G22,0,MATCH(VLOOKUP(Assumptions!V$2,TIAM15_assumptions!$Y$3:$Z$87,2,FALSE),TIAM15_assumptions!$H$2:$V$2,0))</f>
        <v>0.64</v>
      </c>
      <c r="W22" s="57">
        <f ca="1">OFFSET(TIAM15_assumptions!$G22,0,MATCH(VLOOKUP(Assumptions!W$2,TIAM15_assumptions!$Y$3:$Z$87,2,FALSE),TIAM15_assumptions!$H$2:$V$2,0))</f>
        <v>0.45</v>
      </c>
      <c r="X22" s="57">
        <f ca="1">OFFSET(TIAM15_assumptions!$G22,0,MATCH(VLOOKUP(Assumptions!X$2,TIAM15_assumptions!$Y$3:$Z$87,2,FALSE),TIAM15_assumptions!$H$2:$V$2,0))</f>
        <v>0.64</v>
      </c>
      <c r="Y22" s="57">
        <f ca="1">OFFSET(TIAM15_assumptions!$G22,0,MATCH(VLOOKUP(Assumptions!Y$2,TIAM15_assumptions!$Y$3:$Z$87,2,FALSE),TIAM15_assumptions!$H$2:$V$2,0))</f>
        <v>0.64</v>
      </c>
      <c r="Z22" s="57">
        <f ca="1">OFFSET(TIAM15_assumptions!$G22,0,MATCH(VLOOKUP(Assumptions!Z$2,TIAM15_assumptions!$Y$3:$Z$87,2,FALSE),TIAM15_assumptions!$H$2:$V$2,0))</f>
        <v>0.7</v>
      </c>
      <c r="AA22" s="57">
        <f ca="1">OFFSET(TIAM15_assumptions!$G22,0,MATCH(VLOOKUP(Assumptions!AA$2,TIAM15_assumptions!$Y$3:$Z$87,2,FALSE),TIAM15_assumptions!$H$2:$V$2,0))</f>
        <v>0.67</v>
      </c>
      <c r="AB22" s="57">
        <f ca="1">OFFSET(TIAM15_assumptions!$G22,0,MATCH(VLOOKUP(Assumptions!AB$2,TIAM15_assumptions!$Y$3:$Z$87,2,FALSE),TIAM15_assumptions!$H$2:$V$2,0))</f>
        <v>0.55</v>
      </c>
      <c r="AC22" s="57">
        <f ca="1">OFFSET(TIAM15_assumptions!$G22,0,MATCH(VLOOKUP(Assumptions!AC$2,TIAM15_assumptions!$Y$3:$Z$87,2,FALSE),TIAM15_assumptions!$H$2:$V$2,0))</f>
        <v>0.583</v>
      </c>
      <c r="AD22" s="57">
        <f ca="1">OFFSET(TIAM15_assumptions!$G22,0,MATCH(VLOOKUP(Assumptions!AD$2,TIAM15_assumptions!$Y$3:$Z$87,2,FALSE),TIAM15_assumptions!$H$2:$V$2,0))</f>
        <v>0.64</v>
      </c>
      <c r="AE22" s="57">
        <f ca="1">OFFSET(TIAM15_assumptions!$G22,0,MATCH(VLOOKUP(Assumptions!AE$2,TIAM15_assumptions!$Y$3:$Z$87,2,FALSE),TIAM15_assumptions!$H$2:$V$2,0))</f>
        <v>0.65</v>
      </c>
      <c r="AF22" s="57">
        <f ca="1">OFFSET(TIAM15_assumptions!$G22,0,MATCH(VLOOKUP(Assumptions!AF$2,TIAM15_assumptions!$Y$3:$Z$87,2,FALSE),TIAM15_assumptions!$H$2:$V$2,0))</f>
        <v>0.45</v>
      </c>
      <c r="AG22" s="57">
        <f ca="1">OFFSET(TIAM15_assumptions!$G22,0,MATCH(VLOOKUP(Assumptions!AG$2,TIAM15_assumptions!$Y$3:$Z$87,2,FALSE),TIAM15_assumptions!$H$2:$V$2,0))</f>
        <v>0.65</v>
      </c>
      <c r="AH22" s="57">
        <f ca="1">OFFSET(TIAM15_assumptions!$G22,0,MATCH(VLOOKUP(Assumptions!AH$2,TIAM15_assumptions!$Y$3:$Z$87,2,FALSE),TIAM15_assumptions!$H$2:$V$2,0))</f>
        <v>0.55</v>
      </c>
      <c r="AI22" s="57">
        <f ca="1">OFFSET(TIAM15_assumptions!$G22,0,MATCH(VLOOKUP(Assumptions!AI$2,TIAM15_assumptions!$Y$3:$Z$87,2,FALSE),TIAM15_assumptions!$H$2:$V$2,0))</f>
        <v>0.45</v>
      </c>
      <c r="AJ22" s="57">
        <f ca="1">OFFSET(TIAM15_assumptions!$G22,0,MATCH(VLOOKUP(Assumptions!AJ$2,TIAM15_assumptions!$Y$3:$Z$87,2,FALSE),TIAM15_assumptions!$H$2:$V$2,0))</f>
        <v>0.64</v>
      </c>
      <c r="AK22" s="57">
        <f ca="1">OFFSET(TIAM15_assumptions!$G22,0,MATCH(VLOOKUP(Assumptions!AK$2,TIAM15_assumptions!$Y$3:$Z$87,2,FALSE),TIAM15_assumptions!$H$2:$V$2,0))</f>
        <v>0.64</v>
      </c>
      <c r="AL22" s="57">
        <f ca="1">OFFSET(TIAM15_assumptions!$G22,0,MATCH(VLOOKUP(Assumptions!AL$2,TIAM15_assumptions!$Y$3:$Z$87,2,FALSE),TIAM15_assumptions!$H$2:$V$2,0))</f>
        <v>0.64</v>
      </c>
      <c r="AM22" s="57">
        <f ca="1">OFFSET(TIAM15_assumptions!$G22,0,MATCH(VLOOKUP(Assumptions!AM$2,TIAM15_assumptions!$Y$3:$Z$87,2,FALSE),TIAM15_assumptions!$H$2:$V$2,0))</f>
        <v>0.55</v>
      </c>
      <c r="AN22" s="57">
        <f ca="1">OFFSET(TIAM15_assumptions!$G22,0,MATCH(VLOOKUP(Assumptions!AN$2,TIAM15_assumptions!$Y$3:$Z$87,2,FALSE),TIAM15_assumptions!$H$2:$V$2,0))</f>
        <v>0.64</v>
      </c>
      <c r="AO22" s="57">
        <f ca="1">OFFSET(TIAM15_assumptions!$G22,0,MATCH(VLOOKUP(Assumptions!AO$2,TIAM15_assumptions!$Y$3:$Z$87,2,FALSE),TIAM15_assumptions!$H$2:$V$2,0))</f>
        <v>0.65</v>
      </c>
      <c r="AP22" s="57">
        <f ca="1">OFFSET(TIAM15_assumptions!$G22,0,MATCH(VLOOKUP(Assumptions!AP$2,TIAM15_assumptions!$Y$3:$Z$87,2,FALSE),TIAM15_assumptions!$H$2:$V$2,0))</f>
        <v>0.65</v>
      </c>
      <c r="AQ22" s="57">
        <f ca="1">OFFSET(TIAM15_assumptions!$G22,0,MATCH(VLOOKUP(Assumptions!AQ$2,TIAM15_assumptions!$Y$3:$Z$87,2,FALSE),TIAM15_assumptions!$H$2:$V$2,0))</f>
        <v>0.583</v>
      </c>
      <c r="AR22" s="57">
        <f ca="1">OFFSET(TIAM15_assumptions!$G22,0,MATCH(VLOOKUP(Assumptions!AR$2,TIAM15_assumptions!$Y$3:$Z$87,2,FALSE),TIAM15_assumptions!$H$2:$V$2,0))</f>
        <v>0.583</v>
      </c>
      <c r="AS22" s="57">
        <f ca="1">OFFSET(TIAM15_assumptions!$G22,0,MATCH(VLOOKUP(Assumptions!AS$2,TIAM15_assumptions!$Y$3:$Z$87,2,FALSE),TIAM15_assumptions!$H$2:$V$2,0))</f>
        <v>0.583</v>
      </c>
      <c r="AT22" s="57">
        <f ca="1">OFFSET(TIAM15_assumptions!$G22,0,MATCH(VLOOKUP(Assumptions!AT$2,TIAM15_assumptions!$Y$3:$Z$87,2,FALSE),TIAM15_assumptions!$H$2:$V$2,0))</f>
        <v>0.583</v>
      </c>
      <c r="AU22" s="57">
        <f ca="1">OFFSET(TIAM15_assumptions!$G22,0,MATCH(VLOOKUP(Assumptions!AU$2,TIAM15_assumptions!$Y$3:$Z$87,2,FALSE),TIAM15_assumptions!$H$2:$V$2,0))</f>
        <v>0.583</v>
      </c>
      <c r="AV22" s="57">
        <f ca="1">OFFSET(TIAM15_assumptions!$G22,0,MATCH(VLOOKUP(Assumptions!AV$2,TIAM15_assumptions!$Y$3:$Z$87,2,FALSE),TIAM15_assumptions!$H$2:$V$2,0))</f>
        <v>0.583</v>
      </c>
      <c r="AW22" s="57">
        <f ca="1">OFFSET(TIAM15_assumptions!$G22,0,MATCH(VLOOKUP(Assumptions!AW$2,TIAM15_assumptions!$Y$3:$Z$87,2,FALSE),TIAM15_assumptions!$H$2:$V$2,0))</f>
        <v>0.583</v>
      </c>
      <c r="AX22" s="57">
        <f ca="1">OFFSET(TIAM15_assumptions!$G22,0,MATCH(VLOOKUP(Assumptions!AX$2,TIAM15_assumptions!$Y$3:$Z$87,2,FALSE),TIAM15_assumptions!$H$2:$V$2,0))</f>
        <v>0.583</v>
      </c>
      <c r="AY22" s="57">
        <f ca="1">OFFSET(TIAM15_assumptions!$G22,0,MATCH(VLOOKUP(Assumptions!AY$2,TIAM15_assumptions!$Y$3:$Z$87,2,FALSE),TIAM15_assumptions!$H$2:$V$2,0))</f>
        <v>0.583</v>
      </c>
      <c r="AZ22" s="57">
        <f ca="1">OFFSET(TIAM15_assumptions!$G22,0,MATCH(VLOOKUP(Assumptions!AZ$2,TIAM15_assumptions!$Y$3:$Z$87,2,FALSE),TIAM15_assumptions!$H$2:$V$2,0))</f>
        <v>0.583</v>
      </c>
      <c r="BA22" s="57">
        <f ca="1">OFFSET(TIAM15_assumptions!$G22,0,MATCH(VLOOKUP(Assumptions!BA$2,TIAM15_assumptions!$Y$3:$Z$87,2,FALSE),TIAM15_assumptions!$H$2:$V$2,0))</f>
        <v>0.583</v>
      </c>
      <c r="BD22" s="40">
        <f ca="1">IFERROR(SUMIFS('TRA balance'!E$5:E$40,'TRA balance'!$C$5:$C$40,Assumptions!$C22,'TRA balance'!$D$5:$D$40,Assumptions!$B22)*CY22*H22,"")</f>
        <v>322.05163218678</v>
      </c>
      <c r="BE22" s="40">
        <f ca="1">IFERROR(SUMIFS('TRA balance'!F$5:F$40,'TRA balance'!$C$5:$C$40,Assumptions!$C22,'TRA balance'!$D$5:$D$40,Assumptions!$B22)*CZ22*I22,"")</f>
        <v>559.23847964748</v>
      </c>
      <c r="BF22" s="40">
        <f ca="1">IFERROR(SUMIFS('TRA balance'!G$5:G$40,'TRA balance'!$C$5:$C$40,Assumptions!$C22,'TRA balance'!$D$5:$D$40,Assumptions!$B22)*DA22*J22,"")</f>
        <v>353.300460077009</v>
      </c>
      <c r="BG22" s="40">
        <f ca="1">IFERROR(SUMIFS('TRA balance'!H$5:H$40,'TRA balance'!$C$5:$C$40,Assumptions!$C22,'TRA balance'!$D$5:$D$40,Assumptions!$B22)*DB22*K22,"")</f>
        <v>42.9867810742118</v>
      </c>
      <c r="BH22" s="40">
        <f ca="1">IFERROR(SUMIFS('TRA balance'!I$5:I$40,'TRA balance'!$C$5:$C$40,Assumptions!$C22,'TRA balance'!$D$5:$D$40,Assumptions!$B22)*DC22*L22,"")</f>
        <v>13.156743906306</v>
      </c>
      <c r="BI22" s="40">
        <f ca="1">IFERROR(SUMIFS('TRA balance'!J$5:J$40,'TRA balance'!$C$5:$C$40,Assumptions!$C22,'TRA balance'!$D$5:$D$40,Assumptions!$B22)*DD22*M22,"")</f>
        <v>166.319793363479</v>
      </c>
      <c r="BJ22" s="40">
        <f ca="1">IFERROR(SUMIFS('TRA balance'!K$5:K$40,'TRA balance'!$C$5:$C$40,Assumptions!$C22,'TRA balance'!$D$5:$D$40,Assumptions!$B22)*DE22*N22,"")</f>
        <v>541.603649748899</v>
      </c>
      <c r="BK22" s="40">
        <f ca="1">IFERROR(SUMIFS('TRA balance'!L$5:L$40,'TRA balance'!$C$5:$C$40,Assumptions!$C22,'TRA balance'!$D$5:$D$40,Assumptions!$B22)*DF22*O22,"")</f>
        <v>3511.10842133454</v>
      </c>
      <c r="BL22" s="40">
        <f ca="1">IFERROR(SUMIFS('TRA balance'!M$5:M$40,'TRA balance'!$C$5:$C$40,Assumptions!$C22,'TRA balance'!$D$5:$D$40,Assumptions!$B22)*DG22*P22,"")</f>
        <v>21.987494359974</v>
      </c>
      <c r="BM22" s="40">
        <f ca="1">IFERROR(SUMIFS('TRA balance'!N$5:N$40,'TRA balance'!$C$5:$C$40,Assumptions!$C22,'TRA balance'!$D$5:$D$40,Assumptions!$B22)*DH22*Q22,"")</f>
        <v>52.12350149526</v>
      </c>
      <c r="BN22" s="40">
        <f ca="1">IFERROR(SUMIFS('TRA balance'!O$5:O$40,'TRA balance'!$C$5:$C$40,Assumptions!$C22,'TRA balance'!$D$5:$D$40,Assumptions!$B22)*DI22*R22,"")</f>
        <v>204.307287647086</v>
      </c>
      <c r="BO22" s="40">
        <f ca="1">IFERROR(SUMIFS('TRA balance'!P$5:P$40,'TRA balance'!$C$5:$C$40,Assumptions!$C22,'TRA balance'!$D$5:$D$40,Assumptions!$B22)*DJ22*S22,"")</f>
        <v>448.597529460196</v>
      </c>
      <c r="BP22" s="40">
        <f ca="1">IFERROR(SUMIFS('TRA balance'!Q$5:Q$40,'TRA balance'!$C$5:$C$40,Assumptions!$C22,'TRA balance'!$D$5:$D$40,Assumptions!$B22)*DK22*T22,"")</f>
        <v>70.1599095174528</v>
      </c>
      <c r="BQ22" s="40">
        <f ca="1">IFERROR(SUMIFS('TRA balance'!R$5:R$40,'TRA balance'!$C$5:$C$40,Assumptions!$C22,'TRA balance'!$D$5:$D$40,Assumptions!$B22)*DL22*U22,"")</f>
        <v>81.237500848764</v>
      </c>
      <c r="BR22" s="40">
        <f ca="1">IFERROR(SUMIFS('TRA balance'!S$5:S$40,'TRA balance'!$C$5:$C$40,Assumptions!$C22,'TRA balance'!$D$5:$D$40,Assumptions!$B22)*DM22*V22,"")</f>
        <v>3.24351674673408</v>
      </c>
      <c r="BS22" s="40">
        <f ca="1">IFERROR(SUMIFS('TRA balance'!T$5:T$40,'TRA balance'!$C$5:$C$40,Assumptions!$C22,'TRA balance'!$D$5:$D$40,Assumptions!$B22)*DN22*W22,"")</f>
        <v>604.29600063468</v>
      </c>
      <c r="BT22" s="40">
        <f ca="1">IFERROR(SUMIFS('TRA balance'!U$5:U$40,'TRA balance'!$C$5:$C$40,Assumptions!$C22,'TRA balance'!$D$5:$D$40,Assumptions!$B22)*DO22*X22,"")</f>
        <v>20.0100494196634</v>
      </c>
      <c r="BU22" s="40">
        <f ca="1">IFERROR(SUMIFS('TRA balance'!V$5:V$40,'TRA balance'!$C$5:$C$40,Assumptions!$C22,'TRA balance'!$D$5:$D$40,Assumptions!$B22)*DP22*Y22,"")</f>
        <v>202.678619392397</v>
      </c>
      <c r="BV22" s="40">
        <f ca="1">IFERROR(SUMIFS('TRA balance'!W$5:W$40,'TRA balance'!$C$5:$C$40,Assumptions!$C22,'TRA balance'!$D$5:$D$40,Assumptions!$B22)*DQ22*Z22,"")</f>
        <v>998.259084148536</v>
      </c>
      <c r="BW22" s="40">
        <f ca="1">IFERROR(SUMIFS('TRA balance'!X$5:X$40,'TRA balance'!$C$5:$C$40,Assumptions!$C22,'TRA balance'!$D$5:$D$40,Assumptions!$B22)*DR22*AA22,"")</f>
        <v>1029.79774162335</v>
      </c>
      <c r="BX22" s="40">
        <f ca="1">IFERROR(SUMIFS('TRA balance'!Y$5:Y$40,'TRA balance'!$C$5:$C$40,Assumptions!$C22,'TRA balance'!$D$5:$D$40,Assumptions!$B22)*DS22*AB22,"")</f>
        <v>908.45519972823</v>
      </c>
      <c r="BY22" s="40">
        <f ca="1">IFERROR(SUMIFS('TRA balance'!Z$5:Z$40,'TRA balance'!$C$5:$C$40,Assumptions!$C22,'TRA balance'!$D$5:$D$40,Assumptions!$B22)*DT22*AC22,"")</f>
        <v>8557.15707799819</v>
      </c>
      <c r="BZ22" s="40">
        <f ca="1">IFERROR(SUMIFS('TRA balance'!AA$5:AA$40,'TRA balance'!$C$5:$C$40,Assumptions!$C22,'TRA balance'!$D$5:$D$40,Assumptions!$B22)*DU22*AD22,"")</f>
        <v>17.3177558819482</v>
      </c>
      <c r="CA22" s="40">
        <f ca="1">IFERROR(SUMIFS('TRA balance'!AB$5:AB$40,'TRA balance'!$C$5:$C$40,Assumptions!$C22,'TRA balance'!$D$5:$D$40,Assumptions!$B22)*DV22*AE22,"")</f>
        <v>113.675381086176</v>
      </c>
      <c r="CB22" s="40">
        <f ca="1">IFERROR(SUMIFS('TRA balance'!AC$5:AC$40,'TRA balance'!$C$5:$C$40,Assumptions!$C22,'TRA balance'!$D$5:$D$40,Assumptions!$B22)*DW22*AF22,"")</f>
        <v>2035.35293075676</v>
      </c>
      <c r="CC22" s="40">
        <f ca="1">IFERROR(SUMIFS('TRA balance'!AD$5:AD$40,'TRA balance'!$C$5:$C$40,Assumptions!$C22,'TRA balance'!$D$5:$D$40,Assumptions!$B22)*DX22*AG22,"")</f>
        <v>703.869967534734</v>
      </c>
      <c r="CD22" s="40">
        <f ca="1">IFERROR(SUMIFS('TRA balance'!AE$5:AE$40,'TRA balance'!$C$5:$C$40,Assumptions!$C22,'TRA balance'!$D$5:$D$40,Assumptions!$B22)*DY22*AH22,"")</f>
        <v>392.457714926508</v>
      </c>
      <c r="CE22" s="40">
        <f ca="1">IFERROR(SUMIFS('TRA balance'!AF$5:AF$40,'TRA balance'!$C$5:$C$40,Assumptions!$C22,'TRA balance'!$D$5:$D$40,Assumptions!$B22)*DZ22*AI22,"")</f>
        <v>142.45850182248</v>
      </c>
      <c r="CF22" s="40">
        <f ca="1">IFERROR(SUMIFS('TRA balance'!AG$5:AG$40,'TRA balance'!$C$5:$C$40,Assumptions!$C22,'TRA balance'!$D$5:$D$40,Assumptions!$B22)*EA22*AJ22,"")</f>
        <v>168.32289999062</v>
      </c>
      <c r="CG22" s="40">
        <f ca="1">IFERROR(SUMIFS('TRA balance'!AH$5:AH$40,'TRA balance'!$C$5:$C$40,Assumptions!$C22,'TRA balance'!$D$5:$D$40,Assumptions!$B22)*EB22*AK22,"")</f>
        <v>118.053236560205</v>
      </c>
      <c r="CH22" s="40">
        <f ca="1">IFERROR(SUMIFS('TRA balance'!AI$5:AI$40,'TRA balance'!$C$5:$C$40,Assumptions!$C22,'TRA balance'!$D$5:$D$40,Assumptions!$B22)*EC22*AL22,"")</f>
        <v>62.0013527295206</v>
      </c>
      <c r="CI22" s="40">
        <f ca="1">IFERROR(SUMIFS('TRA balance'!AJ$5:AJ$40,'TRA balance'!$C$5:$C$40,Assumptions!$C22,'TRA balance'!$D$5:$D$40,Assumptions!$B22)*ED22*AM22,"")</f>
        <v>38.233579512744</v>
      </c>
      <c r="CJ22" s="40">
        <f ca="1">IFERROR(SUMIFS('TRA balance'!AK$5:AK$40,'TRA balance'!$C$5:$C$40,Assumptions!$C22,'TRA balance'!$D$5:$D$40,Assumptions!$B22)*EE22*AN22,"")</f>
        <v>319.954682093553</v>
      </c>
      <c r="CK22" s="40">
        <f ca="1">IFERROR(SUMIFS('TRA balance'!AL$5:AL$40,'TRA balance'!$C$5:$C$40,Assumptions!$C22,'TRA balance'!$D$5:$D$40,Assumptions!$B22)*EF22*AO22,"")</f>
        <v>35.103469217544</v>
      </c>
      <c r="CL22" s="40">
        <f ca="1">IFERROR(SUMIFS('TRA balance'!AM$5:AM$40,'TRA balance'!$C$5:$C$40,Assumptions!$C22,'TRA balance'!$D$5:$D$40,Assumptions!$B22)*EG22*AP22,"")</f>
        <v>22.884738369714</v>
      </c>
      <c r="CM22" s="40">
        <f ca="1">IFERROR(SUMIFS('TRA balance'!AN$5:AN$40,'TRA balance'!$C$5:$C$40,Assumptions!$C22,'TRA balance'!$D$5:$D$40,Assumptions!$B22)*EH22*AQ22,"")</f>
        <v>0</v>
      </c>
      <c r="CN22" s="40">
        <f ca="1">IFERROR(SUMIFS('TRA balance'!AO$5:AO$40,'TRA balance'!$C$5:$C$40,Assumptions!$C22,'TRA balance'!$D$5:$D$40,Assumptions!$B22)*EI22*AR22,"")</f>
        <v>0</v>
      </c>
      <c r="CO22" s="40">
        <f ca="1">IFERROR(SUMIFS('TRA balance'!AP$5:AP$40,'TRA balance'!$C$5:$C$40,Assumptions!$C22,'TRA balance'!$D$5:$D$40,Assumptions!$B22)*EJ22*AS22,"")</f>
        <v>0</v>
      </c>
      <c r="CP22" s="40">
        <f ca="1">IFERROR(SUMIFS('TRA balance'!AQ$5:AQ$40,'TRA balance'!$C$5:$C$40,Assumptions!$C22,'TRA balance'!$D$5:$D$40,Assumptions!$B22)*EK22*AT22,"")</f>
        <v>0</v>
      </c>
      <c r="CQ22" s="40">
        <f ca="1">IFERROR(SUMIFS('TRA balance'!AR$5:AR$40,'TRA balance'!$C$5:$C$40,Assumptions!$C22,'TRA balance'!$D$5:$D$40,Assumptions!$B22)*EL22*AU22,"")</f>
        <v>0</v>
      </c>
      <c r="CR22" s="40">
        <f ca="1">IFERROR(SUMIFS('TRA balance'!AS$5:AS$40,'TRA balance'!$C$5:$C$40,Assumptions!$C22,'TRA balance'!$D$5:$D$40,Assumptions!$B22)*EM22*AV22,"")</f>
        <v>0</v>
      </c>
      <c r="CS22" s="40">
        <f ca="1">IFERROR(SUMIFS('TRA balance'!AT$5:AT$40,'TRA balance'!$C$5:$C$40,Assumptions!$C22,'TRA balance'!$D$5:$D$40,Assumptions!$B22)*EN22*AW22,"")</f>
        <v>0</v>
      </c>
      <c r="CT22" s="40">
        <f ca="1">IFERROR(SUMIFS('TRA balance'!AU$5:AU$40,'TRA balance'!$C$5:$C$40,Assumptions!$C22,'TRA balance'!$D$5:$D$40,Assumptions!$B22)*EO22*AX22,"")</f>
        <v>0</v>
      </c>
      <c r="CU22" s="40">
        <f ca="1">IFERROR(SUMIFS('TRA balance'!AV$5:AV$40,'TRA balance'!$C$5:$C$40,Assumptions!$C22,'TRA balance'!$D$5:$D$40,Assumptions!$B22)*EP22*AY22,"")</f>
        <v>0</v>
      </c>
      <c r="CV22" s="40">
        <f ca="1">IFERROR(SUMIFS('TRA balance'!AW$5:AW$40,'TRA balance'!$C$5:$C$40,Assumptions!$C22,'TRA balance'!$D$5:$D$40,Assumptions!$B22)*EQ22*AZ22,"")</f>
        <v>0</v>
      </c>
      <c r="CW22" s="40">
        <f ca="1">IFERROR(SUMIFS('TRA balance'!AX$5:AX$40,'TRA balance'!$C$5:$C$40,Assumptions!$C22,'TRA balance'!$D$5:$D$40,Assumptions!$B22)*ER22*BA22,"")</f>
        <v>0</v>
      </c>
      <c r="CY22" s="39">
        <f ca="1" t="shared" si="2"/>
        <v>1</v>
      </c>
      <c r="CZ22" s="39">
        <f ca="1" t="shared" si="3"/>
        <v>1</v>
      </c>
      <c r="DA22" s="39">
        <f ca="1" t="shared" si="4"/>
        <v>0.9</v>
      </c>
      <c r="DB22" s="39">
        <f ca="1" t="shared" si="5"/>
        <v>0.97</v>
      </c>
      <c r="DC22" s="39">
        <f ca="1" t="shared" si="6"/>
        <v>0.7</v>
      </c>
      <c r="DD22" s="39">
        <f ca="1" t="shared" si="7"/>
        <v>0.97</v>
      </c>
      <c r="DE22" s="39">
        <f ca="1" t="shared" si="8"/>
        <v>0.9</v>
      </c>
      <c r="DF22" s="39">
        <f ca="1" t="shared" si="9"/>
        <v>0.9</v>
      </c>
      <c r="DG22" s="39">
        <f ca="1" t="shared" si="10"/>
        <v>0.9</v>
      </c>
      <c r="DH22" s="39">
        <f ca="1" t="shared" si="11"/>
        <v>0.9</v>
      </c>
      <c r="DI22" s="39">
        <f ca="1" t="shared" si="12"/>
        <v>0.97</v>
      </c>
      <c r="DJ22" s="39">
        <f ca="1" t="shared" si="13"/>
        <v>0.97</v>
      </c>
      <c r="DK22" s="39">
        <f ca="1" t="shared" si="14"/>
        <v>0.97</v>
      </c>
      <c r="DL22" s="39">
        <f ca="1" t="shared" si="15"/>
        <v>0.9</v>
      </c>
      <c r="DM22" s="39">
        <f ca="1" t="shared" si="16"/>
        <v>0.97</v>
      </c>
      <c r="DN22" s="39">
        <f ca="1" t="shared" si="17"/>
        <v>1</v>
      </c>
      <c r="DO22" s="39">
        <f ca="1" t="shared" si="18"/>
        <v>0.97</v>
      </c>
      <c r="DP22" s="39">
        <f ca="1" t="shared" si="19"/>
        <v>0.97</v>
      </c>
      <c r="DQ22" s="39">
        <f ca="1" t="shared" si="20"/>
        <v>0.9</v>
      </c>
      <c r="DR22" s="39">
        <f ca="1" t="shared" si="21"/>
        <v>0.9</v>
      </c>
      <c r="DS22" s="39">
        <f ca="1" t="shared" si="22"/>
        <v>0.7</v>
      </c>
      <c r="DT22" s="39">
        <f ca="1" t="shared" si="23"/>
        <v>0.8</v>
      </c>
      <c r="DU22" s="39">
        <f ca="1" t="shared" si="24"/>
        <v>0.97</v>
      </c>
      <c r="DV22" s="39">
        <f ca="1" t="shared" si="25"/>
        <v>0.9</v>
      </c>
      <c r="DW22" s="39">
        <f ca="1" t="shared" si="26"/>
        <v>1</v>
      </c>
      <c r="DX22" s="39">
        <f ca="1" t="shared" si="27"/>
        <v>0.7</v>
      </c>
      <c r="DY22" s="39">
        <f ca="1" t="shared" si="28"/>
        <v>0.7</v>
      </c>
      <c r="DZ22" s="39">
        <f ca="1" t="shared" si="29"/>
        <v>1</v>
      </c>
      <c r="EA22" s="39">
        <f ca="1" t="shared" si="30"/>
        <v>0.97</v>
      </c>
      <c r="EB22" s="39">
        <f ca="1" t="shared" si="31"/>
        <v>0.97</v>
      </c>
      <c r="EC22" s="39">
        <f ca="1" t="shared" si="32"/>
        <v>0.97</v>
      </c>
      <c r="ED22" s="39">
        <f ca="1" t="shared" si="33"/>
        <v>0.7</v>
      </c>
      <c r="EE22" s="39">
        <f ca="1" t="shared" si="34"/>
        <v>0.97</v>
      </c>
      <c r="EF22" s="39">
        <f ca="1" t="shared" si="35"/>
        <v>0.7</v>
      </c>
      <c r="EG22" s="39">
        <f ca="1" t="shared" si="36"/>
        <v>0.9</v>
      </c>
      <c r="EH22" s="39">
        <f ca="1" t="shared" si="37"/>
        <v>0.8</v>
      </c>
      <c r="EI22" s="39">
        <f ca="1" t="shared" si="38"/>
        <v>0.8</v>
      </c>
      <c r="EJ22" s="39">
        <f ca="1" t="shared" si="39"/>
        <v>0.8</v>
      </c>
      <c r="EK22" s="39">
        <f ca="1" t="shared" si="40"/>
        <v>0.8</v>
      </c>
      <c r="EL22" s="39">
        <f ca="1" t="shared" si="41"/>
        <v>0.8</v>
      </c>
      <c r="EM22" s="39">
        <f ca="1" t="shared" si="42"/>
        <v>0.8</v>
      </c>
      <c r="EN22" s="39">
        <f ca="1" t="shared" si="43"/>
        <v>0.8</v>
      </c>
      <c r="EO22" s="39">
        <f ca="1" t="shared" si="44"/>
        <v>0.8</v>
      </c>
      <c r="EP22" s="39">
        <f ca="1" t="shared" si="45"/>
        <v>0.8</v>
      </c>
      <c r="EQ22" s="39">
        <f ca="1" t="shared" si="46"/>
        <v>0.8</v>
      </c>
      <c r="ER22" s="39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4" t="str">
        <f t="shared" si="48"/>
        <v>TR</v>
      </c>
      <c r="D23" s="55" t="s">
        <v>200</v>
      </c>
      <c r="E23" s="66" t="s">
        <v>204</v>
      </c>
      <c r="F23" s="56" t="str">
        <f t="shared" ref="F23:F28" si="59">F22</f>
        <v>Gasoline</v>
      </c>
      <c r="G23" s="54" t="s">
        <v>205</v>
      </c>
      <c r="H23" s="57">
        <f ca="1">OFFSET(TIAM15_assumptions!$G23,0,MATCH(VLOOKUP(Assumptions!H$2,TIAM15_assumptions!$Y$3:$Z$87,2,FALSE),TIAM15_assumptions!$H$2:$V$2,0))</f>
        <v>0.1</v>
      </c>
      <c r="I23" s="57">
        <f ca="1">OFFSET(TIAM15_assumptions!$G23,0,MATCH(VLOOKUP(Assumptions!I$2,TIAM15_assumptions!$Y$3:$Z$87,2,FALSE),TIAM15_assumptions!$H$2:$V$2,0))</f>
        <v>0.1</v>
      </c>
      <c r="J23" s="57">
        <f ca="1">OFFSET(TIAM15_assumptions!$G23,0,MATCH(VLOOKUP(Assumptions!J$2,TIAM15_assumptions!$Y$3:$Z$87,2,FALSE),TIAM15_assumptions!$H$2:$V$2,0))</f>
        <v>0.29</v>
      </c>
      <c r="K23" s="57">
        <f ca="1">OFFSET(TIAM15_assumptions!$G23,0,MATCH(VLOOKUP(Assumptions!K$2,TIAM15_assumptions!$Y$3:$Z$87,2,FALSE),TIAM15_assumptions!$H$2:$V$2,0))</f>
        <v>0.35</v>
      </c>
      <c r="L23" s="57">
        <f ca="1">OFFSET(TIAM15_assumptions!$G23,0,MATCH(VLOOKUP(Assumptions!L$2,TIAM15_assumptions!$Y$3:$Z$87,2,FALSE),TIAM15_assumptions!$H$2:$V$2,0))</f>
        <v>0.33</v>
      </c>
      <c r="M23" s="57">
        <f ca="1">OFFSET(TIAM15_assumptions!$G23,0,MATCH(VLOOKUP(Assumptions!M$2,TIAM15_assumptions!$Y$3:$Z$87,2,FALSE),TIAM15_assumptions!$H$2:$V$2,0))</f>
        <v>0.35</v>
      </c>
      <c r="N23" s="57">
        <f ca="1">OFFSET(TIAM15_assumptions!$G23,0,MATCH(VLOOKUP(Assumptions!N$2,TIAM15_assumptions!$Y$3:$Z$87,2,FALSE),TIAM15_assumptions!$H$2:$V$2,0))</f>
        <v>0.31</v>
      </c>
      <c r="O23" s="57">
        <f ca="1">OFFSET(TIAM15_assumptions!$G23,0,MATCH(VLOOKUP(Assumptions!O$2,TIAM15_assumptions!$Y$3:$Z$87,2,FALSE),TIAM15_assumptions!$H$2:$V$2,0))</f>
        <v>0.25</v>
      </c>
      <c r="P23" s="57">
        <f ca="1">OFFSET(TIAM15_assumptions!$G23,0,MATCH(VLOOKUP(Assumptions!P$2,TIAM15_assumptions!$Y$3:$Z$87,2,FALSE),TIAM15_assumptions!$H$2:$V$2,0))</f>
        <v>0.33</v>
      </c>
      <c r="Q23" s="57">
        <f ca="1">OFFSET(TIAM15_assumptions!$G23,0,MATCH(VLOOKUP(Assumptions!Q$2,TIAM15_assumptions!$Y$3:$Z$87,2,FALSE),TIAM15_assumptions!$H$2:$V$2,0))</f>
        <v>0.33</v>
      </c>
      <c r="R23" s="57">
        <f ca="1">OFFSET(TIAM15_assumptions!$G23,0,MATCH(VLOOKUP(Assumptions!R$2,TIAM15_assumptions!$Y$3:$Z$87,2,FALSE),TIAM15_assumptions!$H$2:$V$2,0))</f>
        <v>0.35</v>
      </c>
      <c r="S23" s="57">
        <f ca="1">OFFSET(TIAM15_assumptions!$G23,0,MATCH(VLOOKUP(Assumptions!S$2,TIAM15_assumptions!$Y$3:$Z$87,2,FALSE),TIAM15_assumptions!$H$2:$V$2,0))</f>
        <v>0.35</v>
      </c>
      <c r="T23" s="57">
        <f ca="1">OFFSET(TIAM15_assumptions!$G23,0,MATCH(VLOOKUP(Assumptions!T$2,TIAM15_assumptions!$Y$3:$Z$87,2,FALSE),TIAM15_assumptions!$H$2:$V$2,0))</f>
        <v>0.35</v>
      </c>
      <c r="U23" s="57">
        <f ca="1">OFFSET(TIAM15_assumptions!$G23,0,MATCH(VLOOKUP(Assumptions!U$2,TIAM15_assumptions!$Y$3:$Z$87,2,FALSE),TIAM15_assumptions!$H$2:$V$2,0))</f>
        <v>0.33</v>
      </c>
      <c r="V23" s="57">
        <f ca="1">OFFSET(TIAM15_assumptions!$G23,0,MATCH(VLOOKUP(Assumptions!V$2,TIAM15_assumptions!$Y$3:$Z$87,2,FALSE),TIAM15_assumptions!$H$2:$V$2,0))</f>
        <v>0.35</v>
      </c>
      <c r="W23" s="57">
        <f ca="1">OFFSET(TIAM15_assumptions!$G23,0,MATCH(VLOOKUP(Assumptions!W$2,TIAM15_assumptions!$Y$3:$Z$87,2,FALSE),TIAM15_assumptions!$H$2:$V$2,0))</f>
        <v>0.05</v>
      </c>
      <c r="X23" s="57">
        <f ca="1">OFFSET(TIAM15_assumptions!$G23,0,MATCH(VLOOKUP(Assumptions!X$2,TIAM15_assumptions!$Y$3:$Z$87,2,FALSE),TIAM15_assumptions!$H$2:$V$2,0))</f>
        <v>0.35</v>
      </c>
      <c r="Y23" s="57">
        <f ca="1">OFFSET(TIAM15_assumptions!$G23,0,MATCH(VLOOKUP(Assumptions!Y$2,TIAM15_assumptions!$Y$3:$Z$87,2,FALSE),TIAM15_assumptions!$H$2:$V$2,0))</f>
        <v>0.35</v>
      </c>
      <c r="Z23" s="57">
        <f ca="1">OFFSET(TIAM15_assumptions!$G23,0,MATCH(VLOOKUP(Assumptions!Z$2,TIAM15_assumptions!$Y$3:$Z$87,2,FALSE),TIAM15_assumptions!$H$2:$V$2,0))</f>
        <v>0.285</v>
      </c>
      <c r="AA23" s="57">
        <f ca="1">OFFSET(TIAM15_assumptions!$G23,0,MATCH(VLOOKUP(Assumptions!AA$2,TIAM15_assumptions!$Y$3:$Z$87,2,FALSE),TIAM15_assumptions!$H$2:$V$2,0))</f>
        <v>0.31</v>
      </c>
      <c r="AB23" s="57">
        <f ca="1">OFFSET(TIAM15_assumptions!$G23,0,MATCH(VLOOKUP(Assumptions!AB$2,TIAM15_assumptions!$Y$3:$Z$87,2,FALSE),TIAM15_assumptions!$H$2:$V$2,0))</f>
        <v>0.42</v>
      </c>
      <c r="AC23" s="57">
        <f ca="1">OFFSET(TIAM15_assumptions!$G23,0,MATCH(VLOOKUP(Assumptions!AC$2,TIAM15_assumptions!$Y$3:$Z$87,2,FALSE),TIAM15_assumptions!$H$2:$V$2,0))</f>
        <v>0.415</v>
      </c>
      <c r="AD23" s="57">
        <f ca="1">OFFSET(TIAM15_assumptions!$G23,0,MATCH(VLOOKUP(Assumptions!AD$2,TIAM15_assumptions!$Y$3:$Z$87,2,FALSE),TIAM15_assumptions!$H$2:$V$2,0))</f>
        <v>0.35</v>
      </c>
      <c r="AE23" s="57">
        <f ca="1">OFFSET(TIAM15_assumptions!$G23,0,MATCH(VLOOKUP(Assumptions!AE$2,TIAM15_assumptions!$Y$3:$Z$87,2,FALSE),TIAM15_assumptions!$H$2:$V$2,0))</f>
        <v>0.33</v>
      </c>
      <c r="AF23" s="57">
        <f ca="1">OFFSET(TIAM15_assumptions!$G23,0,MATCH(VLOOKUP(Assumptions!AF$2,TIAM15_assumptions!$Y$3:$Z$87,2,FALSE),TIAM15_assumptions!$H$2:$V$2,0))</f>
        <v>0.1</v>
      </c>
      <c r="AG23" s="57">
        <f ca="1">OFFSET(TIAM15_assumptions!$G23,0,MATCH(VLOOKUP(Assumptions!AG$2,TIAM15_assumptions!$Y$3:$Z$87,2,FALSE),TIAM15_assumptions!$H$2:$V$2,0))</f>
        <v>0.33</v>
      </c>
      <c r="AH23" s="57">
        <f ca="1">OFFSET(TIAM15_assumptions!$G23,0,MATCH(VLOOKUP(Assumptions!AH$2,TIAM15_assumptions!$Y$3:$Z$87,2,FALSE),TIAM15_assumptions!$H$2:$V$2,0))</f>
        <v>0.42</v>
      </c>
      <c r="AI23" s="57">
        <f ca="1">OFFSET(TIAM15_assumptions!$G23,0,MATCH(VLOOKUP(Assumptions!AI$2,TIAM15_assumptions!$Y$3:$Z$87,2,FALSE),TIAM15_assumptions!$H$2:$V$2,0))</f>
        <v>0.1</v>
      </c>
      <c r="AJ23" s="57">
        <f ca="1">OFFSET(TIAM15_assumptions!$G23,0,MATCH(VLOOKUP(Assumptions!AJ$2,TIAM15_assumptions!$Y$3:$Z$87,2,FALSE),TIAM15_assumptions!$H$2:$V$2,0))</f>
        <v>0.35</v>
      </c>
      <c r="AK23" s="57">
        <f ca="1">OFFSET(TIAM15_assumptions!$G23,0,MATCH(VLOOKUP(Assumptions!AK$2,TIAM15_assumptions!$Y$3:$Z$87,2,FALSE),TIAM15_assumptions!$H$2:$V$2,0))</f>
        <v>0.35</v>
      </c>
      <c r="AL23" s="57">
        <f ca="1">OFFSET(TIAM15_assumptions!$G23,0,MATCH(VLOOKUP(Assumptions!AL$2,TIAM15_assumptions!$Y$3:$Z$87,2,FALSE),TIAM15_assumptions!$H$2:$V$2,0))</f>
        <v>0.35</v>
      </c>
      <c r="AM23" s="57">
        <f ca="1">OFFSET(TIAM15_assumptions!$G23,0,MATCH(VLOOKUP(Assumptions!AM$2,TIAM15_assumptions!$Y$3:$Z$87,2,FALSE),TIAM15_assumptions!$H$2:$V$2,0))</f>
        <v>0.42</v>
      </c>
      <c r="AN23" s="57">
        <f ca="1">OFFSET(TIAM15_assumptions!$G23,0,MATCH(VLOOKUP(Assumptions!AN$2,TIAM15_assumptions!$Y$3:$Z$87,2,FALSE),TIAM15_assumptions!$H$2:$V$2,0))</f>
        <v>0.35</v>
      </c>
      <c r="AO23" s="57">
        <f ca="1">OFFSET(TIAM15_assumptions!$G23,0,MATCH(VLOOKUP(Assumptions!AO$2,TIAM15_assumptions!$Y$3:$Z$87,2,FALSE),TIAM15_assumptions!$H$2:$V$2,0))</f>
        <v>0.33</v>
      </c>
      <c r="AP23" s="57">
        <f ca="1">OFFSET(TIAM15_assumptions!$G23,0,MATCH(VLOOKUP(Assumptions!AP$2,TIAM15_assumptions!$Y$3:$Z$87,2,FALSE),TIAM15_assumptions!$H$2:$V$2,0))</f>
        <v>0.33</v>
      </c>
      <c r="AQ23" s="57">
        <f ca="1">OFFSET(TIAM15_assumptions!$G23,0,MATCH(VLOOKUP(Assumptions!AQ$2,TIAM15_assumptions!$Y$3:$Z$87,2,FALSE),TIAM15_assumptions!$H$2:$V$2,0))</f>
        <v>0.415</v>
      </c>
      <c r="AR23" s="57">
        <f ca="1">OFFSET(TIAM15_assumptions!$G23,0,MATCH(VLOOKUP(Assumptions!AR$2,TIAM15_assumptions!$Y$3:$Z$87,2,FALSE),TIAM15_assumptions!$H$2:$V$2,0))</f>
        <v>0.415</v>
      </c>
      <c r="AS23" s="57">
        <f ca="1">OFFSET(TIAM15_assumptions!$G23,0,MATCH(VLOOKUP(Assumptions!AS$2,TIAM15_assumptions!$Y$3:$Z$87,2,FALSE),TIAM15_assumptions!$H$2:$V$2,0))</f>
        <v>0.415</v>
      </c>
      <c r="AT23" s="57">
        <f ca="1">OFFSET(TIAM15_assumptions!$G23,0,MATCH(VLOOKUP(Assumptions!AT$2,TIAM15_assumptions!$Y$3:$Z$87,2,FALSE),TIAM15_assumptions!$H$2:$V$2,0))</f>
        <v>0.415</v>
      </c>
      <c r="AU23" s="57">
        <f ca="1">OFFSET(TIAM15_assumptions!$G23,0,MATCH(VLOOKUP(Assumptions!AU$2,TIAM15_assumptions!$Y$3:$Z$87,2,FALSE),TIAM15_assumptions!$H$2:$V$2,0))</f>
        <v>0.415</v>
      </c>
      <c r="AV23" s="57">
        <f ca="1">OFFSET(TIAM15_assumptions!$G23,0,MATCH(VLOOKUP(Assumptions!AV$2,TIAM15_assumptions!$Y$3:$Z$87,2,FALSE),TIAM15_assumptions!$H$2:$V$2,0))</f>
        <v>0.415</v>
      </c>
      <c r="AW23" s="57">
        <f ca="1">OFFSET(TIAM15_assumptions!$G23,0,MATCH(VLOOKUP(Assumptions!AW$2,TIAM15_assumptions!$Y$3:$Z$87,2,FALSE),TIAM15_assumptions!$H$2:$V$2,0))</f>
        <v>0.415</v>
      </c>
      <c r="AX23" s="57">
        <f ca="1">OFFSET(TIAM15_assumptions!$G23,0,MATCH(VLOOKUP(Assumptions!AX$2,TIAM15_assumptions!$Y$3:$Z$87,2,FALSE),TIAM15_assumptions!$H$2:$V$2,0))</f>
        <v>0.415</v>
      </c>
      <c r="AY23" s="57">
        <f ca="1">OFFSET(TIAM15_assumptions!$G23,0,MATCH(VLOOKUP(Assumptions!AY$2,TIAM15_assumptions!$Y$3:$Z$87,2,FALSE),TIAM15_assumptions!$H$2:$V$2,0))</f>
        <v>0.415</v>
      </c>
      <c r="AZ23" s="57">
        <f ca="1">OFFSET(TIAM15_assumptions!$G23,0,MATCH(VLOOKUP(Assumptions!AZ$2,TIAM15_assumptions!$Y$3:$Z$87,2,FALSE),TIAM15_assumptions!$H$2:$V$2,0))</f>
        <v>0.415</v>
      </c>
      <c r="BA23" s="57">
        <f ca="1">OFFSET(TIAM15_assumptions!$G23,0,MATCH(VLOOKUP(Assumptions!BA$2,TIAM15_assumptions!$Y$3:$Z$87,2,FALSE),TIAM15_assumptions!$H$2:$V$2,0))</f>
        <v>0.415</v>
      </c>
      <c r="BD23" s="40">
        <f ca="1">IFERROR(SUMIFS('TRA balance'!E$5:E$40,'TRA balance'!$C$5:$C$40,Assumptions!$C23,'TRA balance'!$D$5:$D$40,Assumptions!$B23)*CY23*H23,"")</f>
        <v>71.56702937484</v>
      </c>
      <c r="BE23" s="40">
        <f ca="1">IFERROR(SUMIFS('TRA balance'!F$5:F$40,'TRA balance'!$C$5:$C$40,Assumptions!$C23,'TRA balance'!$D$5:$D$40,Assumptions!$B23)*CZ23*I23,"")</f>
        <v>124.27521769944</v>
      </c>
      <c r="BF23" s="40">
        <f ca="1">IFERROR(SUMIFS('TRA balance'!G$5:G$40,'TRA balance'!$C$5:$C$40,Assumptions!$C23,'TRA balance'!$D$5:$D$40,Assumptions!$B23)*DA23*J23,"")</f>
        <v>148.488599162801</v>
      </c>
      <c r="BG23" s="40">
        <f ca="1">IFERROR(SUMIFS('TRA balance'!H$5:H$40,'TRA balance'!$C$5:$C$40,Assumptions!$C23,'TRA balance'!$D$5:$D$40,Assumptions!$B23)*DB23*K23,"")</f>
        <v>23.5083958999596</v>
      </c>
      <c r="BH23" s="40">
        <f ca="1">IFERROR(SUMIFS('TRA balance'!I$5:I$40,'TRA balance'!$C$5:$C$40,Assumptions!$C23,'TRA balance'!$D$5:$D$40,Assumptions!$B23)*DC23*L23,"")</f>
        <v>6.6795776755092</v>
      </c>
      <c r="BI23" s="40">
        <f ca="1">IFERROR(SUMIFS('TRA balance'!J$5:J$40,'TRA balance'!$C$5:$C$40,Assumptions!$C23,'TRA balance'!$D$5:$D$40,Assumptions!$B23)*DD23*M23,"")</f>
        <v>90.9561369956526</v>
      </c>
      <c r="BJ23" s="40">
        <f ca="1">IFERROR(SUMIFS('TRA balance'!K$5:K$40,'TRA balance'!$C$5:$C$40,Assumptions!$C23,'TRA balance'!$D$5:$D$40,Assumptions!$B23)*DE23*N23,"")</f>
        <v>250.592733465908</v>
      </c>
      <c r="BK23" s="40">
        <f ca="1">IFERROR(SUMIFS('TRA balance'!L$5:L$40,'TRA balance'!$C$5:$C$40,Assumptions!$C23,'TRA balance'!$D$5:$D$40,Assumptions!$B23)*DF23*O23,"")</f>
        <v>1350.4263158979</v>
      </c>
      <c r="BL23" s="40">
        <f ca="1">IFERROR(SUMIFS('TRA balance'!M$5:M$40,'TRA balance'!$C$5:$C$40,Assumptions!$C23,'TRA balance'!$D$5:$D$40,Assumptions!$B23)*DG23*P23,"")</f>
        <v>11.1628817519868</v>
      </c>
      <c r="BM23" s="40">
        <f ca="1">IFERROR(SUMIFS('TRA balance'!N$5:N$40,'TRA balance'!$C$5:$C$40,Assumptions!$C23,'TRA balance'!$D$5:$D$40,Assumptions!$B23)*DH23*Q23,"")</f>
        <v>26.462700759132</v>
      </c>
      <c r="BN23" s="40">
        <f ca="1">IFERROR(SUMIFS('TRA balance'!O$5:O$40,'TRA balance'!$C$5:$C$40,Assumptions!$C23,'TRA balance'!$D$5:$D$40,Assumptions!$B23)*DI23*R23,"")</f>
        <v>111.730547932</v>
      </c>
      <c r="BO23" s="40">
        <f ca="1">IFERROR(SUMIFS('TRA balance'!P$5:P$40,'TRA balance'!$C$5:$C$40,Assumptions!$C23,'TRA balance'!$D$5:$D$40,Assumptions!$B23)*DJ23*S23,"")</f>
        <v>245.326773923545</v>
      </c>
      <c r="BP23" s="40">
        <f ca="1">IFERROR(SUMIFS('TRA balance'!Q$5:Q$40,'TRA balance'!$C$5:$C$40,Assumptions!$C23,'TRA balance'!$D$5:$D$40,Assumptions!$B23)*DK23*T23,"")</f>
        <v>38.368700517357</v>
      </c>
      <c r="BQ23" s="40">
        <f ca="1">IFERROR(SUMIFS('TRA balance'!R$5:R$40,'TRA balance'!$C$5:$C$40,Assumptions!$C23,'TRA balance'!$D$5:$D$40,Assumptions!$B23)*DL23*U23,"")</f>
        <v>41.2436542770648</v>
      </c>
      <c r="BR23" s="40">
        <f ca="1">IFERROR(SUMIFS('TRA balance'!S$5:S$40,'TRA balance'!$C$5:$C$40,Assumptions!$C23,'TRA balance'!$D$5:$D$40,Assumptions!$B23)*DM23*V23,"")</f>
        <v>1.7737982208702</v>
      </c>
      <c r="BS23" s="40">
        <f ca="1">IFERROR(SUMIFS('TRA balance'!T$5:T$40,'TRA balance'!$C$5:$C$40,Assumptions!$C23,'TRA balance'!$D$5:$D$40,Assumptions!$B23)*DN23*W23,"")</f>
        <v>67.14400007052</v>
      </c>
      <c r="BT23" s="40">
        <f ca="1">IFERROR(SUMIFS('TRA balance'!U$5:U$40,'TRA balance'!$C$5:$C$40,Assumptions!$C23,'TRA balance'!$D$5:$D$40,Assumptions!$B23)*DO23*X23,"")</f>
        <v>10.9429957763784</v>
      </c>
      <c r="BU23" s="40">
        <f ca="1">IFERROR(SUMIFS('TRA balance'!V$5:V$40,'TRA balance'!$C$5:$C$40,Assumptions!$C23,'TRA balance'!$D$5:$D$40,Assumptions!$B23)*DP23*Y23,"")</f>
        <v>110.839869980217</v>
      </c>
      <c r="BV23" s="40">
        <f ca="1">IFERROR(SUMIFS('TRA balance'!W$5:W$40,'TRA balance'!$C$5:$C$40,Assumptions!$C23,'TRA balance'!$D$5:$D$40,Assumptions!$B23)*DQ23*Z23,"")</f>
        <v>406.434055689047</v>
      </c>
      <c r="BW23" s="40">
        <f ca="1">IFERROR(SUMIFS('TRA balance'!X$5:X$40,'TRA balance'!$C$5:$C$40,Assumptions!$C23,'TRA balance'!$D$5:$D$40,Assumptions!$B23)*DR23*AA23,"")</f>
        <v>476.473581945133</v>
      </c>
      <c r="BX23" s="40">
        <f ca="1">IFERROR(SUMIFS('TRA balance'!Y$5:Y$40,'TRA balance'!$C$5:$C$40,Assumptions!$C23,'TRA balance'!$D$5:$D$40,Assumptions!$B23)*DS23*AB23,"")</f>
        <v>693.729425247012</v>
      </c>
      <c r="BY23" s="40">
        <f ca="1">IFERROR(SUMIFS('TRA balance'!Z$5:Z$40,'TRA balance'!$C$5:$C$40,Assumptions!$C23,'TRA balance'!$D$5:$D$40,Assumptions!$B23)*DT23*AC23,"")</f>
        <v>6091.28677078773</v>
      </c>
      <c r="BZ23" s="40">
        <f ca="1">IFERROR(SUMIFS('TRA balance'!AA$5:AA$40,'TRA balance'!$C$5:$C$40,Assumptions!$C23,'TRA balance'!$D$5:$D$40,Assumptions!$B23)*DU23*AD23,"")</f>
        <v>9.4706477479404</v>
      </c>
      <c r="CA23" s="40">
        <f ca="1">IFERROR(SUMIFS('TRA balance'!AB$5:AB$40,'TRA balance'!$C$5:$C$40,Assumptions!$C23,'TRA balance'!$D$5:$D$40,Assumptions!$B23)*DV23*AE23,"")</f>
        <v>57.7121165514432</v>
      </c>
      <c r="CB23" s="40">
        <f ca="1">IFERROR(SUMIFS('TRA balance'!AC$5:AC$40,'TRA balance'!$C$5:$C$40,Assumptions!$C23,'TRA balance'!$D$5:$D$40,Assumptions!$B23)*DW23*AF23,"")</f>
        <v>452.30065127928</v>
      </c>
      <c r="CC23" s="40">
        <f ca="1">IFERROR(SUMIFS('TRA balance'!AD$5:AD$40,'TRA balance'!$C$5:$C$40,Assumptions!$C23,'TRA balance'!$D$5:$D$40,Assumptions!$B23)*DX23*AG23,"")</f>
        <v>357.349368133019</v>
      </c>
      <c r="CD23" s="40">
        <f ca="1">IFERROR(SUMIFS('TRA balance'!AE$5:AE$40,'TRA balance'!$C$5:$C$40,Assumptions!$C23,'TRA balance'!$D$5:$D$40,Assumptions!$B23)*DY23*AH23,"")</f>
        <v>299.694982307515</v>
      </c>
      <c r="CE23" s="40">
        <f ca="1">IFERROR(SUMIFS('TRA balance'!AF$5:AF$40,'TRA balance'!$C$5:$C$40,Assumptions!$C23,'TRA balance'!$D$5:$D$40,Assumptions!$B23)*DZ23*AI23,"")</f>
        <v>31.65744484944</v>
      </c>
      <c r="CF23" s="40">
        <f ca="1">IFERROR(SUMIFS('TRA balance'!AG$5:AG$40,'TRA balance'!$C$5:$C$40,Assumptions!$C23,'TRA balance'!$D$5:$D$40,Assumptions!$B23)*EA23*AJ23,"")</f>
        <v>92.0515859323704</v>
      </c>
      <c r="CG23" s="40">
        <f ca="1">IFERROR(SUMIFS('TRA balance'!AH$5:AH$40,'TRA balance'!$C$5:$C$40,Assumptions!$C23,'TRA balance'!$D$5:$D$40,Assumptions!$B23)*EB23*AK23,"")</f>
        <v>64.560363743862</v>
      </c>
      <c r="CH23" s="40">
        <f ca="1">IFERROR(SUMIFS('TRA balance'!AI$5:AI$40,'TRA balance'!$C$5:$C$40,Assumptions!$C23,'TRA balance'!$D$5:$D$40,Assumptions!$B23)*EC23*AL23,"")</f>
        <v>33.9069897739566</v>
      </c>
      <c r="CI23" s="40">
        <f ca="1">IFERROR(SUMIFS('TRA balance'!AJ$5:AJ$40,'TRA balance'!$C$5:$C$40,Assumptions!$C23,'TRA balance'!$D$5:$D$40,Assumptions!$B23)*ED23*AM23,"")</f>
        <v>29.1965516279136</v>
      </c>
      <c r="CJ23" s="40">
        <f ca="1">IFERROR(SUMIFS('TRA balance'!AK$5:AK$40,'TRA balance'!$C$5:$C$40,Assumptions!$C23,'TRA balance'!$D$5:$D$40,Assumptions!$B23)*EE23*AN23,"")</f>
        <v>174.975216769912</v>
      </c>
      <c r="CK23" s="40">
        <f ca="1">IFERROR(SUMIFS('TRA balance'!AL$5:AL$40,'TRA balance'!$C$5:$C$40,Assumptions!$C23,'TRA balance'!$D$5:$D$40,Assumptions!$B23)*EF23*AO23,"")</f>
        <v>17.8217612950608</v>
      </c>
      <c r="CL23" s="40">
        <f ca="1">IFERROR(SUMIFS('TRA balance'!AM$5:AM$40,'TRA balance'!$C$5:$C$40,Assumptions!$C23,'TRA balance'!$D$5:$D$40,Assumptions!$B23)*EG23*AP23,"")</f>
        <v>11.6184056338548</v>
      </c>
      <c r="CM23" s="40">
        <f ca="1">IFERROR(SUMIFS('TRA balance'!AN$5:AN$40,'TRA balance'!$C$5:$C$40,Assumptions!$C23,'TRA balance'!$D$5:$D$40,Assumptions!$B23)*EH23*AQ23,"")</f>
        <v>0</v>
      </c>
      <c r="CN23" s="40">
        <f ca="1">IFERROR(SUMIFS('TRA balance'!AO$5:AO$40,'TRA balance'!$C$5:$C$40,Assumptions!$C23,'TRA balance'!$D$5:$D$40,Assumptions!$B23)*EI23*AR23,"")</f>
        <v>0</v>
      </c>
      <c r="CO23" s="40">
        <f ca="1">IFERROR(SUMIFS('TRA balance'!AP$5:AP$40,'TRA balance'!$C$5:$C$40,Assumptions!$C23,'TRA balance'!$D$5:$D$40,Assumptions!$B23)*EJ23*AS23,"")</f>
        <v>0</v>
      </c>
      <c r="CP23" s="40">
        <f ca="1">IFERROR(SUMIFS('TRA balance'!AQ$5:AQ$40,'TRA balance'!$C$5:$C$40,Assumptions!$C23,'TRA balance'!$D$5:$D$40,Assumptions!$B23)*EK23*AT23,"")</f>
        <v>0</v>
      </c>
      <c r="CQ23" s="40">
        <f ca="1">IFERROR(SUMIFS('TRA balance'!AR$5:AR$40,'TRA balance'!$C$5:$C$40,Assumptions!$C23,'TRA balance'!$D$5:$D$40,Assumptions!$B23)*EL23*AU23,"")</f>
        <v>0</v>
      </c>
      <c r="CR23" s="40">
        <f ca="1">IFERROR(SUMIFS('TRA balance'!AS$5:AS$40,'TRA balance'!$C$5:$C$40,Assumptions!$C23,'TRA balance'!$D$5:$D$40,Assumptions!$B23)*EM23*AV23,"")</f>
        <v>0</v>
      </c>
      <c r="CS23" s="40">
        <f ca="1">IFERROR(SUMIFS('TRA balance'!AT$5:AT$40,'TRA balance'!$C$5:$C$40,Assumptions!$C23,'TRA balance'!$D$5:$D$40,Assumptions!$B23)*EN23*AW23,"")</f>
        <v>0</v>
      </c>
      <c r="CT23" s="40">
        <f ca="1">IFERROR(SUMIFS('TRA balance'!AU$5:AU$40,'TRA balance'!$C$5:$C$40,Assumptions!$C23,'TRA balance'!$D$5:$D$40,Assumptions!$B23)*EO23*AX23,"")</f>
        <v>0</v>
      </c>
      <c r="CU23" s="40">
        <f ca="1">IFERROR(SUMIFS('TRA balance'!AV$5:AV$40,'TRA balance'!$C$5:$C$40,Assumptions!$C23,'TRA balance'!$D$5:$D$40,Assumptions!$B23)*EP23*AY23,"")</f>
        <v>0</v>
      </c>
      <c r="CV23" s="40">
        <f ca="1">IFERROR(SUMIFS('TRA balance'!AW$5:AW$40,'TRA balance'!$C$5:$C$40,Assumptions!$C23,'TRA balance'!$D$5:$D$40,Assumptions!$B23)*EQ23*AZ23,"")</f>
        <v>0</v>
      </c>
      <c r="CW23" s="40">
        <f ca="1">IFERROR(SUMIFS('TRA balance'!AX$5:AX$40,'TRA balance'!$C$5:$C$40,Assumptions!$C23,'TRA balance'!$D$5:$D$40,Assumptions!$B23)*ER23*BA23,"")</f>
        <v>0</v>
      </c>
      <c r="CY23" s="39">
        <f ca="1" t="shared" si="2"/>
        <v>1</v>
      </c>
      <c r="CZ23" s="39">
        <f ca="1" t="shared" si="3"/>
        <v>1</v>
      </c>
      <c r="DA23" s="39">
        <f ca="1" t="shared" si="4"/>
        <v>0.9</v>
      </c>
      <c r="DB23" s="39">
        <f ca="1" t="shared" si="5"/>
        <v>0.97</v>
      </c>
      <c r="DC23" s="39">
        <f ca="1" t="shared" si="6"/>
        <v>0.7</v>
      </c>
      <c r="DD23" s="39">
        <f ca="1" t="shared" si="7"/>
        <v>0.97</v>
      </c>
      <c r="DE23" s="39">
        <f ca="1" t="shared" si="8"/>
        <v>0.9</v>
      </c>
      <c r="DF23" s="39">
        <f ca="1" t="shared" si="9"/>
        <v>0.9</v>
      </c>
      <c r="DG23" s="39">
        <f ca="1" t="shared" si="10"/>
        <v>0.9</v>
      </c>
      <c r="DH23" s="39">
        <f ca="1" t="shared" si="11"/>
        <v>0.9</v>
      </c>
      <c r="DI23" s="39">
        <f ca="1" t="shared" si="12"/>
        <v>0.97</v>
      </c>
      <c r="DJ23" s="39">
        <f ca="1" t="shared" si="13"/>
        <v>0.97</v>
      </c>
      <c r="DK23" s="39">
        <f ca="1" t="shared" si="14"/>
        <v>0.97</v>
      </c>
      <c r="DL23" s="39">
        <f ca="1" t="shared" si="15"/>
        <v>0.9</v>
      </c>
      <c r="DM23" s="39">
        <f ca="1" t="shared" si="16"/>
        <v>0.97</v>
      </c>
      <c r="DN23" s="39">
        <f ca="1" t="shared" si="17"/>
        <v>1</v>
      </c>
      <c r="DO23" s="39">
        <f ca="1" t="shared" si="18"/>
        <v>0.97</v>
      </c>
      <c r="DP23" s="39">
        <f ca="1" t="shared" si="19"/>
        <v>0.97</v>
      </c>
      <c r="DQ23" s="39">
        <f ca="1" t="shared" si="20"/>
        <v>0.9</v>
      </c>
      <c r="DR23" s="39">
        <f ca="1" t="shared" si="21"/>
        <v>0.9</v>
      </c>
      <c r="DS23" s="39">
        <f ca="1" t="shared" si="22"/>
        <v>0.7</v>
      </c>
      <c r="DT23" s="39">
        <f ca="1" t="shared" si="23"/>
        <v>0.8</v>
      </c>
      <c r="DU23" s="39">
        <f ca="1" t="shared" si="24"/>
        <v>0.97</v>
      </c>
      <c r="DV23" s="39">
        <f ca="1" t="shared" si="25"/>
        <v>0.9</v>
      </c>
      <c r="DW23" s="39">
        <f ca="1" t="shared" si="26"/>
        <v>1</v>
      </c>
      <c r="DX23" s="39">
        <f ca="1" t="shared" si="27"/>
        <v>0.7</v>
      </c>
      <c r="DY23" s="39">
        <f ca="1" t="shared" si="28"/>
        <v>0.7</v>
      </c>
      <c r="DZ23" s="39">
        <f ca="1" t="shared" si="29"/>
        <v>1</v>
      </c>
      <c r="EA23" s="39">
        <f ca="1" t="shared" si="30"/>
        <v>0.97</v>
      </c>
      <c r="EB23" s="39">
        <f ca="1" t="shared" si="31"/>
        <v>0.97</v>
      </c>
      <c r="EC23" s="39">
        <f ca="1" t="shared" si="32"/>
        <v>0.97</v>
      </c>
      <c r="ED23" s="39">
        <f ca="1" t="shared" si="33"/>
        <v>0.7</v>
      </c>
      <c r="EE23" s="39">
        <f ca="1" t="shared" si="34"/>
        <v>0.97</v>
      </c>
      <c r="EF23" s="39">
        <f ca="1" t="shared" si="35"/>
        <v>0.7</v>
      </c>
      <c r="EG23" s="39">
        <f ca="1" t="shared" si="36"/>
        <v>0.9</v>
      </c>
      <c r="EH23" s="39">
        <f ca="1" t="shared" si="37"/>
        <v>0.8</v>
      </c>
      <c r="EI23" s="39">
        <f ca="1" t="shared" si="38"/>
        <v>0.8</v>
      </c>
      <c r="EJ23" s="39">
        <f ca="1" t="shared" si="39"/>
        <v>0.8</v>
      </c>
      <c r="EK23" s="39">
        <f ca="1" t="shared" si="40"/>
        <v>0.8</v>
      </c>
      <c r="EL23" s="39">
        <f ca="1" t="shared" si="41"/>
        <v>0.8</v>
      </c>
      <c r="EM23" s="39">
        <f ca="1" t="shared" si="42"/>
        <v>0.8</v>
      </c>
      <c r="EN23" s="39">
        <f ca="1" t="shared" si="43"/>
        <v>0.8</v>
      </c>
      <c r="EO23" s="39">
        <f ca="1" t="shared" si="44"/>
        <v>0.8</v>
      </c>
      <c r="EP23" s="39">
        <f ca="1" t="shared" si="45"/>
        <v>0.8</v>
      </c>
      <c r="EQ23" s="39">
        <f ca="1" t="shared" si="46"/>
        <v>0.8</v>
      </c>
      <c r="ER23" s="39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4" t="str">
        <f t="shared" si="48"/>
        <v>TR</v>
      </c>
      <c r="D24" s="55" t="s">
        <v>200</v>
      </c>
      <c r="E24" s="66" t="s">
        <v>206</v>
      </c>
      <c r="F24" s="56" t="str">
        <f t="shared" si="59"/>
        <v>Gasoline</v>
      </c>
      <c r="G24" s="54" t="s">
        <v>207</v>
      </c>
      <c r="H24" s="57">
        <f ca="1">OFFSET(TIAM15_assumptions!$G24,0,MATCH(VLOOKUP(Assumptions!H$2,TIAM15_assumptions!$Y$3:$Z$87,2,FALSE),TIAM15_assumptions!$H$2:$V$2,0))</f>
        <v>0.1</v>
      </c>
      <c r="I24" s="57">
        <f ca="1">OFFSET(TIAM15_assumptions!$G24,0,MATCH(VLOOKUP(Assumptions!I$2,TIAM15_assumptions!$Y$3:$Z$87,2,FALSE),TIAM15_assumptions!$H$2:$V$2,0))</f>
        <v>0.1</v>
      </c>
      <c r="J24" s="57">
        <f ca="1">OFFSET(TIAM15_assumptions!$G24,0,MATCH(VLOOKUP(Assumptions!J$2,TIAM15_assumptions!$Y$3:$Z$87,2,FALSE),TIAM15_assumptions!$H$2:$V$2,0))</f>
        <v>0</v>
      </c>
      <c r="K24" s="57">
        <f ca="1">OFFSET(TIAM15_assumptions!$G24,0,MATCH(VLOOKUP(Assumptions!K$2,TIAM15_assumptions!$Y$3:$Z$87,2,FALSE),TIAM15_assumptions!$H$2:$V$2,0))</f>
        <v>0.005</v>
      </c>
      <c r="L24" s="57">
        <f ca="1">OFFSET(TIAM15_assumptions!$G24,0,MATCH(VLOOKUP(Assumptions!L$2,TIAM15_assumptions!$Y$3:$Z$87,2,FALSE),TIAM15_assumptions!$H$2:$V$2,0))</f>
        <v>0.005</v>
      </c>
      <c r="M24" s="57">
        <f ca="1">OFFSET(TIAM15_assumptions!$G24,0,MATCH(VLOOKUP(Assumptions!M$2,TIAM15_assumptions!$Y$3:$Z$87,2,FALSE),TIAM15_assumptions!$H$2:$V$2,0))</f>
        <v>0.005</v>
      </c>
      <c r="N24" s="57">
        <f ca="1">OFFSET(TIAM15_assumptions!$G24,0,MATCH(VLOOKUP(Assumptions!N$2,TIAM15_assumptions!$Y$3:$Z$87,2,FALSE),TIAM15_assumptions!$H$2:$V$2,0))</f>
        <v>0.005</v>
      </c>
      <c r="O24" s="57">
        <f ca="1">OFFSET(TIAM15_assumptions!$G24,0,MATCH(VLOOKUP(Assumptions!O$2,TIAM15_assumptions!$Y$3:$Z$87,2,FALSE),TIAM15_assumptions!$H$2:$V$2,0))</f>
        <v>0</v>
      </c>
      <c r="P24" s="57">
        <f ca="1">OFFSET(TIAM15_assumptions!$G24,0,MATCH(VLOOKUP(Assumptions!P$2,TIAM15_assumptions!$Y$3:$Z$87,2,FALSE),TIAM15_assumptions!$H$2:$V$2,0))</f>
        <v>0.005</v>
      </c>
      <c r="Q24" s="57">
        <f ca="1">OFFSET(TIAM15_assumptions!$G24,0,MATCH(VLOOKUP(Assumptions!Q$2,TIAM15_assumptions!$Y$3:$Z$87,2,FALSE),TIAM15_assumptions!$H$2:$V$2,0))</f>
        <v>0.005</v>
      </c>
      <c r="R24" s="57">
        <f ca="1">OFFSET(TIAM15_assumptions!$G24,0,MATCH(VLOOKUP(Assumptions!R$2,TIAM15_assumptions!$Y$3:$Z$87,2,FALSE),TIAM15_assumptions!$H$2:$V$2,0))</f>
        <v>0.005</v>
      </c>
      <c r="S24" s="57">
        <f ca="1">OFFSET(TIAM15_assumptions!$G24,0,MATCH(VLOOKUP(Assumptions!S$2,TIAM15_assumptions!$Y$3:$Z$87,2,FALSE),TIAM15_assumptions!$H$2:$V$2,0))</f>
        <v>0.005</v>
      </c>
      <c r="T24" s="57">
        <f ca="1">OFFSET(TIAM15_assumptions!$G24,0,MATCH(VLOOKUP(Assumptions!T$2,TIAM15_assumptions!$Y$3:$Z$87,2,FALSE),TIAM15_assumptions!$H$2:$V$2,0))</f>
        <v>0.005</v>
      </c>
      <c r="U24" s="57">
        <f ca="1">OFFSET(TIAM15_assumptions!$G24,0,MATCH(VLOOKUP(Assumptions!U$2,TIAM15_assumptions!$Y$3:$Z$87,2,FALSE),TIAM15_assumptions!$H$2:$V$2,0))</f>
        <v>0.005</v>
      </c>
      <c r="V24" s="57">
        <f ca="1">OFFSET(TIAM15_assumptions!$G24,0,MATCH(VLOOKUP(Assumptions!V$2,TIAM15_assumptions!$Y$3:$Z$87,2,FALSE),TIAM15_assumptions!$H$2:$V$2,0))</f>
        <v>0.005</v>
      </c>
      <c r="W24" s="57">
        <f ca="1">OFFSET(TIAM15_assumptions!$G24,0,MATCH(VLOOKUP(Assumptions!W$2,TIAM15_assumptions!$Y$3:$Z$87,2,FALSE),TIAM15_assumptions!$H$2:$V$2,0))</f>
        <v>0.1</v>
      </c>
      <c r="X24" s="57">
        <f ca="1">OFFSET(TIAM15_assumptions!$G24,0,MATCH(VLOOKUP(Assumptions!X$2,TIAM15_assumptions!$Y$3:$Z$87,2,FALSE),TIAM15_assumptions!$H$2:$V$2,0))</f>
        <v>0.005</v>
      </c>
      <c r="Y24" s="57">
        <f ca="1">OFFSET(TIAM15_assumptions!$G24,0,MATCH(VLOOKUP(Assumptions!Y$2,TIAM15_assumptions!$Y$3:$Z$87,2,FALSE),TIAM15_assumptions!$H$2:$V$2,0))</f>
        <v>0.005</v>
      </c>
      <c r="Z24" s="57">
        <f ca="1">OFFSET(TIAM15_assumptions!$G24,0,MATCH(VLOOKUP(Assumptions!Z$2,TIAM15_assumptions!$Y$3:$Z$87,2,FALSE),TIAM15_assumptions!$H$2:$V$2,0))</f>
        <v>0.005</v>
      </c>
      <c r="AA24" s="57">
        <f ca="1">OFFSET(TIAM15_assumptions!$G24,0,MATCH(VLOOKUP(Assumptions!AA$2,TIAM15_assumptions!$Y$3:$Z$87,2,FALSE),TIAM15_assumptions!$H$2:$V$2,0))</f>
        <v>0.005</v>
      </c>
      <c r="AB24" s="57">
        <f ca="1">OFFSET(TIAM15_assumptions!$G24,0,MATCH(VLOOKUP(Assumptions!AB$2,TIAM15_assumptions!$Y$3:$Z$87,2,FALSE),TIAM15_assumptions!$H$2:$V$2,0))</f>
        <v>0.01</v>
      </c>
      <c r="AC24" s="57">
        <f ca="1">OFFSET(TIAM15_assumptions!$G24,0,MATCH(VLOOKUP(Assumptions!AC$2,TIAM15_assumptions!$Y$3:$Z$87,2,FALSE),TIAM15_assumptions!$H$2:$V$2,0))</f>
        <v>0.001</v>
      </c>
      <c r="AD24" s="57">
        <f ca="1">OFFSET(TIAM15_assumptions!$G24,0,MATCH(VLOOKUP(Assumptions!AD$2,TIAM15_assumptions!$Y$3:$Z$87,2,FALSE),TIAM15_assumptions!$H$2:$V$2,0))</f>
        <v>0.005</v>
      </c>
      <c r="AE24" s="57">
        <f ca="1">OFFSET(TIAM15_assumptions!$G24,0,MATCH(VLOOKUP(Assumptions!AE$2,TIAM15_assumptions!$Y$3:$Z$87,2,FALSE),TIAM15_assumptions!$H$2:$V$2,0))</f>
        <v>0.005</v>
      </c>
      <c r="AF24" s="57">
        <f ca="1">OFFSET(TIAM15_assumptions!$G24,0,MATCH(VLOOKUP(Assumptions!AF$2,TIAM15_assumptions!$Y$3:$Z$87,2,FALSE),TIAM15_assumptions!$H$2:$V$2,0))</f>
        <v>0.1</v>
      </c>
      <c r="AG24" s="57">
        <f ca="1">OFFSET(TIAM15_assumptions!$G24,0,MATCH(VLOOKUP(Assumptions!AG$2,TIAM15_assumptions!$Y$3:$Z$87,2,FALSE),TIAM15_assumptions!$H$2:$V$2,0))</f>
        <v>0.005</v>
      </c>
      <c r="AH24" s="57">
        <f ca="1">OFFSET(TIAM15_assumptions!$G24,0,MATCH(VLOOKUP(Assumptions!AH$2,TIAM15_assumptions!$Y$3:$Z$87,2,FALSE),TIAM15_assumptions!$H$2:$V$2,0))</f>
        <v>0.01</v>
      </c>
      <c r="AI24" s="57">
        <f ca="1">OFFSET(TIAM15_assumptions!$G24,0,MATCH(VLOOKUP(Assumptions!AI$2,TIAM15_assumptions!$Y$3:$Z$87,2,FALSE),TIAM15_assumptions!$H$2:$V$2,0))</f>
        <v>0.1</v>
      </c>
      <c r="AJ24" s="57">
        <f ca="1">OFFSET(TIAM15_assumptions!$G24,0,MATCH(VLOOKUP(Assumptions!AJ$2,TIAM15_assumptions!$Y$3:$Z$87,2,FALSE),TIAM15_assumptions!$H$2:$V$2,0))</f>
        <v>0.005</v>
      </c>
      <c r="AK24" s="57">
        <f ca="1">OFFSET(TIAM15_assumptions!$G24,0,MATCH(VLOOKUP(Assumptions!AK$2,TIAM15_assumptions!$Y$3:$Z$87,2,FALSE),TIAM15_assumptions!$H$2:$V$2,0))</f>
        <v>0.005</v>
      </c>
      <c r="AL24" s="57">
        <f ca="1">OFFSET(TIAM15_assumptions!$G24,0,MATCH(VLOOKUP(Assumptions!AL$2,TIAM15_assumptions!$Y$3:$Z$87,2,FALSE),TIAM15_assumptions!$H$2:$V$2,0))</f>
        <v>0.005</v>
      </c>
      <c r="AM24" s="57">
        <f ca="1">OFFSET(TIAM15_assumptions!$G24,0,MATCH(VLOOKUP(Assumptions!AM$2,TIAM15_assumptions!$Y$3:$Z$87,2,FALSE),TIAM15_assumptions!$H$2:$V$2,0))</f>
        <v>0.01</v>
      </c>
      <c r="AN24" s="57">
        <f ca="1">OFFSET(TIAM15_assumptions!$G24,0,MATCH(VLOOKUP(Assumptions!AN$2,TIAM15_assumptions!$Y$3:$Z$87,2,FALSE),TIAM15_assumptions!$H$2:$V$2,0))</f>
        <v>0.005</v>
      </c>
      <c r="AO24" s="57">
        <f ca="1">OFFSET(TIAM15_assumptions!$G24,0,MATCH(VLOOKUP(Assumptions!AO$2,TIAM15_assumptions!$Y$3:$Z$87,2,FALSE),TIAM15_assumptions!$H$2:$V$2,0))</f>
        <v>0.005</v>
      </c>
      <c r="AP24" s="57">
        <f ca="1">OFFSET(TIAM15_assumptions!$G24,0,MATCH(VLOOKUP(Assumptions!AP$2,TIAM15_assumptions!$Y$3:$Z$87,2,FALSE),TIAM15_assumptions!$H$2:$V$2,0))</f>
        <v>0.005</v>
      </c>
      <c r="AQ24" s="57">
        <f ca="1">OFFSET(TIAM15_assumptions!$G24,0,MATCH(VLOOKUP(Assumptions!AQ$2,TIAM15_assumptions!$Y$3:$Z$87,2,FALSE),TIAM15_assumptions!$H$2:$V$2,0))</f>
        <v>0.001</v>
      </c>
      <c r="AR24" s="57">
        <f ca="1">OFFSET(TIAM15_assumptions!$G24,0,MATCH(VLOOKUP(Assumptions!AR$2,TIAM15_assumptions!$Y$3:$Z$87,2,FALSE),TIAM15_assumptions!$H$2:$V$2,0))</f>
        <v>0.001</v>
      </c>
      <c r="AS24" s="57">
        <f ca="1">OFFSET(TIAM15_assumptions!$G24,0,MATCH(VLOOKUP(Assumptions!AS$2,TIAM15_assumptions!$Y$3:$Z$87,2,FALSE),TIAM15_assumptions!$H$2:$V$2,0))</f>
        <v>0.001</v>
      </c>
      <c r="AT24" s="57">
        <f ca="1">OFFSET(TIAM15_assumptions!$G24,0,MATCH(VLOOKUP(Assumptions!AT$2,TIAM15_assumptions!$Y$3:$Z$87,2,FALSE),TIAM15_assumptions!$H$2:$V$2,0))</f>
        <v>0.001</v>
      </c>
      <c r="AU24" s="57">
        <f ca="1">OFFSET(TIAM15_assumptions!$G24,0,MATCH(VLOOKUP(Assumptions!AU$2,TIAM15_assumptions!$Y$3:$Z$87,2,FALSE),TIAM15_assumptions!$H$2:$V$2,0))</f>
        <v>0.001</v>
      </c>
      <c r="AV24" s="57">
        <f ca="1">OFFSET(TIAM15_assumptions!$G24,0,MATCH(VLOOKUP(Assumptions!AV$2,TIAM15_assumptions!$Y$3:$Z$87,2,FALSE),TIAM15_assumptions!$H$2:$V$2,0))</f>
        <v>0.001</v>
      </c>
      <c r="AW24" s="57">
        <f ca="1">OFFSET(TIAM15_assumptions!$G24,0,MATCH(VLOOKUP(Assumptions!AW$2,TIAM15_assumptions!$Y$3:$Z$87,2,FALSE),TIAM15_assumptions!$H$2:$V$2,0))</f>
        <v>0.001</v>
      </c>
      <c r="AX24" s="57">
        <f ca="1">OFFSET(TIAM15_assumptions!$G24,0,MATCH(VLOOKUP(Assumptions!AX$2,TIAM15_assumptions!$Y$3:$Z$87,2,FALSE),TIAM15_assumptions!$H$2:$V$2,0))</f>
        <v>0.001</v>
      </c>
      <c r="AY24" s="57">
        <f ca="1">OFFSET(TIAM15_assumptions!$G24,0,MATCH(VLOOKUP(Assumptions!AY$2,TIAM15_assumptions!$Y$3:$Z$87,2,FALSE),TIAM15_assumptions!$H$2:$V$2,0))</f>
        <v>0.001</v>
      </c>
      <c r="AZ24" s="57">
        <f ca="1">OFFSET(TIAM15_assumptions!$G24,0,MATCH(VLOOKUP(Assumptions!AZ$2,TIAM15_assumptions!$Y$3:$Z$87,2,FALSE),TIAM15_assumptions!$H$2:$V$2,0))</f>
        <v>0.001</v>
      </c>
      <c r="BA24" s="57">
        <f ca="1">OFFSET(TIAM15_assumptions!$G24,0,MATCH(VLOOKUP(Assumptions!BA$2,TIAM15_assumptions!$Y$3:$Z$87,2,FALSE),TIAM15_assumptions!$H$2:$V$2,0))</f>
        <v>0.001</v>
      </c>
      <c r="BD24" s="40">
        <f ca="1">IFERROR(SUMIFS('TRA balance'!E$5:E$40,'TRA balance'!$C$5:$C$40,Assumptions!$C24,'TRA balance'!$D$5:$D$40,Assumptions!$B24)*CY24*H24,"")</f>
        <v>71.56702937484</v>
      </c>
      <c r="BE24" s="40">
        <f ca="1">IFERROR(SUMIFS('TRA balance'!F$5:F$40,'TRA balance'!$C$5:$C$40,Assumptions!$C24,'TRA balance'!$D$5:$D$40,Assumptions!$B24)*CZ24*I24,"")</f>
        <v>124.27521769944</v>
      </c>
      <c r="BF24" s="40">
        <f ca="1">IFERROR(SUMIFS('TRA balance'!G$5:G$40,'TRA balance'!$C$5:$C$40,Assumptions!$C24,'TRA balance'!$D$5:$D$40,Assumptions!$B24)*DA24*J24,"")</f>
        <v>0</v>
      </c>
      <c r="BG24" s="40">
        <f ca="1">IFERROR(SUMIFS('TRA balance'!H$5:H$40,'TRA balance'!$C$5:$C$40,Assumptions!$C24,'TRA balance'!$D$5:$D$40,Assumptions!$B24)*DB24*K24,"")</f>
        <v>0.33583422714228</v>
      </c>
      <c r="BH24" s="40">
        <f ca="1">IFERROR(SUMIFS('TRA balance'!I$5:I$40,'TRA balance'!$C$5:$C$40,Assumptions!$C24,'TRA balance'!$D$5:$D$40,Assumptions!$B24)*DC24*L24,"")</f>
        <v>0.1012057223562</v>
      </c>
      <c r="BI24" s="40">
        <f ca="1">IFERROR(SUMIFS('TRA balance'!J$5:J$40,'TRA balance'!$C$5:$C$40,Assumptions!$C24,'TRA balance'!$D$5:$D$40,Assumptions!$B24)*DD24*M24,"")</f>
        <v>1.29937338565218</v>
      </c>
      <c r="BJ24" s="40">
        <f ca="1">IFERROR(SUMIFS('TRA balance'!K$5:K$40,'TRA balance'!$C$5:$C$40,Assumptions!$C24,'TRA balance'!$D$5:$D$40,Assumptions!$B24)*DE24*N24,"")</f>
        <v>4.0418182817082</v>
      </c>
      <c r="BK24" s="40">
        <f ca="1">IFERROR(SUMIFS('TRA balance'!L$5:L$40,'TRA balance'!$C$5:$C$40,Assumptions!$C24,'TRA balance'!$D$5:$D$40,Assumptions!$B24)*DF24*O24,"")</f>
        <v>0</v>
      </c>
      <c r="BL24" s="40">
        <f ca="1">IFERROR(SUMIFS('TRA balance'!M$5:M$40,'TRA balance'!$C$5:$C$40,Assumptions!$C24,'TRA balance'!$D$5:$D$40,Assumptions!$B24)*DG24*P24,"")</f>
        <v>0.1691345719998</v>
      </c>
      <c r="BM24" s="40">
        <f ca="1">IFERROR(SUMIFS('TRA balance'!N$5:N$40,'TRA balance'!$C$5:$C$40,Assumptions!$C24,'TRA balance'!$D$5:$D$40,Assumptions!$B24)*DH24*Q24,"")</f>
        <v>0.400950011502</v>
      </c>
      <c r="BN24" s="40">
        <f ca="1">IFERROR(SUMIFS('TRA balance'!O$5:O$40,'TRA balance'!$C$5:$C$40,Assumptions!$C24,'TRA balance'!$D$5:$D$40,Assumptions!$B24)*DI24*R24,"")</f>
        <v>1.59615068474286</v>
      </c>
      <c r="BO24" s="40">
        <f ca="1">IFERROR(SUMIFS('TRA balance'!P$5:P$40,'TRA balance'!$C$5:$C$40,Assumptions!$C24,'TRA balance'!$D$5:$D$40,Assumptions!$B24)*DJ24*S24,"")</f>
        <v>3.50466819890778</v>
      </c>
      <c r="BP24" s="40">
        <f ca="1">IFERROR(SUMIFS('TRA balance'!Q$5:Q$40,'TRA balance'!$C$5:$C$40,Assumptions!$C24,'TRA balance'!$D$5:$D$40,Assumptions!$B24)*DK24*T24,"")</f>
        <v>0.5481242931051</v>
      </c>
      <c r="BQ24" s="40">
        <f ca="1">IFERROR(SUMIFS('TRA balance'!R$5:R$40,'TRA balance'!$C$5:$C$40,Assumptions!$C24,'TRA balance'!$D$5:$D$40,Assumptions!$B24)*DL24*U24,"")</f>
        <v>0.6249038526828</v>
      </c>
      <c r="BR24" s="40">
        <f ca="1">IFERROR(SUMIFS('TRA balance'!S$5:S$40,'TRA balance'!$C$5:$C$40,Assumptions!$C24,'TRA balance'!$D$5:$D$40,Assumptions!$B24)*DM24*V24,"")</f>
        <v>0.02533997458386</v>
      </c>
      <c r="BS24" s="40">
        <f ca="1">IFERROR(SUMIFS('TRA balance'!T$5:T$40,'TRA balance'!$C$5:$C$40,Assumptions!$C24,'TRA balance'!$D$5:$D$40,Assumptions!$B24)*DN24*W24,"")</f>
        <v>134.28800014104</v>
      </c>
      <c r="BT24" s="40">
        <f ca="1">IFERROR(SUMIFS('TRA balance'!U$5:U$40,'TRA balance'!$C$5:$C$40,Assumptions!$C24,'TRA balance'!$D$5:$D$40,Assumptions!$B24)*DO24*X24,"")</f>
        <v>0.15632851109112</v>
      </c>
      <c r="BU24" s="40">
        <f ca="1">IFERROR(SUMIFS('TRA balance'!V$5:V$40,'TRA balance'!$C$5:$C$40,Assumptions!$C24,'TRA balance'!$D$5:$D$40,Assumptions!$B24)*DP24*Y24,"")</f>
        <v>1.5834267140031</v>
      </c>
      <c r="BV24" s="40">
        <f ca="1">IFERROR(SUMIFS('TRA balance'!W$5:W$40,'TRA balance'!$C$5:$C$40,Assumptions!$C24,'TRA balance'!$D$5:$D$40,Assumptions!$B24)*DQ24*Z24,"")</f>
        <v>7.1304220296324</v>
      </c>
      <c r="BW24" s="40">
        <f ca="1">IFERROR(SUMIFS('TRA balance'!X$5:X$40,'TRA balance'!$C$5:$C$40,Assumptions!$C24,'TRA balance'!$D$5:$D$40,Assumptions!$B24)*DR24*AA24,"")</f>
        <v>7.6850577733086</v>
      </c>
      <c r="BX24" s="40">
        <f ca="1">IFERROR(SUMIFS('TRA balance'!Y$5:Y$40,'TRA balance'!$C$5:$C$40,Assumptions!$C24,'TRA balance'!$D$5:$D$40,Assumptions!$B24)*DS24*AB24,"")</f>
        <v>16.517367267786</v>
      </c>
      <c r="BY24" s="40">
        <f ca="1">IFERROR(SUMIFS('TRA balance'!Z$5:Z$40,'TRA balance'!$C$5:$C$40,Assumptions!$C24,'TRA balance'!$D$5:$D$40,Assumptions!$B24)*DT24*AC24,"")</f>
        <v>14.6777994476813</v>
      </c>
      <c r="BZ24" s="40">
        <f ca="1">IFERROR(SUMIFS('TRA balance'!AA$5:AA$40,'TRA balance'!$C$5:$C$40,Assumptions!$C24,'TRA balance'!$D$5:$D$40,Assumptions!$B24)*DU24*AD24,"")</f>
        <v>0.13529496782772</v>
      </c>
      <c r="CA24" s="40">
        <f ca="1">IFERROR(SUMIFS('TRA balance'!AB$5:AB$40,'TRA balance'!$C$5:$C$40,Assumptions!$C24,'TRA balance'!$D$5:$D$40,Assumptions!$B24)*DV24*AE24,"")</f>
        <v>0.8744260083552</v>
      </c>
      <c r="CB24" s="40">
        <f ca="1">IFERROR(SUMIFS('TRA balance'!AC$5:AC$40,'TRA balance'!$C$5:$C$40,Assumptions!$C24,'TRA balance'!$D$5:$D$40,Assumptions!$B24)*DW24*AF24,"")</f>
        <v>452.30065127928</v>
      </c>
      <c r="CC24" s="40">
        <f ca="1">IFERROR(SUMIFS('TRA balance'!AD$5:AD$40,'TRA balance'!$C$5:$C$40,Assumptions!$C24,'TRA balance'!$D$5:$D$40,Assumptions!$B24)*DX24*AG24,"")</f>
        <v>5.4143843656518</v>
      </c>
      <c r="CD24" s="40">
        <f ca="1">IFERROR(SUMIFS('TRA balance'!AE$5:AE$40,'TRA balance'!$C$5:$C$40,Assumptions!$C24,'TRA balance'!$D$5:$D$40,Assumptions!$B24)*DY24*AH24,"")</f>
        <v>7.1355948168456</v>
      </c>
      <c r="CE24" s="40">
        <f ca="1">IFERROR(SUMIFS('TRA balance'!AF$5:AF$40,'TRA balance'!$C$5:$C$40,Assumptions!$C24,'TRA balance'!$D$5:$D$40,Assumptions!$B24)*DZ24*AI24,"")</f>
        <v>31.65744484944</v>
      </c>
      <c r="CF24" s="40">
        <f ca="1">IFERROR(SUMIFS('TRA balance'!AG$5:AG$40,'TRA balance'!$C$5:$C$40,Assumptions!$C24,'TRA balance'!$D$5:$D$40,Assumptions!$B24)*EA24*AJ24,"")</f>
        <v>1.31502265617672</v>
      </c>
      <c r="CG24" s="40">
        <f ca="1">IFERROR(SUMIFS('TRA balance'!AH$5:AH$40,'TRA balance'!$C$5:$C$40,Assumptions!$C24,'TRA balance'!$D$5:$D$40,Assumptions!$B24)*EB24*AK24,"")</f>
        <v>0.9222909106266</v>
      </c>
      <c r="CH24" s="40">
        <f ca="1">IFERROR(SUMIFS('TRA balance'!AI$5:AI$40,'TRA balance'!$C$5:$C$40,Assumptions!$C24,'TRA balance'!$D$5:$D$40,Assumptions!$B24)*EC24*AL24,"")</f>
        <v>0.48438556819938</v>
      </c>
      <c r="CI24" s="40">
        <f ca="1">IFERROR(SUMIFS('TRA balance'!AJ$5:AJ$40,'TRA balance'!$C$5:$C$40,Assumptions!$C24,'TRA balance'!$D$5:$D$40,Assumptions!$B24)*ED24*AM24,"")</f>
        <v>0.6951559911408</v>
      </c>
      <c r="CJ24" s="40">
        <f ca="1">IFERROR(SUMIFS('TRA balance'!AK$5:AK$40,'TRA balance'!$C$5:$C$40,Assumptions!$C24,'TRA balance'!$D$5:$D$40,Assumptions!$B24)*EE24*AN24,"")</f>
        <v>2.49964595385588</v>
      </c>
      <c r="CK24" s="40">
        <f ca="1">IFERROR(SUMIFS('TRA balance'!AL$5:AL$40,'TRA balance'!$C$5:$C$40,Assumptions!$C24,'TRA balance'!$D$5:$D$40,Assumptions!$B24)*EF24*AO24,"")</f>
        <v>0.2700266862888</v>
      </c>
      <c r="CL24" s="40">
        <f ca="1">IFERROR(SUMIFS('TRA balance'!AM$5:AM$40,'TRA balance'!$C$5:$C$40,Assumptions!$C24,'TRA balance'!$D$5:$D$40,Assumptions!$B24)*EG24*AP24,"")</f>
        <v>0.1760364489978</v>
      </c>
      <c r="CM24" s="40">
        <f ca="1">IFERROR(SUMIFS('TRA balance'!AN$5:AN$40,'TRA balance'!$C$5:$C$40,Assumptions!$C24,'TRA balance'!$D$5:$D$40,Assumptions!$B24)*EH24*AQ24,"")</f>
        <v>0</v>
      </c>
      <c r="CN24" s="40">
        <f ca="1">IFERROR(SUMIFS('TRA balance'!AO$5:AO$40,'TRA balance'!$C$5:$C$40,Assumptions!$C24,'TRA balance'!$D$5:$D$40,Assumptions!$B24)*EI24*AR24,"")</f>
        <v>0</v>
      </c>
      <c r="CO24" s="40">
        <f ca="1">IFERROR(SUMIFS('TRA balance'!AP$5:AP$40,'TRA balance'!$C$5:$C$40,Assumptions!$C24,'TRA balance'!$D$5:$D$40,Assumptions!$B24)*EJ24*AS24,"")</f>
        <v>0</v>
      </c>
      <c r="CP24" s="40">
        <f ca="1">IFERROR(SUMIFS('TRA balance'!AQ$5:AQ$40,'TRA balance'!$C$5:$C$40,Assumptions!$C24,'TRA balance'!$D$5:$D$40,Assumptions!$B24)*EK24*AT24,"")</f>
        <v>0</v>
      </c>
      <c r="CQ24" s="40">
        <f ca="1">IFERROR(SUMIFS('TRA balance'!AR$5:AR$40,'TRA balance'!$C$5:$C$40,Assumptions!$C24,'TRA balance'!$D$5:$D$40,Assumptions!$B24)*EL24*AU24,"")</f>
        <v>0</v>
      </c>
      <c r="CR24" s="40">
        <f ca="1">IFERROR(SUMIFS('TRA balance'!AS$5:AS$40,'TRA balance'!$C$5:$C$40,Assumptions!$C24,'TRA balance'!$D$5:$D$40,Assumptions!$B24)*EM24*AV24,"")</f>
        <v>0</v>
      </c>
      <c r="CS24" s="40">
        <f ca="1">IFERROR(SUMIFS('TRA balance'!AT$5:AT$40,'TRA balance'!$C$5:$C$40,Assumptions!$C24,'TRA balance'!$D$5:$D$40,Assumptions!$B24)*EN24*AW24,"")</f>
        <v>0</v>
      </c>
      <c r="CT24" s="40">
        <f ca="1">IFERROR(SUMIFS('TRA balance'!AU$5:AU$40,'TRA balance'!$C$5:$C$40,Assumptions!$C24,'TRA balance'!$D$5:$D$40,Assumptions!$B24)*EO24*AX24,"")</f>
        <v>0</v>
      </c>
      <c r="CU24" s="40">
        <f ca="1">IFERROR(SUMIFS('TRA balance'!AV$5:AV$40,'TRA balance'!$C$5:$C$40,Assumptions!$C24,'TRA balance'!$D$5:$D$40,Assumptions!$B24)*EP24*AY24,"")</f>
        <v>0</v>
      </c>
      <c r="CV24" s="40">
        <f ca="1">IFERROR(SUMIFS('TRA balance'!AW$5:AW$40,'TRA balance'!$C$5:$C$40,Assumptions!$C24,'TRA balance'!$D$5:$D$40,Assumptions!$B24)*EQ24*AZ24,"")</f>
        <v>0</v>
      </c>
      <c r="CW24" s="40">
        <f ca="1">IFERROR(SUMIFS('TRA balance'!AX$5:AX$40,'TRA balance'!$C$5:$C$40,Assumptions!$C24,'TRA balance'!$D$5:$D$40,Assumptions!$B24)*ER24*BA24,"")</f>
        <v>0</v>
      </c>
      <c r="CY24" s="39">
        <f ca="1" t="shared" si="2"/>
        <v>1</v>
      </c>
      <c r="CZ24" s="39">
        <f ca="1" t="shared" si="3"/>
        <v>1</v>
      </c>
      <c r="DA24" s="39">
        <f ca="1" t="shared" si="4"/>
        <v>0.9</v>
      </c>
      <c r="DB24" s="39">
        <f ca="1" t="shared" si="5"/>
        <v>0.97</v>
      </c>
      <c r="DC24" s="39">
        <f ca="1" t="shared" si="6"/>
        <v>0.7</v>
      </c>
      <c r="DD24" s="39">
        <f ca="1" t="shared" si="7"/>
        <v>0.97</v>
      </c>
      <c r="DE24" s="39">
        <f ca="1" t="shared" si="8"/>
        <v>0.9</v>
      </c>
      <c r="DF24" s="39">
        <f ca="1" t="shared" si="9"/>
        <v>0.9</v>
      </c>
      <c r="DG24" s="39">
        <f ca="1" t="shared" si="10"/>
        <v>0.9</v>
      </c>
      <c r="DH24" s="39">
        <f ca="1" t="shared" si="11"/>
        <v>0.9</v>
      </c>
      <c r="DI24" s="39">
        <f ca="1" t="shared" si="12"/>
        <v>0.97</v>
      </c>
      <c r="DJ24" s="39">
        <f ca="1" t="shared" si="13"/>
        <v>0.97</v>
      </c>
      <c r="DK24" s="39">
        <f ca="1" t="shared" si="14"/>
        <v>0.97</v>
      </c>
      <c r="DL24" s="39">
        <f ca="1" t="shared" si="15"/>
        <v>0.9</v>
      </c>
      <c r="DM24" s="39">
        <f ca="1" t="shared" si="16"/>
        <v>0.97</v>
      </c>
      <c r="DN24" s="39">
        <f ca="1" t="shared" si="17"/>
        <v>1</v>
      </c>
      <c r="DO24" s="39">
        <f ca="1" t="shared" si="18"/>
        <v>0.97</v>
      </c>
      <c r="DP24" s="39">
        <f ca="1" t="shared" si="19"/>
        <v>0.97</v>
      </c>
      <c r="DQ24" s="39">
        <f ca="1" t="shared" si="20"/>
        <v>0.9</v>
      </c>
      <c r="DR24" s="39">
        <f ca="1" t="shared" si="21"/>
        <v>0.9</v>
      </c>
      <c r="DS24" s="39">
        <f ca="1" t="shared" si="22"/>
        <v>0.7</v>
      </c>
      <c r="DT24" s="39">
        <f ca="1" t="shared" si="23"/>
        <v>0.8</v>
      </c>
      <c r="DU24" s="39">
        <f ca="1" t="shared" si="24"/>
        <v>0.97</v>
      </c>
      <c r="DV24" s="39">
        <f ca="1" t="shared" si="25"/>
        <v>0.9</v>
      </c>
      <c r="DW24" s="39">
        <f ca="1" t="shared" si="26"/>
        <v>1</v>
      </c>
      <c r="DX24" s="39">
        <f ca="1" t="shared" si="27"/>
        <v>0.7</v>
      </c>
      <c r="DY24" s="39">
        <f ca="1" t="shared" si="28"/>
        <v>0.7</v>
      </c>
      <c r="DZ24" s="39">
        <f ca="1" t="shared" si="29"/>
        <v>1</v>
      </c>
      <c r="EA24" s="39">
        <f ca="1" t="shared" si="30"/>
        <v>0.97</v>
      </c>
      <c r="EB24" s="39">
        <f ca="1" t="shared" si="31"/>
        <v>0.97</v>
      </c>
      <c r="EC24" s="39">
        <f ca="1" t="shared" si="32"/>
        <v>0.97</v>
      </c>
      <c r="ED24" s="39">
        <f ca="1" t="shared" si="33"/>
        <v>0.7</v>
      </c>
      <c r="EE24" s="39">
        <f ca="1" t="shared" si="34"/>
        <v>0.97</v>
      </c>
      <c r="EF24" s="39">
        <f ca="1" t="shared" si="35"/>
        <v>0.7</v>
      </c>
      <c r="EG24" s="39">
        <f ca="1" t="shared" si="36"/>
        <v>0.9</v>
      </c>
      <c r="EH24" s="39">
        <f ca="1" t="shared" si="37"/>
        <v>0.8</v>
      </c>
      <c r="EI24" s="39">
        <f ca="1" t="shared" si="38"/>
        <v>0.8</v>
      </c>
      <c r="EJ24" s="39">
        <f ca="1" t="shared" si="39"/>
        <v>0.8</v>
      </c>
      <c r="EK24" s="39">
        <f ca="1" t="shared" si="40"/>
        <v>0.8</v>
      </c>
      <c r="EL24" s="39">
        <f ca="1" t="shared" si="41"/>
        <v>0.8</v>
      </c>
      <c r="EM24" s="39">
        <f ca="1" t="shared" si="42"/>
        <v>0.8</v>
      </c>
      <c r="EN24" s="39">
        <f ca="1" t="shared" si="43"/>
        <v>0.8</v>
      </c>
      <c r="EO24" s="39">
        <f ca="1" t="shared" si="44"/>
        <v>0.8</v>
      </c>
      <c r="EP24" s="39">
        <f ca="1" t="shared" si="45"/>
        <v>0.8</v>
      </c>
      <c r="EQ24" s="39">
        <f ca="1" t="shared" si="46"/>
        <v>0.8</v>
      </c>
      <c r="ER24" s="39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4" t="str">
        <f t="shared" si="48"/>
        <v>TR</v>
      </c>
      <c r="D25" s="55" t="s">
        <v>200</v>
      </c>
      <c r="E25" s="66" t="s">
        <v>208</v>
      </c>
      <c r="F25" s="56" t="str">
        <f t="shared" si="59"/>
        <v>Gasoline</v>
      </c>
      <c r="G25" s="54" t="s">
        <v>209</v>
      </c>
      <c r="H25" s="57">
        <f ca="1">OFFSET(TIAM15_assumptions!$G25,0,MATCH(VLOOKUP(Assumptions!H$2,TIAM15_assumptions!$Y$3:$Z$87,2,FALSE),TIAM15_assumptions!$H$2:$V$2,0))</f>
        <v>0.35</v>
      </c>
      <c r="I25" s="57">
        <f ca="1">OFFSET(TIAM15_assumptions!$G25,0,MATCH(VLOOKUP(Assumptions!I$2,TIAM15_assumptions!$Y$3:$Z$87,2,FALSE),TIAM15_assumptions!$H$2:$V$2,0))</f>
        <v>0.35</v>
      </c>
      <c r="J25" s="57">
        <f ca="1">OFFSET(TIAM15_assumptions!$G25,0,MATCH(VLOOKUP(Assumptions!J$2,TIAM15_assumptions!$Y$3:$Z$87,2,FALSE),TIAM15_assumptions!$H$2:$V$2,0))</f>
        <v>0.02</v>
      </c>
      <c r="K25" s="57">
        <f ca="1">OFFSET(TIAM15_assumptions!$G25,0,MATCH(VLOOKUP(Assumptions!K$2,TIAM15_assumptions!$Y$3:$Z$87,2,FALSE),TIAM15_assumptions!$H$2:$V$2,0))</f>
        <v>0.005</v>
      </c>
      <c r="L25" s="57">
        <f ca="1">OFFSET(TIAM15_assumptions!$G25,0,MATCH(VLOOKUP(Assumptions!L$2,TIAM15_assumptions!$Y$3:$Z$87,2,FALSE),TIAM15_assumptions!$H$2:$V$2,0))</f>
        <v>0.015</v>
      </c>
      <c r="M25" s="57">
        <f ca="1">OFFSET(TIAM15_assumptions!$G25,0,MATCH(VLOOKUP(Assumptions!M$2,TIAM15_assumptions!$Y$3:$Z$87,2,FALSE),TIAM15_assumptions!$H$2:$V$2,0))</f>
        <v>0.005</v>
      </c>
      <c r="N25" s="57">
        <f ca="1">OFFSET(TIAM15_assumptions!$G25,0,MATCH(VLOOKUP(Assumptions!N$2,TIAM15_assumptions!$Y$3:$Z$87,2,FALSE),TIAM15_assumptions!$H$2:$V$2,0))</f>
        <v>0.015</v>
      </c>
      <c r="O25" s="57">
        <f ca="1">OFFSET(TIAM15_assumptions!$G25,0,MATCH(VLOOKUP(Assumptions!O$2,TIAM15_assumptions!$Y$3:$Z$87,2,FALSE),TIAM15_assumptions!$H$2:$V$2,0))</f>
        <v>0.1</v>
      </c>
      <c r="P25" s="57">
        <f ca="1">OFFSET(TIAM15_assumptions!$G25,0,MATCH(VLOOKUP(Assumptions!P$2,TIAM15_assumptions!$Y$3:$Z$87,2,FALSE),TIAM15_assumptions!$H$2:$V$2,0))</f>
        <v>0.015</v>
      </c>
      <c r="Q25" s="57">
        <f ca="1">OFFSET(TIAM15_assumptions!$G25,0,MATCH(VLOOKUP(Assumptions!Q$2,TIAM15_assumptions!$Y$3:$Z$87,2,FALSE),TIAM15_assumptions!$H$2:$V$2,0))</f>
        <v>0.015</v>
      </c>
      <c r="R25" s="57">
        <f ca="1">OFFSET(TIAM15_assumptions!$G25,0,MATCH(VLOOKUP(Assumptions!R$2,TIAM15_assumptions!$Y$3:$Z$87,2,FALSE),TIAM15_assumptions!$H$2:$V$2,0))</f>
        <v>0.005</v>
      </c>
      <c r="S25" s="57">
        <f ca="1">OFFSET(TIAM15_assumptions!$G25,0,MATCH(VLOOKUP(Assumptions!S$2,TIAM15_assumptions!$Y$3:$Z$87,2,FALSE),TIAM15_assumptions!$H$2:$V$2,0))</f>
        <v>0.005</v>
      </c>
      <c r="T25" s="57">
        <f ca="1">OFFSET(TIAM15_assumptions!$G25,0,MATCH(VLOOKUP(Assumptions!T$2,TIAM15_assumptions!$Y$3:$Z$87,2,FALSE),TIAM15_assumptions!$H$2:$V$2,0))</f>
        <v>0.005</v>
      </c>
      <c r="U25" s="57">
        <f ca="1">OFFSET(TIAM15_assumptions!$G25,0,MATCH(VLOOKUP(Assumptions!U$2,TIAM15_assumptions!$Y$3:$Z$87,2,FALSE),TIAM15_assumptions!$H$2:$V$2,0))</f>
        <v>0.015</v>
      </c>
      <c r="V25" s="57">
        <f ca="1">OFFSET(TIAM15_assumptions!$G25,0,MATCH(VLOOKUP(Assumptions!V$2,TIAM15_assumptions!$Y$3:$Z$87,2,FALSE),TIAM15_assumptions!$H$2:$V$2,0))</f>
        <v>0.005</v>
      </c>
      <c r="W25" s="57">
        <f ca="1">OFFSET(TIAM15_assumptions!$G25,0,MATCH(VLOOKUP(Assumptions!W$2,TIAM15_assumptions!$Y$3:$Z$87,2,FALSE),TIAM15_assumptions!$H$2:$V$2,0))</f>
        <v>0.4</v>
      </c>
      <c r="X25" s="57">
        <f ca="1">OFFSET(TIAM15_assumptions!$G25,0,MATCH(VLOOKUP(Assumptions!X$2,TIAM15_assumptions!$Y$3:$Z$87,2,FALSE),TIAM15_assumptions!$H$2:$V$2,0))</f>
        <v>0.005</v>
      </c>
      <c r="Y25" s="57">
        <f ca="1">OFFSET(TIAM15_assumptions!$G25,0,MATCH(VLOOKUP(Assumptions!Y$2,TIAM15_assumptions!$Y$3:$Z$87,2,FALSE),TIAM15_assumptions!$H$2:$V$2,0))</f>
        <v>0.005</v>
      </c>
      <c r="Z25" s="57">
        <f ca="1">OFFSET(TIAM15_assumptions!$G25,0,MATCH(VLOOKUP(Assumptions!Z$2,TIAM15_assumptions!$Y$3:$Z$87,2,FALSE),TIAM15_assumptions!$H$2:$V$2,0))</f>
        <v>0.01</v>
      </c>
      <c r="AA25" s="57">
        <f ca="1">OFFSET(TIAM15_assumptions!$G25,0,MATCH(VLOOKUP(Assumptions!AA$2,TIAM15_assumptions!$Y$3:$Z$87,2,FALSE),TIAM15_assumptions!$H$2:$V$2,0))</f>
        <v>0.015</v>
      </c>
      <c r="AB25" s="57">
        <f ca="1">OFFSET(TIAM15_assumptions!$G25,0,MATCH(VLOOKUP(Assumptions!AB$2,TIAM15_assumptions!$Y$3:$Z$87,2,FALSE),TIAM15_assumptions!$H$2:$V$2,0))</f>
        <v>0.02</v>
      </c>
      <c r="AC25" s="57">
        <f ca="1">OFFSET(TIAM15_assumptions!$G25,0,MATCH(VLOOKUP(Assumptions!AC$2,TIAM15_assumptions!$Y$3:$Z$87,2,FALSE),TIAM15_assumptions!$H$2:$V$2,0))</f>
        <v>0.001</v>
      </c>
      <c r="AD25" s="57">
        <f ca="1">OFFSET(TIAM15_assumptions!$G25,0,MATCH(VLOOKUP(Assumptions!AD$2,TIAM15_assumptions!$Y$3:$Z$87,2,FALSE),TIAM15_assumptions!$H$2:$V$2,0))</f>
        <v>0.005</v>
      </c>
      <c r="AE25" s="57">
        <f ca="1">OFFSET(TIAM15_assumptions!$G25,0,MATCH(VLOOKUP(Assumptions!AE$2,TIAM15_assumptions!$Y$3:$Z$87,2,FALSE),TIAM15_assumptions!$H$2:$V$2,0))</f>
        <v>0.015</v>
      </c>
      <c r="AF25" s="57">
        <f ca="1">OFFSET(TIAM15_assumptions!$G25,0,MATCH(VLOOKUP(Assumptions!AF$2,TIAM15_assumptions!$Y$3:$Z$87,2,FALSE),TIAM15_assumptions!$H$2:$V$2,0))</f>
        <v>0.35</v>
      </c>
      <c r="AG25" s="57">
        <f ca="1">OFFSET(TIAM15_assumptions!$G25,0,MATCH(VLOOKUP(Assumptions!AG$2,TIAM15_assumptions!$Y$3:$Z$87,2,FALSE),TIAM15_assumptions!$H$2:$V$2,0))</f>
        <v>0.015</v>
      </c>
      <c r="AH25" s="57">
        <f ca="1">OFFSET(TIAM15_assumptions!$G25,0,MATCH(VLOOKUP(Assumptions!AH$2,TIAM15_assumptions!$Y$3:$Z$87,2,FALSE),TIAM15_assumptions!$H$2:$V$2,0))</f>
        <v>0.02</v>
      </c>
      <c r="AI25" s="57">
        <f ca="1">OFFSET(TIAM15_assumptions!$G25,0,MATCH(VLOOKUP(Assumptions!AI$2,TIAM15_assumptions!$Y$3:$Z$87,2,FALSE),TIAM15_assumptions!$H$2:$V$2,0))</f>
        <v>0.35</v>
      </c>
      <c r="AJ25" s="57">
        <f ca="1">OFFSET(TIAM15_assumptions!$G25,0,MATCH(VLOOKUP(Assumptions!AJ$2,TIAM15_assumptions!$Y$3:$Z$87,2,FALSE),TIAM15_assumptions!$H$2:$V$2,0))</f>
        <v>0.005</v>
      </c>
      <c r="AK25" s="57">
        <f ca="1">OFFSET(TIAM15_assumptions!$G25,0,MATCH(VLOOKUP(Assumptions!AK$2,TIAM15_assumptions!$Y$3:$Z$87,2,FALSE),TIAM15_assumptions!$H$2:$V$2,0))</f>
        <v>0.005</v>
      </c>
      <c r="AL25" s="57">
        <f ca="1">OFFSET(TIAM15_assumptions!$G25,0,MATCH(VLOOKUP(Assumptions!AL$2,TIAM15_assumptions!$Y$3:$Z$87,2,FALSE),TIAM15_assumptions!$H$2:$V$2,0))</f>
        <v>0.005</v>
      </c>
      <c r="AM25" s="57">
        <f ca="1">OFFSET(TIAM15_assumptions!$G25,0,MATCH(VLOOKUP(Assumptions!AM$2,TIAM15_assumptions!$Y$3:$Z$87,2,FALSE),TIAM15_assumptions!$H$2:$V$2,0))</f>
        <v>0.02</v>
      </c>
      <c r="AN25" s="57">
        <f ca="1">OFFSET(TIAM15_assumptions!$G25,0,MATCH(VLOOKUP(Assumptions!AN$2,TIAM15_assumptions!$Y$3:$Z$87,2,FALSE),TIAM15_assumptions!$H$2:$V$2,0))</f>
        <v>0.005</v>
      </c>
      <c r="AO25" s="57">
        <f ca="1">OFFSET(TIAM15_assumptions!$G25,0,MATCH(VLOOKUP(Assumptions!AO$2,TIAM15_assumptions!$Y$3:$Z$87,2,FALSE),TIAM15_assumptions!$H$2:$V$2,0))</f>
        <v>0.015</v>
      </c>
      <c r="AP25" s="57">
        <f ca="1">OFFSET(TIAM15_assumptions!$G25,0,MATCH(VLOOKUP(Assumptions!AP$2,TIAM15_assumptions!$Y$3:$Z$87,2,FALSE),TIAM15_assumptions!$H$2:$V$2,0))</f>
        <v>0.015</v>
      </c>
      <c r="AQ25" s="57">
        <f ca="1">OFFSET(TIAM15_assumptions!$G25,0,MATCH(VLOOKUP(Assumptions!AQ$2,TIAM15_assumptions!$Y$3:$Z$87,2,FALSE),TIAM15_assumptions!$H$2:$V$2,0))</f>
        <v>0.001</v>
      </c>
      <c r="AR25" s="57">
        <f ca="1">OFFSET(TIAM15_assumptions!$G25,0,MATCH(VLOOKUP(Assumptions!AR$2,TIAM15_assumptions!$Y$3:$Z$87,2,FALSE),TIAM15_assumptions!$H$2:$V$2,0))</f>
        <v>0.001</v>
      </c>
      <c r="AS25" s="57">
        <f ca="1">OFFSET(TIAM15_assumptions!$G25,0,MATCH(VLOOKUP(Assumptions!AS$2,TIAM15_assumptions!$Y$3:$Z$87,2,FALSE),TIAM15_assumptions!$H$2:$V$2,0))</f>
        <v>0.001</v>
      </c>
      <c r="AT25" s="57">
        <f ca="1">OFFSET(TIAM15_assumptions!$G25,0,MATCH(VLOOKUP(Assumptions!AT$2,TIAM15_assumptions!$Y$3:$Z$87,2,FALSE),TIAM15_assumptions!$H$2:$V$2,0))</f>
        <v>0.001</v>
      </c>
      <c r="AU25" s="57">
        <f ca="1">OFFSET(TIAM15_assumptions!$G25,0,MATCH(VLOOKUP(Assumptions!AU$2,TIAM15_assumptions!$Y$3:$Z$87,2,FALSE),TIAM15_assumptions!$H$2:$V$2,0))</f>
        <v>0.001</v>
      </c>
      <c r="AV25" s="57">
        <f ca="1">OFFSET(TIAM15_assumptions!$G25,0,MATCH(VLOOKUP(Assumptions!AV$2,TIAM15_assumptions!$Y$3:$Z$87,2,FALSE),TIAM15_assumptions!$H$2:$V$2,0))</f>
        <v>0.001</v>
      </c>
      <c r="AW25" s="57">
        <f ca="1">OFFSET(TIAM15_assumptions!$G25,0,MATCH(VLOOKUP(Assumptions!AW$2,TIAM15_assumptions!$Y$3:$Z$87,2,FALSE),TIAM15_assumptions!$H$2:$V$2,0))</f>
        <v>0.001</v>
      </c>
      <c r="AX25" s="57">
        <f ca="1">OFFSET(TIAM15_assumptions!$G25,0,MATCH(VLOOKUP(Assumptions!AX$2,TIAM15_assumptions!$Y$3:$Z$87,2,FALSE),TIAM15_assumptions!$H$2:$V$2,0))</f>
        <v>0.001</v>
      </c>
      <c r="AY25" s="57">
        <f ca="1">OFFSET(TIAM15_assumptions!$G25,0,MATCH(VLOOKUP(Assumptions!AY$2,TIAM15_assumptions!$Y$3:$Z$87,2,FALSE),TIAM15_assumptions!$H$2:$V$2,0))</f>
        <v>0.001</v>
      </c>
      <c r="AZ25" s="57">
        <f ca="1">OFFSET(TIAM15_assumptions!$G25,0,MATCH(VLOOKUP(Assumptions!AZ$2,TIAM15_assumptions!$Y$3:$Z$87,2,FALSE),TIAM15_assumptions!$H$2:$V$2,0))</f>
        <v>0.001</v>
      </c>
      <c r="BA25" s="57">
        <f ca="1">OFFSET(TIAM15_assumptions!$G25,0,MATCH(VLOOKUP(Assumptions!BA$2,TIAM15_assumptions!$Y$3:$Z$87,2,FALSE),TIAM15_assumptions!$H$2:$V$2,0))</f>
        <v>0.001</v>
      </c>
      <c r="BD25" s="40">
        <f ca="1">IFERROR(SUMIFS('TRA balance'!E$5:E$40,'TRA balance'!$C$5:$C$40,Assumptions!$C25,'TRA balance'!$D$5:$D$40,Assumptions!$B25)*CY25*H25,"")</f>
        <v>250.48460281194</v>
      </c>
      <c r="BE25" s="40">
        <f ca="1">IFERROR(SUMIFS('TRA balance'!F$5:F$40,'TRA balance'!$C$5:$C$40,Assumptions!$C25,'TRA balance'!$D$5:$D$40,Assumptions!$B25)*CZ25*I25,"")</f>
        <v>434.96326194804</v>
      </c>
      <c r="BF25" s="40">
        <f ca="1">IFERROR(SUMIFS('TRA balance'!G$5:G$40,'TRA balance'!$C$5:$C$40,Assumptions!$C25,'TRA balance'!$D$5:$D$40,Assumptions!$B25)*DA25*J25,"")</f>
        <v>10.2405930457104</v>
      </c>
      <c r="BG25" s="40">
        <f ca="1">IFERROR(SUMIFS('TRA balance'!H$5:H$40,'TRA balance'!$C$5:$C$40,Assumptions!$C25,'TRA balance'!$D$5:$D$40,Assumptions!$B25)*DB25*K25,"")</f>
        <v>0.33583422714228</v>
      </c>
      <c r="BH25" s="40">
        <f ca="1">IFERROR(SUMIFS('TRA balance'!I$5:I$40,'TRA balance'!$C$5:$C$40,Assumptions!$C25,'TRA balance'!$D$5:$D$40,Assumptions!$B25)*DC25*L25,"")</f>
        <v>0.3036171670686</v>
      </c>
      <c r="BI25" s="40">
        <f ca="1">IFERROR(SUMIFS('TRA balance'!J$5:J$40,'TRA balance'!$C$5:$C$40,Assumptions!$C25,'TRA balance'!$D$5:$D$40,Assumptions!$B25)*DD25*M25,"")</f>
        <v>1.29937338565218</v>
      </c>
      <c r="BJ25" s="40">
        <f ca="1">IFERROR(SUMIFS('TRA balance'!K$5:K$40,'TRA balance'!$C$5:$C$40,Assumptions!$C25,'TRA balance'!$D$5:$D$40,Assumptions!$B25)*DE25*N25,"")</f>
        <v>12.1254548451246</v>
      </c>
      <c r="BK25" s="40">
        <f ca="1">IFERROR(SUMIFS('TRA balance'!L$5:L$40,'TRA balance'!$C$5:$C$40,Assumptions!$C25,'TRA balance'!$D$5:$D$40,Assumptions!$B25)*DF25*O25,"")</f>
        <v>540.17052635916</v>
      </c>
      <c r="BL25" s="40">
        <f ca="1">IFERROR(SUMIFS('TRA balance'!M$5:M$40,'TRA balance'!$C$5:$C$40,Assumptions!$C25,'TRA balance'!$D$5:$D$40,Assumptions!$B25)*DG25*P25,"")</f>
        <v>0.5074037159994</v>
      </c>
      <c r="BM25" s="40">
        <f ca="1">IFERROR(SUMIFS('TRA balance'!N$5:N$40,'TRA balance'!$C$5:$C$40,Assumptions!$C25,'TRA balance'!$D$5:$D$40,Assumptions!$B25)*DH25*Q25,"")</f>
        <v>1.202850034506</v>
      </c>
      <c r="BN25" s="40">
        <f ca="1">IFERROR(SUMIFS('TRA balance'!O$5:O$40,'TRA balance'!$C$5:$C$40,Assumptions!$C25,'TRA balance'!$D$5:$D$40,Assumptions!$B25)*DI25*R25,"")</f>
        <v>1.59615068474286</v>
      </c>
      <c r="BO25" s="40">
        <f ca="1">IFERROR(SUMIFS('TRA balance'!P$5:P$40,'TRA balance'!$C$5:$C$40,Assumptions!$C25,'TRA balance'!$D$5:$D$40,Assumptions!$B25)*DJ25*S25,"")</f>
        <v>3.50466819890778</v>
      </c>
      <c r="BP25" s="40">
        <f ca="1">IFERROR(SUMIFS('TRA balance'!Q$5:Q$40,'TRA balance'!$C$5:$C$40,Assumptions!$C25,'TRA balance'!$D$5:$D$40,Assumptions!$B25)*DK25*T25,"")</f>
        <v>0.5481242931051</v>
      </c>
      <c r="BQ25" s="40">
        <f ca="1">IFERROR(SUMIFS('TRA balance'!R$5:R$40,'TRA balance'!$C$5:$C$40,Assumptions!$C25,'TRA balance'!$D$5:$D$40,Assumptions!$B25)*DL25*U25,"")</f>
        <v>1.8747115580484</v>
      </c>
      <c r="BR25" s="40">
        <f ca="1">IFERROR(SUMIFS('TRA balance'!S$5:S$40,'TRA balance'!$C$5:$C$40,Assumptions!$C25,'TRA balance'!$D$5:$D$40,Assumptions!$B25)*DM25*V25,"")</f>
        <v>0.02533997458386</v>
      </c>
      <c r="BS25" s="40">
        <f ca="1">IFERROR(SUMIFS('TRA balance'!T$5:T$40,'TRA balance'!$C$5:$C$40,Assumptions!$C25,'TRA balance'!$D$5:$D$40,Assumptions!$B25)*DN25*W25,"")</f>
        <v>537.15200056416</v>
      </c>
      <c r="BT25" s="40">
        <f ca="1">IFERROR(SUMIFS('TRA balance'!U$5:U$40,'TRA balance'!$C$5:$C$40,Assumptions!$C25,'TRA balance'!$D$5:$D$40,Assumptions!$B25)*DO25*X25,"")</f>
        <v>0.15632851109112</v>
      </c>
      <c r="BU25" s="40">
        <f ca="1">IFERROR(SUMIFS('TRA balance'!V$5:V$40,'TRA balance'!$C$5:$C$40,Assumptions!$C25,'TRA balance'!$D$5:$D$40,Assumptions!$B25)*DP25*Y25,"")</f>
        <v>1.5834267140031</v>
      </c>
      <c r="BV25" s="40">
        <f ca="1">IFERROR(SUMIFS('TRA balance'!W$5:W$40,'TRA balance'!$C$5:$C$40,Assumptions!$C25,'TRA balance'!$D$5:$D$40,Assumptions!$B25)*DQ25*Z25,"")</f>
        <v>14.2608440592648</v>
      </c>
      <c r="BW25" s="40">
        <f ca="1">IFERROR(SUMIFS('TRA balance'!X$5:X$40,'TRA balance'!$C$5:$C$40,Assumptions!$C25,'TRA balance'!$D$5:$D$40,Assumptions!$B25)*DR25*AA25,"")</f>
        <v>23.0551733199258</v>
      </c>
      <c r="BX25" s="40">
        <f ca="1">IFERROR(SUMIFS('TRA balance'!Y$5:Y$40,'TRA balance'!$C$5:$C$40,Assumptions!$C25,'TRA balance'!$D$5:$D$40,Assumptions!$B25)*DS25*AB25,"")</f>
        <v>33.034734535572</v>
      </c>
      <c r="BY25" s="40">
        <f ca="1">IFERROR(SUMIFS('TRA balance'!Z$5:Z$40,'TRA balance'!$C$5:$C$40,Assumptions!$C25,'TRA balance'!$D$5:$D$40,Assumptions!$B25)*DT25*AC25,"")</f>
        <v>14.6777994476813</v>
      </c>
      <c r="BZ25" s="40">
        <f ca="1">IFERROR(SUMIFS('TRA balance'!AA$5:AA$40,'TRA balance'!$C$5:$C$40,Assumptions!$C25,'TRA balance'!$D$5:$D$40,Assumptions!$B25)*DU25*AD25,"")</f>
        <v>0.13529496782772</v>
      </c>
      <c r="CA25" s="40">
        <f ca="1">IFERROR(SUMIFS('TRA balance'!AB$5:AB$40,'TRA balance'!$C$5:$C$40,Assumptions!$C25,'TRA balance'!$D$5:$D$40,Assumptions!$B25)*DV25*AE25,"")</f>
        <v>2.6232780250656</v>
      </c>
      <c r="CB25" s="40">
        <f ca="1">IFERROR(SUMIFS('TRA balance'!AC$5:AC$40,'TRA balance'!$C$5:$C$40,Assumptions!$C25,'TRA balance'!$D$5:$D$40,Assumptions!$B25)*DW25*AF25,"")</f>
        <v>1583.05227947748</v>
      </c>
      <c r="CC25" s="40">
        <f ca="1">IFERROR(SUMIFS('TRA balance'!AD$5:AD$40,'TRA balance'!$C$5:$C$40,Assumptions!$C25,'TRA balance'!$D$5:$D$40,Assumptions!$B25)*DX25*AG25,"")</f>
        <v>16.2431530969554</v>
      </c>
      <c r="CD25" s="40">
        <f ca="1">IFERROR(SUMIFS('TRA balance'!AE$5:AE$40,'TRA balance'!$C$5:$C$40,Assumptions!$C25,'TRA balance'!$D$5:$D$40,Assumptions!$B25)*DY25*AH25,"")</f>
        <v>14.2711896336912</v>
      </c>
      <c r="CE25" s="40">
        <f ca="1">IFERROR(SUMIFS('TRA balance'!AF$5:AF$40,'TRA balance'!$C$5:$C$40,Assumptions!$C25,'TRA balance'!$D$5:$D$40,Assumptions!$B25)*DZ25*AI25,"")</f>
        <v>110.80105697304</v>
      </c>
      <c r="CF25" s="40">
        <f ca="1">IFERROR(SUMIFS('TRA balance'!AG$5:AG$40,'TRA balance'!$C$5:$C$40,Assumptions!$C25,'TRA balance'!$D$5:$D$40,Assumptions!$B25)*EA25*AJ25,"")</f>
        <v>1.31502265617672</v>
      </c>
      <c r="CG25" s="40">
        <f ca="1">IFERROR(SUMIFS('TRA balance'!AH$5:AH$40,'TRA balance'!$C$5:$C$40,Assumptions!$C25,'TRA balance'!$D$5:$D$40,Assumptions!$B25)*EB25*AK25,"")</f>
        <v>0.9222909106266</v>
      </c>
      <c r="CH25" s="40">
        <f ca="1">IFERROR(SUMIFS('TRA balance'!AI$5:AI$40,'TRA balance'!$C$5:$C$40,Assumptions!$C25,'TRA balance'!$D$5:$D$40,Assumptions!$B25)*EC25*AL25,"")</f>
        <v>0.48438556819938</v>
      </c>
      <c r="CI25" s="40">
        <f ca="1">IFERROR(SUMIFS('TRA balance'!AJ$5:AJ$40,'TRA balance'!$C$5:$C$40,Assumptions!$C25,'TRA balance'!$D$5:$D$40,Assumptions!$B25)*ED25*AM25,"")</f>
        <v>1.3903119822816</v>
      </c>
      <c r="CJ25" s="40">
        <f ca="1">IFERROR(SUMIFS('TRA balance'!AK$5:AK$40,'TRA balance'!$C$5:$C$40,Assumptions!$C25,'TRA balance'!$D$5:$D$40,Assumptions!$B25)*EE25*AN25,"")</f>
        <v>2.49964595385588</v>
      </c>
      <c r="CK25" s="40">
        <f ca="1">IFERROR(SUMIFS('TRA balance'!AL$5:AL$40,'TRA balance'!$C$5:$C$40,Assumptions!$C25,'TRA balance'!$D$5:$D$40,Assumptions!$B25)*EF25*AO25,"")</f>
        <v>0.8100800588664</v>
      </c>
      <c r="CL25" s="40">
        <f ca="1">IFERROR(SUMIFS('TRA balance'!AM$5:AM$40,'TRA balance'!$C$5:$C$40,Assumptions!$C25,'TRA balance'!$D$5:$D$40,Assumptions!$B25)*EG25*AP25,"")</f>
        <v>0.5281093469934</v>
      </c>
      <c r="CM25" s="40">
        <f ca="1">IFERROR(SUMIFS('TRA balance'!AN$5:AN$40,'TRA balance'!$C$5:$C$40,Assumptions!$C25,'TRA balance'!$D$5:$D$40,Assumptions!$B25)*EH25*AQ25,"")</f>
        <v>0</v>
      </c>
      <c r="CN25" s="40">
        <f ca="1">IFERROR(SUMIFS('TRA balance'!AO$5:AO$40,'TRA balance'!$C$5:$C$40,Assumptions!$C25,'TRA balance'!$D$5:$D$40,Assumptions!$B25)*EI25*AR25,"")</f>
        <v>0</v>
      </c>
      <c r="CO25" s="40">
        <f ca="1">IFERROR(SUMIFS('TRA balance'!AP$5:AP$40,'TRA balance'!$C$5:$C$40,Assumptions!$C25,'TRA balance'!$D$5:$D$40,Assumptions!$B25)*EJ25*AS25,"")</f>
        <v>0</v>
      </c>
      <c r="CP25" s="40">
        <f ca="1">IFERROR(SUMIFS('TRA balance'!AQ$5:AQ$40,'TRA balance'!$C$5:$C$40,Assumptions!$C25,'TRA balance'!$D$5:$D$40,Assumptions!$B25)*EK25*AT25,"")</f>
        <v>0</v>
      </c>
      <c r="CQ25" s="40">
        <f ca="1">IFERROR(SUMIFS('TRA balance'!AR$5:AR$40,'TRA balance'!$C$5:$C$40,Assumptions!$C25,'TRA balance'!$D$5:$D$40,Assumptions!$B25)*EL25*AU25,"")</f>
        <v>0</v>
      </c>
      <c r="CR25" s="40">
        <f ca="1">IFERROR(SUMIFS('TRA balance'!AS$5:AS$40,'TRA balance'!$C$5:$C$40,Assumptions!$C25,'TRA balance'!$D$5:$D$40,Assumptions!$B25)*EM25*AV25,"")</f>
        <v>0</v>
      </c>
      <c r="CS25" s="40">
        <f ca="1">IFERROR(SUMIFS('TRA balance'!AT$5:AT$40,'TRA balance'!$C$5:$C$40,Assumptions!$C25,'TRA balance'!$D$5:$D$40,Assumptions!$B25)*EN25*AW25,"")</f>
        <v>0</v>
      </c>
      <c r="CT25" s="40">
        <f ca="1">IFERROR(SUMIFS('TRA balance'!AU$5:AU$40,'TRA balance'!$C$5:$C$40,Assumptions!$C25,'TRA balance'!$D$5:$D$40,Assumptions!$B25)*EO25*AX25,"")</f>
        <v>0</v>
      </c>
      <c r="CU25" s="40">
        <f ca="1">IFERROR(SUMIFS('TRA balance'!AV$5:AV$40,'TRA balance'!$C$5:$C$40,Assumptions!$C25,'TRA balance'!$D$5:$D$40,Assumptions!$B25)*EP25*AY25,"")</f>
        <v>0</v>
      </c>
      <c r="CV25" s="40">
        <f ca="1">IFERROR(SUMIFS('TRA balance'!AW$5:AW$40,'TRA balance'!$C$5:$C$40,Assumptions!$C25,'TRA balance'!$D$5:$D$40,Assumptions!$B25)*EQ25*AZ25,"")</f>
        <v>0</v>
      </c>
      <c r="CW25" s="40">
        <f ca="1">IFERROR(SUMIFS('TRA balance'!AX$5:AX$40,'TRA balance'!$C$5:$C$40,Assumptions!$C25,'TRA balance'!$D$5:$D$40,Assumptions!$B25)*ER25*BA25,"")</f>
        <v>0</v>
      </c>
      <c r="CY25" s="39">
        <f ca="1" t="shared" si="2"/>
        <v>1</v>
      </c>
      <c r="CZ25" s="39">
        <f ca="1" t="shared" si="3"/>
        <v>1</v>
      </c>
      <c r="DA25" s="39">
        <f ca="1" t="shared" si="4"/>
        <v>0.9</v>
      </c>
      <c r="DB25" s="39">
        <f ca="1" t="shared" si="5"/>
        <v>0.97</v>
      </c>
      <c r="DC25" s="39">
        <f ca="1" t="shared" si="6"/>
        <v>0.7</v>
      </c>
      <c r="DD25" s="39">
        <f ca="1" t="shared" si="7"/>
        <v>0.97</v>
      </c>
      <c r="DE25" s="39">
        <f ca="1" t="shared" si="8"/>
        <v>0.9</v>
      </c>
      <c r="DF25" s="39">
        <f ca="1" t="shared" si="9"/>
        <v>0.9</v>
      </c>
      <c r="DG25" s="39">
        <f ca="1" t="shared" si="10"/>
        <v>0.9</v>
      </c>
      <c r="DH25" s="39">
        <f ca="1" t="shared" si="11"/>
        <v>0.9</v>
      </c>
      <c r="DI25" s="39">
        <f ca="1" t="shared" si="12"/>
        <v>0.97</v>
      </c>
      <c r="DJ25" s="39">
        <f ca="1" t="shared" si="13"/>
        <v>0.97</v>
      </c>
      <c r="DK25" s="39">
        <f ca="1" t="shared" si="14"/>
        <v>0.97</v>
      </c>
      <c r="DL25" s="39">
        <f ca="1" t="shared" si="15"/>
        <v>0.9</v>
      </c>
      <c r="DM25" s="39">
        <f ca="1" t="shared" si="16"/>
        <v>0.97</v>
      </c>
      <c r="DN25" s="39">
        <f ca="1" t="shared" si="17"/>
        <v>1</v>
      </c>
      <c r="DO25" s="39">
        <f ca="1" t="shared" si="18"/>
        <v>0.97</v>
      </c>
      <c r="DP25" s="39">
        <f ca="1" t="shared" si="19"/>
        <v>0.97</v>
      </c>
      <c r="DQ25" s="39">
        <f ca="1" t="shared" si="20"/>
        <v>0.9</v>
      </c>
      <c r="DR25" s="39">
        <f ca="1" t="shared" si="21"/>
        <v>0.9</v>
      </c>
      <c r="DS25" s="39">
        <f ca="1" t="shared" si="22"/>
        <v>0.7</v>
      </c>
      <c r="DT25" s="39">
        <f ca="1" t="shared" si="23"/>
        <v>0.8</v>
      </c>
      <c r="DU25" s="39">
        <f ca="1" t="shared" si="24"/>
        <v>0.97</v>
      </c>
      <c r="DV25" s="39">
        <f ca="1" t="shared" si="25"/>
        <v>0.9</v>
      </c>
      <c r="DW25" s="39">
        <f ca="1" t="shared" si="26"/>
        <v>1</v>
      </c>
      <c r="DX25" s="39">
        <f ca="1" t="shared" si="27"/>
        <v>0.7</v>
      </c>
      <c r="DY25" s="39">
        <f ca="1" t="shared" si="28"/>
        <v>0.7</v>
      </c>
      <c r="DZ25" s="39">
        <f ca="1" t="shared" si="29"/>
        <v>1</v>
      </c>
      <c r="EA25" s="39">
        <f ca="1" t="shared" si="30"/>
        <v>0.97</v>
      </c>
      <c r="EB25" s="39">
        <f ca="1" t="shared" si="31"/>
        <v>0.97</v>
      </c>
      <c r="EC25" s="39">
        <f ca="1" t="shared" si="32"/>
        <v>0.97</v>
      </c>
      <c r="ED25" s="39">
        <f ca="1" t="shared" si="33"/>
        <v>0.7</v>
      </c>
      <c r="EE25" s="39">
        <f ca="1" t="shared" si="34"/>
        <v>0.97</v>
      </c>
      <c r="EF25" s="39">
        <f ca="1" t="shared" si="35"/>
        <v>0.7</v>
      </c>
      <c r="EG25" s="39">
        <f ca="1" t="shared" si="36"/>
        <v>0.9</v>
      </c>
      <c r="EH25" s="39">
        <f ca="1" t="shared" si="37"/>
        <v>0.8</v>
      </c>
      <c r="EI25" s="39">
        <f ca="1" t="shared" si="38"/>
        <v>0.8</v>
      </c>
      <c r="EJ25" s="39">
        <f ca="1" t="shared" si="39"/>
        <v>0.8</v>
      </c>
      <c r="EK25" s="39">
        <f ca="1" t="shared" si="40"/>
        <v>0.8</v>
      </c>
      <c r="EL25" s="39">
        <f ca="1" t="shared" si="41"/>
        <v>0.8</v>
      </c>
      <c r="EM25" s="39">
        <f ca="1" t="shared" si="42"/>
        <v>0.8</v>
      </c>
      <c r="EN25" s="39">
        <f ca="1" t="shared" si="43"/>
        <v>0.8</v>
      </c>
      <c r="EO25" s="39">
        <f ca="1" t="shared" si="44"/>
        <v>0.8</v>
      </c>
      <c r="EP25" s="39">
        <f ca="1" t="shared" si="45"/>
        <v>0.8</v>
      </c>
      <c r="EQ25" s="39">
        <f ca="1" t="shared" si="46"/>
        <v>0.8</v>
      </c>
      <c r="ER25" s="39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4" t="str">
        <f t="shared" si="48"/>
        <v/>
      </c>
      <c r="D26" s="55"/>
      <c r="E26" s="67" t="s">
        <v>210</v>
      </c>
      <c r="F26" s="56" t="str">
        <f t="shared" si="59"/>
        <v>Gasoline</v>
      </c>
      <c r="G26" s="54"/>
      <c r="H26" s="67" t="str">
        <f ca="1">IF(SUM(H22:H25)=1,"-","&lt;&gt;1!!")</f>
        <v>-</v>
      </c>
      <c r="I26" s="67" t="str">
        <f ca="1" t="shared" ref="I26:BA26" si="60">IF(SUM(I22:I25)=1,"-","&lt;&gt;1!!")</f>
        <v>-</v>
      </c>
      <c r="J26" s="67" t="str">
        <f ca="1" t="shared" si="60"/>
        <v>-</v>
      </c>
      <c r="K26" s="67" t="str">
        <f ca="1" t="shared" si="60"/>
        <v>-</v>
      </c>
      <c r="L26" s="67" t="str">
        <f ca="1" t="shared" si="60"/>
        <v>-</v>
      </c>
      <c r="M26" s="67" t="str">
        <f ca="1" t="shared" si="60"/>
        <v>-</v>
      </c>
      <c r="N26" s="67" t="str">
        <f ca="1" t="shared" si="60"/>
        <v>-</v>
      </c>
      <c r="O26" s="67" t="str">
        <f ca="1" t="shared" si="60"/>
        <v>-</v>
      </c>
      <c r="P26" s="67" t="str">
        <f ca="1" t="shared" si="60"/>
        <v>-</v>
      </c>
      <c r="Q26" s="67" t="str">
        <f ca="1" t="shared" si="60"/>
        <v>-</v>
      </c>
      <c r="R26" s="67" t="str">
        <f ca="1" t="shared" si="60"/>
        <v>-</v>
      </c>
      <c r="S26" s="67" t="str">
        <f ca="1" t="shared" si="60"/>
        <v>-</v>
      </c>
      <c r="T26" s="67" t="str">
        <f ca="1" t="shared" si="60"/>
        <v>-</v>
      </c>
      <c r="U26" s="67" t="str">
        <f ca="1" t="shared" si="60"/>
        <v>-</v>
      </c>
      <c r="V26" s="67" t="str">
        <f ca="1" t="shared" si="60"/>
        <v>-</v>
      </c>
      <c r="W26" s="67" t="str">
        <f ca="1" t="shared" si="60"/>
        <v>-</v>
      </c>
      <c r="X26" s="67" t="str">
        <f ca="1" t="shared" si="60"/>
        <v>-</v>
      </c>
      <c r="Y26" s="67" t="str">
        <f ca="1" t="shared" si="60"/>
        <v>-</v>
      </c>
      <c r="Z26" s="67" t="str">
        <f ca="1" t="shared" si="60"/>
        <v>-</v>
      </c>
      <c r="AA26" s="67" t="str">
        <f ca="1" t="shared" si="60"/>
        <v>-</v>
      </c>
      <c r="AB26" s="67" t="str">
        <f ca="1" t="shared" si="60"/>
        <v>-</v>
      </c>
      <c r="AC26" s="67" t="str">
        <f ca="1" t="shared" si="60"/>
        <v>-</v>
      </c>
      <c r="AD26" s="67" t="str">
        <f ca="1" t="shared" si="60"/>
        <v>-</v>
      </c>
      <c r="AE26" s="67" t="str">
        <f ca="1" t="shared" si="60"/>
        <v>-</v>
      </c>
      <c r="AF26" s="67" t="str">
        <f ca="1" t="shared" si="60"/>
        <v>-</v>
      </c>
      <c r="AG26" s="67" t="str">
        <f ca="1" t="shared" si="60"/>
        <v>-</v>
      </c>
      <c r="AH26" s="67" t="str">
        <f ca="1" t="shared" si="60"/>
        <v>-</v>
      </c>
      <c r="AI26" s="67" t="str">
        <f ca="1" t="shared" si="60"/>
        <v>-</v>
      </c>
      <c r="AJ26" s="67" t="str">
        <f ca="1" t="shared" si="60"/>
        <v>-</v>
      </c>
      <c r="AK26" s="67" t="str">
        <f ca="1" t="shared" si="60"/>
        <v>-</v>
      </c>
      <c r="AL26" s="67" t="str">
        <f ca="1" t="shared" si="60"/>
        <v>-</v>
      </c>
      <c r="AM26" s="67" t="str">
        <f ca="1" t="shared" si="60"/>
        <v>-</v>
      </c>
      <c r="AN26" s="67" t="str">
        <f ca="1" t="shared" si="60"/>
        <v>-</v>
      </c>
      <c r="AO26" s="67" t="str">
        <f ca="1" t="shared" si="60"/>
        <v>-</v>
      </c>
      <c r="AP26" s="67" t="str">
        <f ca="1" t="shared" si="60"/>
        <v>-</v>
      </c>
      <c r="AQ26" s="67" t="str">
        <f ca="1" t="shared" si="60"/>
        <v>-</v>
      </c>
      <c r="AR26" s="67" t="str">
        <f ca="1" t="shared" si="60"/>
        <v>-</v>
      </c>
      <c r="AS26" s="67" t="str">
        <f ca="1" t="shared" si="60"/>
        <v>-</v>
      </c>
      <c r="AT26" s="67" t="str">
        <f ca="1" t="shared" si="60"/>
        <v>-</v>
      </c>
      <c r="AU26" s="67" t="str">
        <f ca="1" t="shared" si="60"/>
        <v>-</v>
      </c>
      <c r="AV26" s="67" t="str">
        <f ca="1" t="shared" si="60"/>
        <v>-</v>
      </c>
      <c r="AW26" s="67" t="str">
        <f ca="1" t="shared" si="60"/>
        <v>-</v>
      </c>
      <c r="AX26" s="67" t="str">
        <f ca="1" t="shared" si="60"/>
        <v>-</v>
      </c>
      <c r="AY26" s="67" t="str">
        <f ca="1" t="shared" si="60"/>
        <v>-</v>
      </c>
      <c r="AZ26" s="67" t="str">
        <f ca="1" t="shared" si="60"/>
        <v>-</v>
      </c>
      <c r="BA26" s="67" t="str">
        <f ca="1" t="shared" si="60"/>
        <v>-</v>
      </c>
      <c r="BD26" s="40" t="str">
        <f ca="1">IFERROR(SUMIFS('TRA balance'!E$5:E$40,'TRA balance'!$C$5:$C$40,Assumptions!$C26,'TRA balance'!$D$5:$D$40,Assumptions!$B26)*CY26*H26,"")</f>
        <v/>
      </c>
      <c r="BE26" s="40" t="str">
        <f ca="1">IFERROR(SUMIFS('TRA balance'!F$5:F$40,'TRA balance'!$C$5:$C$40,Assumptions!$C26,'TRA balance'!$D$5:$D$40,Assumptions!$B26)*CZ26*I26,"")</f>
        <v/>
      </c>
      <c r="BF26" s="40" t="str">
        <f ca="1">IFERROR(SUMIFS('TRA balance'!G$5:G$40,'TRA balance'!$C$5:$C$40,Assumptions!$C26,'TRA balance'!$D$5:$D$40,Assumptions!$B26)*DA26*J26,"")</f>
        <v/>
      </c>
      <c r="BG26" s="40" t="str">
        <f ca="1">IFERROR(SUMIFS('TRA balance'!H$5:H$40,'TRA balance'!$C$5:$C$40,Assumptions!$C26,'TRA balance'!$D$5:$D$40,Assumptions!$B26)*DB26*K26,"")</f>
        <v/>
      </c>
      <c r="BH26" s="40" t="str">
        <f ca="1">IFERROR(SUMIFS('TRA balance'!I$5:I$40,'TRA balance'!$C$5:$C$40,Assumptions!$C26,'TRA balance'!$D$5:$D$40,Assumptions!$B26)*DC26*L26,"")</f>
        <v/>
      </c>
      <c r="BI26" s="40" t="str">
        <f ca="1">IFERROR(SUMIFS('TRA balance'!J$5:J$40,'TRA balance'!$C$5:$C$40,Assumptions!$C26,'TRA balance'!$D$5:$D$40,Assumptions!$B26)*DD26*M26,"")</f>
        <v/>
      </c>
      <c r="BJ26" s="40" t="str">
        <f ca="1">IFERROR(SUMIFS('TRA balance'!K$5:K$40,'TRA balance'!$C$5:$C$40,Assumptions!$C26,'TRA balance'!$D$5:$D$40,Assumptions!$B26)*DE26*N26,"")</f>
        <v/>
      </c>
      <c r="BK26" s="40" t="str">
        <f ca="1">IFERROR(SUMIFS('TRA balance'!L$5:L$40,'TRA balance'!$C$5:$C$40,Assumptions!$C26,'TRA balance'!$D$5:$D$40,Assumptions!$B26)*DF26*O26,"")</f>
        <v/>
      </c>
      <c r="BL26" s="40" t="str">
        <f ca="1">IFERROR(SUMIFS('TRA balance'!M$5:M$40,'TRA balance'!$C$5:$C$40,Assumptions!$C26,'TRA balance'!$D$5:$D$40,Assumptions!$B26)*DG26*P26,"")</f>
        <v/>
      </c>
      <c r="BM26" s="40" t="str">
        <f ca="1">IFERROR(SUMIFS('TRA balance'!N$5:N$40,'TRA balance'!$C$5:$C$40,Assumptions!$C26,'TRA balance'!$D$5:$D$40,Assumptions!$B26)*DH26*Q26,"")</f>
        <v/>
      </c>
      <c r="BN26" s="40" t="str">
        <f ca="1">IFERROR(SUMIFS('TRA balance'!O$5:O$40,'TRA balance'!$C$5:$C$40,Assumptions!$C26,'TRA balance'!$D$5:$D$40,Assumptions!$B26)*DI26*R26,"")</f>
        <v/>
      </c>
      <c r="BO26" s="40" t="str">
        <f ca="1">IFERROR(SUMIFS('TRA balance'!P$5:P$40,'TRA balance'!$C$5:$C$40,Assumptions!$C26,'TRA balance'!$D$5:$D$40,Assumptions!$B26)*DJ26*S26,"")</f>
        <v/>
      </c>
      <c r="BP26" s="40" t="str">
        <f ca="1">IFERROR(SUMIFS('TRA balance'!Q$5:Q$40,'TRA balance'!$C$5:$C$40,Assumptions!$C26,'TRA balance'!$D$5:$D$40,Assumptions!$B26)*DK26*T26,"")</f>
        <v/>
      </c>
      <c r="BQ26" s="40" t="str">
        <f ca="1">IFERROR(SUMIFS('TRA balance'!R$5:R$40,'TRA balance'!$C$5:$C$40,Assumptions!$C26,'TRA balance'!$D$5:$D$40,Assumptions!$B26)*DL26*U26,"")</f>
        <v/>
      </c>
      <c r="BR26" s="40" t="str">
        <f ca="1">IFERROR(SUMIFS('TRA balance'!S$5:S$40,'TRA balance'!$C$5:$C$40,Assumptions!$C26,'TRA balance'!$D$5:$D$40,Assumptions!$B26)*DM26*V26,"")</f>
        <v/>
      </c>
      <c r="BS26" s="40" t="str">
        <f ca="1">IFERROR(SUMIFS('TRA balance'!T$5:T$40,'TRA balance'!$C$5:$C$40,Assumptions!$C26,'TRA balance'!$D$5:$D$40,Assumptions!$B26)*DN26*W26,"")</f>
        <v/>
      </c>
      <c r="BT26" s="40" t="str">
        <f ca="1">IFERROR(SUMIFS('TRA balance'!U$5:U$40,'TRA balance'!$C$5:$C$40,Assumptions!$C26,'TRA balance'!$D$5:$D$40,Assumptions!$B26)*DO26*X26,"")</f>
        <v/>
      </c>
      <c r="BU26" s="40" t="str">
        <f ca="1">IFERROR(SUMIFS('TRA balance'!V$5:V$40,'TRA balance'!$C$5:$C$40,Assumptions!$C26,'TRA balance'!$D$5:$D$40,Assumptions!$B26)*DP26*Y26,"")</f>
        <v/>
      </c>
      <c r="BV26" s="40" t="str">
        <f ca="1">IFERROR(SUMIFS('TRA balance'!W$5:W$40,'TRA balance'!$C$5:$C$40,Assumptions!$C26,'TRA balance'!$D$5:$D$40,Assumptions!$B26)*DQ26*Z26,"")</f>
        <v/>
      </c>
      <c r="BW26" s="40" t="str">
        <f ca="1">IFERROR(SUMIFS('TRA balance'!X$5:X$40,'TRA balance'!$C$5:$C$40,Assumptions!$C26,'TRA balance'!$D$5:$D$40,Assumptions!$B26)*DR26*AA26,"")</f>
        <v/>
      </c>
      <c r="BX26" s="40" t="str">
        <f ca="1">IFERROR(SUMIFS('TRA balance'!Y$5:Y$40,'TRA balance'!$C$5:$C$40,Assumptions!$C26,'TRA balance'!$D$5:$D$40,Assumptions!$B26)*DS26*AB26,"")</f>
        <v/>
      </c>
      <c r="BY26" s="40" t="str">
        <f ca="1">IFERROR(SUMIFS('TRA balance'!Z$5:Z$40,'TRA balance'!$C$5:$C$40,Assumptions!$C26,'TRA balance'!$D$5:$D$40,Assumptions!$B26)*DT26*AC26,"")</f>
        <v/>
      </c>
      <c r="BZ26" s="40" t="str">
        <f ca="1">IFERROR(SUMIFS('TRA balance'!AA$5:AA$40,'TRA balance'!$C$5:$C$40,Assumptions!$C26,'TRA balance'!$D$5:$D$40,Assumptions!$B26)*DU26*AD26,"")</f>
        <v/>
      </c>
      <c r="CA26" s="40" t="str">
        <f ca="1">IFERROR(SUMIFS('TRA balance'!AB$5:AB$40,'TRA balance'!$C$5:$C$40,Assumptions!$C26,'TRA balance'!$D$5:$D$40,Assumptions!$B26)*DV26*AE26,"")</f>
        <v/>
      </c>
      <c r="CB26" s="40" t="str">
        <f ca="1">IFERROR(SUMIFS('TRA balance'!AC$5:AC$40,'TRA balance'!$C$5:$C$40,Assumptions!$C26,'TRA balance'!$D$5:$D$40,Assumptions!$B26)*DW26*AF26,"")</f>
        <v/>
      </c>
      <c r="CC26" s="40" t="str">
        <f ca="1">IFERROR(SUMIFS('TRA balance'!AD$5:AD$40,'TRA balance'!$C$5:$C$40,Assumptions!$C26,'TRA balance'!$D$5:$D$40,Assumptions!$B26)*DX26*AG26,"")</f>
        <v/>
      </c>
      <c r="CD26" s="40" t="str">
        <f ca="1">IFERROR(SUMIFS('TRA balance'!AE$5:AE$40,'TRA balance'!$C$5:$C$40,Assumptions!$C26,'TRA balance'!$D$5:$D$40,Assumptions!$B26)*DY26*AH26,"")</f>
        <v/>
      </c>
      <c r="CE26" s="40" t="str">
        <f ca="1">IFERROR(SUMIFS('TRA balance'!AF$5:AF$40,'TRA balance'!$C$5:$C$40,Assumptions!$C26,'TRA balance'!$D$5:$D$40,Assumptions!$B26)*DZ26*AI26,"")</f>
        <v/>
      </c>
      <c r="CF26" s="40" t="str">
        <f ca="1">IFERROR(SUMIFS('TRA balance'!AG$5:AG$40,'TRA balance'!$C$5:$C$40,Assumptions!$C26,'TRA balance'!$D$5:$D$40,Assumptions!$B26)*EA26*AJ26,"")</f>
        <v/>
      </c>
      <c r="CG26" s="40" t="str">
        <f ca="1">IFERROR(SUMIFS('TRA balance'!AH$5:AH$40,'TRA balance'!$C$5:$C$40,Assumptions!$C26,'TRA balance'!$D$5:$D$40,Assumptions!$B26)*EB26*AK26,"")</f>
        <v/>
      </c>
      <c r="CH26" s="40" t="str">
        <f ca="1">IFERROR(SUMIFS('TRA balance'!AI$5:AI$40,'TRA balance'!$C$5:$C$40,Assumptions!$C26,'TRA balance'!$D$5:$D$40,Assumptions!$B26)*EC26*AL26,"")</f>
        <v/>
      </c>
      <c r="CI26" s="40" t="str">
        <f ca="1">IFERROR(SUMIFS('TRA balance'!AJ$5:AJ$40,'TRA balance'!$C$5:$C$40,Assumptions!$C26,'TRA balance'!$D$5:$D$40,Assumptions!$B26)*ED26*AM26,"")</f>
        <v/>
      </c>
      <c r="CJ26" s="40" t="str">
        <f ca="1">IFERROR(SUMIFS('TRA balance'!AK$5:AK$40,'TRA balance'!$C$5:$C$40,Assumptions!$C26,'TRA balance'!$D$5:$D$40,Assumptions!$B26)*EE26*AN26,"")</f>
        <v/>
      </c>
      <c r="CK26" s="40" t="str">
        <f ca="1">IFERROR(SUMIFS('TRA balance'!AL$5:AL$40,'TRA balance'!$C$5:$C$40,Assumptions!$C26,'TRA balance'!$D$5:$D$40,Assumptions!$B26)*EF26*AO26,"")</f>
        <v/>
      </c>
      <c r="CL26" s="40" t="str">
        <f ca="1">IFERROR(SUMIFS('TRA balance'!AM$5:AM$40,'TRA balance'!$C$5:$C$40,Assumptions!$C26,'TRA balance'!$D$5:$D$40,Assumptions!$B26)*EG26*AP26,"")</f>
        <v/>
      </c>
      <c r="CM26" s="40" t="str">
        <f ca="1">IFERROR(SUMIFS('TRA balance'!AN$5:AN$40,'TRA balance'!$C$5:$C$40,Assumptions!$C26,'TRA balance'!$D$5:$D$40,Assumptions!$B26)*EH26*AQ26,"")</f>
        <v/>
      </c>
      <c r="CN26" s="40" t="str">
        <f ca="1">IFERROR(SUMIFS('TRA balance'!AO$5:AO$40,'TRA balance'!$C$5:$C$40,Assumptions!$C26,'TRA balance'!$D$5:$D$40,Assumptions!$B26)*EI26*AR26,"")</f>
        <v/>
      </c>
      <c r="CO26" s="40" t="str">
        <f ca="1">IFERROR(SUMIFS('TRA balance'!AP$5:AP$40,'TRA balance'!$C$5:$C$40,Assumptions!$C26,'TRA balance'!$D$5:$D$40,Assumptions!$B26)*EJ26*AS26,"")</f>
        <v/>
      </c>
      <c r="CP26" s="40" t="str">
        <f ca="1">IFERROR(SUMIFS('TRA balance'!AQ$5:AQ$40,'TRA balance'!$C$5:$C$40,Assumptions!$C26,'TRA balance'!$D$5:$D$40,Assumptions!$B26)*EK26*AT26,"")</f>
        <v/>
      </c>
      <c r="CQ26" s="40" t="str">
        <f ca="1">IFERROR(SUMIFS('TRA balance'!AR$5:AR$40,'TRA balance'!$C$5:$C$40,Assumptions!$C26,'TRA balance'!$D$5:$D$40,Assumptions!$B26)*EL26*AU26,"")</f>
        <v/>
      </c>
      <c r="CR26" s="40" t="str">
        <f ca="1">IFERROR(SUMIFS('TRA balance'!AS$5:AS$40,'TRA balance'!$C$5:$C$40,Assumptions!$C26,'TRA balance'!$D$5:$D$40,Assumptions!$B26)*EM26*AV26,"")</f>
        <v/>
      </c>
      <c r="CS26" s="40" t="str">
        <f ca="1">IFERROR(SUMIFS('TRA balance'!AT$5:AT$40,'TRA balance'!$C$5:$C$40,Assumptions!$C26,'TRA balance'!$D$5:$D$40,Assumptions!$B26)*EN26*AW26,"")</f>
        <v/>
      </c>
      <c r="CT26" s="40" t="str">
        <f ca="1">IFERROR(SUMIFS('TRA balance'!AU$5:AU$40,'TRA balance'!$C$5:$C$40,Assumptions!$C26,'TRA balance'!$D$5:$D$40,Assumptions!$B26)*EO26*AX26,"")</f>
        <v/>
      </c>
      <c r="CU26" s="40" t="str">
        <f ca="1">IFERROR(SUMIFS('TRA balance'!AV$5:AV$40,'TRA balance'!$C$5:$C$40,Assumptions!$C26,'TRA balance'!$D$5:$D$40,Assumptions!$B26)*EP26*AY26,"")</f>
        <v/>
      </c>
      <c r="CV26" s="40" t="str">
        <f ca="1">IFERROR(SUMIFS('TRA balance'!AW$5:AW$40,'TRA balance'!$C$5:$C$40,Assumptions!$C26,'TRA balance'!$D$5:$D$40,Assumptions!$B26)*EQ26*AZ26,"")</f>
        <v/>
      </c>
      <c r="CW26" s="40" t="str">
        <f ca="1">IFERROR(SUMIFS('TRA balance'!AX$5:AX$40,'TRA balance'!$C$5:$C$40,Assumptions!$C26,'TRA balance'!$D$5:$D$40,Assumptions!$B26)*ER26*BA26,"")</f>
        <v/>
      </c>
      <c r="CY26" s="39">
        <f ca="1" t="shared" si="2"/>
        <v>1</v>
      </c>
      <c r="CZ26" s="39">
        <f ca="1" t="shared" si="3"/>
        <v>1</v>
      </c>
      <c r="DA26" s="39">
        <f ca="1" t="shared" si="4"/>
        <v>1</v>
      </c>
      <c r="DB26" s="39">
        <f ca="1" t="shared" si="5"/>
        <v>1</v>
      </c>
      <c r="DC26" s="39">
        <f ca="1" t="shared" si="6"/>
        <v>1</v>
      </c>
      <c r="DD26" s="39">
        <f ca="1" t="shared" si="7"/>
        <v>1</v>
      </c>
      <c r="DE26" s="39">
        <f ca="1" t="shared" si="8"/>
        <v>1</v>
      </c>
      <c r="DF26" s="39">
        <f ca="1" t="shared" si="9"/>
        <v>1</v>
      </c>
      <c r="DG26" s="39">
        <f ca="1" t="shared" si="10"/>
        <v>1</v>
      </c>
      <c r="DH26" s="39">
        <f ca="1" t="shared" si="11"/>
        <v>1</v>
      </c>
      <c r="DI26" s="39">
        <f ca="1" t="shared" si="12"/>
        <v>1</v>
      </c>
      <c r="DJ26" s="39">
        <f ca="1" t="shared" si="13"/>
        <v>1</v>
      </c>
      <c r="DK26" s="39">
        <f ca="1" t="shared" si="14"/>
        <v>1</v>
      </c>
      <c r="DL26" s="39">
        <f ca="1" t="shared" si="15"/>
        <v>1</v>
      </c>
      <c r="DM26" s="39">
        <f ca="1" t="shared" si="16"/>
        <v>1</v>
      </c>
      <c r="DN26" s="39">
        <f ca="1" t="shared" si="17"/>
        <v>1</v>
      </c>
      <c r="DO26" s="39">
        <f ca="1" t="shared" si="18"/>
        <v>1</v>
      </c>
      <c r="DP26" s="39">
        <f ca="1" t="shared" si="19"/>
        <v>1</v>
      </c>
      <c r="DQ26" s="39">
        <f ca="1" t="shared" si="20"/>
        <v>1</v>
      </c>
      <c r="DR26" s="39">
        <f ca="1" t="shared" si="21"/>
        <v>1</v>
      </c>
      <c r="DS26" s="39">
        <f ca="1" t="shared" si="22"/>
        <v>1</v>
      </c>
      <c r="DT26" s="39">
        <f ca="1" t="shared" si="23"/>
        <v>1</v>
      </c>
      <c r="DU26" s="39">
        <f ca="1" t="shared" si="24"/>
        <v>1</v>
      </c>
      <c r="DV26" s="39">
        <f ca="1" t="shared" si="25"/>
        <v>1</v>
      </c>
      <c r="DW26" s="39">
        <f ca="1" t="shared" si="26"/>
        <v>1</v>
      </c>
      <c r="DX26" s="39">
        <f ca="1" t="shared" si="27"/>
        <v>1</v>
      </c>
      <c r="DY26" s="39">
        <f ca="1" t="shared" si="28"/>
        <v>1</v>
      </c>
      <c r="DZ26" s="39">
        <f ca="1" t="shared" si="29"/>
        <v>1</v>
      </c>
      <c r="EA26" s="39">
        <f ca="1" t="shared" si="30"/>
        <v>1</v>
      </c>
      <c r="EB26" s="39">
        <f ca="1" t="shared" si="31"/>
        <v>1</v>
      </c>
      <c r="EC26" s="39">
        <f ca="1" t="shared" si="32"/>
        <v>1</v>
      </c>
      <c r="ED26" s="39">
        <f ca="1" t="shared" si="33"/>
        <v>1</v>
      </c>
      <c r="EE26" s="39">
        <f ca="1" t="shared" si="34"/>
        <v>1</v>
      </c>
      <c r="EF26" s="39">
        <f ca="1" t="shared" si="35"/>
        <v>1</v>
      </c>
      <c r="EG26" s="39">
        <f ca="1" t="shared" si="36"/>
        <v>1</v>
      </c>
      <c r="EH26" s="39">
        <f ca="1" t="shared" si="37"/>
        <v>1</v>
      </c>
      <c r="EI26" s="39">
        <f ca="1" t="shared" si="38"/>
        <v>1</v>
      </c>
      <c r="EJ26" s="39">
        <f ca="1" t="shared" si="39"/>
        <v>1</v>
      </c>
      <c r="EK26" s="39">
        <f ca="1" t="shared" si="40"/>
        <v>1</v>
      </c>
      <c r="EL26" s="39">
        <f ca="1" t="shared" si="41"/>
        <v>1</v>
      </c>
      <c r="EM26" s="39">
        <f ca="1" t="shared" si="42"/>
        <v>1</v>
      </c>
      <c r="EN26" s="39">
        <f ca="1" t="shared" si="43"/>
        <v>1</v>
      </c>
      <c r="EO26" s="39">
        <f ca="1" t="shared" si="44"/>
        <v>1</v>
      </c>
      <c r="EP26" s="39">
        <f ca="1" t="shared" si="45"/>
        <v>1</v>
      </c>
      <c r="EQ26" s="39">
        <f ca="1" t="shared" si="46"/>
        <v>1</v>
      </c>
      <c r="ER26" s="39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2">
        <v>2</v>
      </c>
      <c r="D27" s="63" t="s">
        <v>200</v>
      </c>
      <c r="E27" s="63" t="s">
        <v>211</v>
      </c>
      <c r="F27" s="64" t="str">
        <f t="shared" si="59"/>
        <v>Gasoline</v>
      </c>
      <c r="G27" s="62"/>
      <c r="H27" s="68">
        <f ca="1">1-H21</f>
        <v>0</v>
      </c>
      <c r="I27" s="68">
        <f ca="1" t="shared" ref="I27:BA27" si="61">1-I21</f>
        <v>0</v>
      </c>
      <c r="J27" s="68">
        <f ca="1" t="shared" si="61"/>
        <v>0.1</v>
      </c>
      <c r="K27" s="68">
        <f ca="1" t="shared" si="61"/>
        <v>0.03</v>
      </c>
      <c r="L27" s="68">
        <f ca="1" t="shared" si="61"/>
        <v>0.3</v>
      </c>
      <c r="M27" s="68">
        <f ca="1" t="shared" si="61"/>
        <v>0.03</v>
      </c>
      <c r="N27" s="68">
        <f ca="1" t="shared" si="61"/>
        <v>0.1</v>
      </c>
      <c r="O27" s="68">
        <f ca="1" t="shared" si="61"/>
        <v>0.1</v>
      </c>
      <c r="P27" s="68">
        <f ca="1" t="shared" si="61"/>
        <v>0.1</v>
      </c>
      <c r="Q27" s="68">
        <f ca="1" t="shared" si="61"/>
        <v>0.1</v>
      </c>
      <c r="R27" s="68">
        <f ca="1" t="shared" si="61"/>
        <v>0.03</v>
      </c>
      <c r="S27" s="68">
        <f ca="1" t="shared" si="61"/>
        <v>0.03</v>
      </c>
      <c r="T27" s="68">
        <f ca="1" t="shared" si="61"/>
        <v>0.03</v>
      </c>
      <c r="U27" s="68">
        <f ca="1" t="shared" si="61"/>
        <v>0.1</v>
      </c>
      <c r="V27" s="68">
        <f ca="1" t="shared" si="61"/>
        <v>0.03</v>
      </c>
      <c r="W27" s="68">
        <f ca="1" t="shared" si="61"/>
        <v>0</v>
      </c>
      <c r="X27" s="68">
        <f ca="1" t="shared" si="61"/>
        <v>0.03</v>
      </c>
      <c r="Y27" s="68">
        <f ca="1" t="shared" si="61"/>
        <v>0.03</v>
      </c>
      <c r="Z27" s="68">
        <f ca="1" t="shared" si="61"/>
        <v>0.1</v>
      </c>
      <c r="AA27" s="68">
        <f ca="1" t="shared" si="61"/>
        <v>0.1</v>
      </c>
      <c r="AB27" s="68">
        <f ca="1" t="shared" si="61"/>
        <v>0.3</v>
      </c>
      <c r="AC27" s="68">
        <f ca="1" t="shared" si="61"/>
        <v>0.2</v>
      </c>
      <c r="AD27" s="68">
        <f ca="1" t="shared" si="61"/>
        <v>0.03</v>
      </c>
      <c r="AE27" s="68">
        <f ca="1" t="shared" si="61"/>
        <v>0.1</v>
      </c>
      <c r="AF27" s="68">
        <f ca="1" t="shared" si="61"/>
        <v>0</v>
      </c>
      <c r="AG27" s="68">
        <f ca="1" t="shared" si="61"/>
        <v>0.3</v>
      </c>
      <c r="AH27" s="68">
        <f ca="1" t="shared" si="61"/>
        <v>0.3</v>
      </c>
      <c r="AI27" s="68">
        <f ca="1" t="shared" si="61"/>
        <v>0</v>
      </c>
      <c r="AJ27" s="68">
        <f ca="1" t="shared" si="61"/>
        <v>0.03</v>
      </c>
      <c r="AK27" s="68">
        <f ca="1" t="shared" si="61"/>
        <v>0.03</v>
      </c>
      <c r="AL27" s="68">
        <f ca="1" t="shared" si="61"/>
        <v>0.03</v>
      </c>
      <c r="AM27" s="68">
        <f ca="1" t="shared" si="61"/>
        <v>0.3</v>
      </c>
      <c r="AN27" s="68">
        <f ca="1" t="shared" si="61"/>
        <v>0.03</v>
      </c>
      <c r="AO27" s="68">
        <f ca="1" t="shared" si="61"/>
        <v>0.3</v>
      </c>
      <c r="AP27" s="68">
        <f ca="1" t="shared" si="61"/>
        <v>0.1</v>
      </c>
      <c r="AQ27" s="68">
        <f ca="1" t="shared" si="61"/>
        <v>0.2</v>
      </c>
      <c r="AR27" s="68">
        <f ca="1" t="shared" si="61"/>
        <v>0.2</v>
      </c>
      <c r="AS27" s="68">
        <f ca="1" t="shared" si="61"/>
        <v>0.2</v>
      </c>
      <c r="AT27" s="68">
        <f ca="1" t="shared" si="61"/>
        <v>0.2</v>
      </c>
      <c r="AU27" s="68">
        <f ca="1" t="shared" si="61"/>
        <v>0.2</v>
      </c>
      <c r="AV27" s="68">
        <f ca="1" t="shared" si="61"/>
        <v>0.2</v>
      </c>
      <c r="AW27" s="68">
        <f ca="1" t="shared" si="61"/>
        <v>0.2</v>
      </c>
      <c r="AX27" s="68">
        <f ca="1" t="shared" si="61"/>
        <v>0.2</v>
      </c>
      <c r="AY27" s="68">
        <f ca="1" t="shared" si="61"/>
        <v>0.2</v>
      </c>
      <c r="AZ27" s="68">
        <f ca="1" t="shared" si="61"/>
        <v>0.2</v>
      </c>
      <c r="BA27" s="68">
        <f ca="1" t="shared" si="61"/>
        <v>0.2</v>
      </c>
      <c r="BD27" s="40">
        <f ca="1">IFERROR(SUMIFS('TRA balance'!E$5:E$40,'TRA balance'!$C$5:$C$40,Assumptions!$C27,'TRA balance'!$D$5:$D$40,Assumptions!$B27)*CY27*H27,"")</f>
        <v>0</v>
      </c>
      <c r="BE27" s="40">
        <f ca="1">IFERROR(SUMIFS('TRA balance'!F$5:F$40,'TRA balance'!$C$5:$C$40,Assumptions!$C27,'TRA balance'!$D$5:$D$40,Assumptions!$B27)*CZ27*I27,"")</f>
        <v>0</v>
      </c>
      <c r="BF27" s="40">
        <f ca="1">IFERROR(SUMIFS('TRA balance'!G$5:G$40,'TRA balance'!$C$5:$C$40,Assumptions!$C27,'TRA balance'!$D$5:$D$40,Assumptions!$B27)*DA27*J27,"")</f>
        <v>0</v>
      </c>
      <c r="BG27" s="40">
        <f ca="1">IFERROR(SUMIFS('TRA balance'!H$5:H$40,'TRA balance'!$C$5:$C$40,Assumptions!$C27,'TRA balance'!$D$5:$D$40,Assumptions!$B27)*DB27*K27,"")</f>
        <v>0</v>
      </c>
      <c r="BH27" s="40">
        <f ca="1">IFERROR(SUMIFS('TRA balance'!I$5:I$40,'TRA balance'!$C$5:$C$40,Assumptions!$C27,'TRA balance'!$D$5:$D$40,Assumptions!$B27)*DC27*L27,"")</f>
        <v>0</v>
      </c>
      <c r="BI27" s="40">
        <f ca="1">IFERROR(SUMIFS('TRA balance'!J$5:J$40,'TRA balance'!$C$5:$C$40,Assumptions!$C27,'TRA balance'!$D$5:$D$40,Assumptions!$B27)*DD27*M27,"")</f>
        <v>0</v>
      </c>
      <c r="BJ27" s="40">
        <f ca="1">IFERROR(SUMIFS('TRA balance'!K$5:K$40,'TRA balance'!$C$5:$C$40,Assumptions!$C27,'TRA balance'!$D$5:$D$40,Assumptions!$B27)*DE27*N27,"")</f>
        <v>0</v>
      </c>
      <c r="BK27" s="40">
        <f ca="1">IFERROR(SUMIFS('TRA balance'!L$5:L$40,'TRA balance'!$C$5:$C$40,Assumptions!$C27,'TRA balance'!$D$5:$D$40,Assumptions!$B27)*DF27*O27,"")</f>
        <v>0</v>
      </c>
      <c r="BL27" s="40">
        <f ca="1">IFERROR(SUMIFS('TRA balance'!M$5:M$40,'TRA balance'!$C$5:$C$40,Assumptions!$C27,'TRA balance'!$D$5:$D$40,Assumptions!$B27)*DG27*P27,"")</f>
        <v>0</v>
      </c>
      <c r="BM27" s="40">
        <f ca="1">IFERROR(SUMIFS('TRA balance'!N$5:N$40,'TRA balance'!$C$5:$C$40,Assumptions!$C27,'TRA balance'!$D$5:$D$40,Assumptions!$B27)*DH27*Q27,"")</f>
        <v>0</v>
      </c>
      <c r="BN27" s="40">
        <f ca="1">IFERROR(SUMIFS('TRA balance'!O$5:O$40,'TRA balance'!$C$5:$C$40,Assumptions!$C27,'TRA balance'!$D$5:$D$40,Assumptions!$B27)*DI27*R27,"")</f>
        <v>0</v>
      </c>
      <c r="BO27" s="40">
        <f ca="1">IFERROR(SUMIFS('TRA balance'!P$5:P$40,'TRA balance'!$C$5:$C$40,Assumptions!$C27,'TRA balance'!$D$5:$D$40,Assumptions!$B27)*DJ27*S27,"")</f>
        <v>0</v>
      </c>
      <c r="BP27" s="40">
        <f ca="1">IFERROR(SUMIFS('TRA balance'!Q$5:Q$40,'TRA balance'!$C$5:$C$40,Assumptions!$C27,'TRA balance'!$D$5:$D$40,Assumptions!$B27)*DK27*T27,"")</f>
        <v>0</v>
      </c>
      <c r="BQ27" s="40">
        <f ca="1">IFERROR(SUMIFS('TRA balance'!R$5:R$40,'TRA balance'!$C$5:$C$40,Assumptions!$C27,'TRA balance'!$D$5:$D$40,Assumptions!$B27)*DL27*U27,"")</f>
        <v>0</v>
      </c>
      <c r="BR27" s="40">
        <f ca="1">IFERROR(SUMIFS('TRA balance'!S$5:S$40,'TRA balance'!$C$5:$C$40,Assumptions!$C27,'TRA balance'!$D$5:$D$40,Assumptions!$B27)*DM27*V27,"")</f>
        <v>0</v>
      </c>
      <c r="BS27" s="40">
        <f ca="1">IFERROR(SUMIFS('TRA balance'!T$5:T$40,'TRA balance'!$C$5:$C$40,Assumptions!$C27,'TRA balance'!$D$5:$D$40,Assumptions!$B27)*DN27*W27,"")</f>
        <v>0</v>
      </c>
      <c r="BT27" s="40">
        <f ca="1">IFERROR(SUMIFS('TRA balance'!U$5:U$40,'TRA balance'!$C$5:$C$40,Assumptions!$C27,'TRA balance'!$D$5:$D$40,Assumptions!$B27)*DO27*X27,"")</f>
        <v>0</v>
      </c>
      <c r="BU27" s="40">
        <f ca="1">IFERROR(SUMIFS('TRA balance'!V$5:V$40,'TRA balance'!$C$5:$C$40,Assumptions!$C27,'TRA balance'!$D$5:$D$40,Assumptions!$B27)*DP27*Y27,"")</f>
        <v>0</v>
      </c>
      <c r="BV27" s="40">
        <f ca="1">IFERROR(SUMIFS('TRA balance'!W$5:W$40,'TRA balance'!$C$5:$C$40,Assumptions!$C27,'TRA balance'!$D$5:$D$40,Assumptions!$B27)*DQ27*Z27,"")</f>
        <v>0</v>
      </c>
      <c r="BW27" s="40">
        <f ca="1">IFERROR(SUMIFS('TRA balance'!X$5:X$40,'TRA balance'!$C$5:$C$40,Assumptions!$C27,'TRA balance'!$D$5:$D$40,Assumptions!$B27)*DR27*AA27,"")</f>
        <v>0</v>
      </c>
      <c r="BX27" s="40">
        <f ca="1">IFERROR(SUMIFS('TRA balance'!Y$5:Y$40,'TRA balance'!$C$5:$C$40,Assumptions!$C27,'TRA balance'!$D$5:$D$40,Assumptions!$B27)*DS27*AB27,"")</f>
        <v>0</v>
      </c>
      <c r="BY27" s="40">
        <f ca="1">IFERROR(SUMIFS('TRA balance'!Z$5:Z$40,'TRA balance'!$C$5:$C$40,Assumptions!$C27,'TRA balance'!$D$5:$D$40,Assumptions!$B27)*DT27*AC27,"")</f>
        <v>0</v>
      </c>
      <c r="BZ27" s="40">
        <f ca="1">IFERROR(SUMIFS('TRA balance'!AA$5:AA$40,'TRA balance'!$C$5:$C$40,Assumptions!$C27,'TRA balance'!$D$5:$D$40,Assumptions!$B27)*DU27*AD27,"")</f>
        <v>0</v>
      </c>
      <c r="CA27" s="40">
        <f ca="1">IFERROR(SUMIFS('TRA balance'!AB$5:AB$40,'TRA balance'!$C$5:$C$40,Assumptions!$C27,'TRA balance'!$D$5:$D$40,Assumptions!$B27)*DV27*AE27,"")</f>
        <v>0</v>
      </c>
      <c r="CB27" s="40">
        <f ca="1">IFERROR(SUMIFS('TRA balance'!AC$5:AC$40,'TRA balance'!$C$5:$C$40,Assumptions!$C27,'TRA balance'!$D$5:$D$40,Assumptions!$B27)*DW27*AF27,"")</f>
        <v>0</v>
      </c>
      <c r="CC27" s="40">
        <f ca="1">IFERROR(SUMIFS('TRA balance'!AD$5:AD$40,'TRA balance'!$C$5:$C$40,Assumptions!$C27,'TRA balance'!$D$5:$D$40,Assumptions!$B27)*DX27*AG27,"")</f>
        <v>0</v>
      </c>
      <c r="CD27" s="40">
        <f ca="1">IFERROR(SUMIFS('TRA balance'!AE$5:AE$40,'TRA balance'!$C$5:$C$40,Assumptions!$C27,'TRA balance'!$D$5:$D$40,Assumptions!$B27)*DY27*AH27,"")</f>
        <v>0</v>
      </c>
      <c r="CE27" s="40">
        <f ca="1">IFERROR(SUMIFS('TRA balance'!AF$5:AF$40,'TRA balance'!$C$5:$C$40,Assumptions!$C27,'TRA balance'!$D$5:$D$40,Assumptions!$B27)*DZ27*AI27,"")</f>
        <v>0</v>
      </c>
      <c r="CF27" s="40">
        <f ca="1">IFERROR(SUMIFS('TRA balance'!AG$5:AG$40,'TRA balance'!$C$5:$C$40,Assumptions!$C27,'TRA balance'!$D$5:$D$40,Assumptions!$B27)*EA27*AJ27,"")</f>
        <v>0</v>
      </c>
      <c r="CG27" s="40">
        <f ca="1">IFERROR(SUMIFS('TRA balance'!AH$5:AH$40,'TRA balance'!$C$5:$C$40,Assumptions!$C27,'TRA balance'!$D$5:$D$40,Assumptions!$B27)*EB27*AK27,"")</f>
        <v>0</v>
      </c>
      <c r="CH27" s="40">
        <f ca="1">IFERROR(SUMIFS('TRA balance'!AI$5:AI$40,'TRA balance'!$C$5:$C$40,Assumptions!$C27,'TRA balance'!$D$5:$D$40,Assumptions!$B27)*EC27*AL27,"")</f>
        <v>0</v>
      </c>
      <c r="CI27" s="40">
        <f ca="1">IFERROR(SUMIFS('TRA balance'!AJ$5:AJ$40,'TRA balance'!$C$5:$C$40,Assumptions!$C27,'TRA balance'!$D$5:$D$40,Assumptions!$B27)*ED27*AM27,"")</f>
        <v>0</v>
      </c>
      <c r="CJ27" s="40">
        <f ca="1">IFERROR(SUMIFS('TRA balance'!AK$5:AK$40,'TRA balance'!$C$5:$C$40,Assumptions!$C27,'TRA balance'!$D$5:$D$40,Assumptions!$B27)*EE27*AN27,"")</f>
        <v>0</v>
      </c>
      <c r="CK27" s="40">
        <f ca="1">IFERROR(SUMIFS('TRA balance'!AL$5:AL$40,'TRA balance'!$C$5:$C$40,Assumptions!$C27,'TRA balance'!$D$5:$D$40,Assumptions!$B27)*EF27*AO27,"")</f>
        <v>0</v>
      </c>
      <c r="CL27" s="40">
        <f ca="1">IFERROR(SUMIFS('TRA balance'!AM$5:AM$40,'TRA balance'!$C$5:$C$40,Assumptions!$C27,'TRA balance'!$D$5:$D$40,Assumptions!$B27)*EG27*AP27,"")</f>
        <v>0</v>
      </c>
      <c r="CM27" s="40">
        <f ca="1">IFERROR(SUMIFS('TRA balance'!AN$5:AN$40,'TRA balance'!$C$5:$C$40,Assumptions!$C27,'TRA balance'!$D$5:$D$40,Assumptions!$B27)*EH27*AQ27,"")</f>
        <v>0</v>
      </c>
      <c r="CN27" s="40">
        <f ca="1">IFERROR(SUMIFS('TRA balance'!AO$5:AO$40,'TRA balance'!$C$5:$C$40,Assumptions!$C27,'TRA balance'!$D$5:$D$40,Assumptions!$B27)*EI27*AR27,"")</f>
        <v>0</v>
      </c>
      <c r="CO27" s="40">
        <f ca="1">IFERROR(SUMIFS('TRA balance'!AP$5:AP$40,'TRA balance'!$C$5:$C$40,Assumptions!$C27,'TRA balance'!$D$5:$D$40,Assumptions!$B27)*EJ27*AS27,"")</f>
        <v>0</v>
      </c>
      <c r="CP27" s="40">
        <f ca="1">IFERROR(SUMIFS('TRA balance'!AQ$5:AQ$40,'TRA balance'!$C$5:$C$40,Assumptions!$C27,'TRA balance'!$D$5:$D$40,Assumptions!$B27)*EK27*AT27,"")</f>
        <v>0</v>
      </c>
      <c r="CQ27" s="40">
        <f ca="1">IFERROR(SUMIFS('TRA balance'!AR$5:AR$40,'TRA balance'!$C$5:$C$40,Assumptions!$C27,'TRA balance'!$D$5:$D$40,Assumptions!$B27)*EL27*AU27,"")</f>
        <v>0</v>
      </c>
      <c r="CR27" s="40">
        <f ca="1">IFERROR(SUMIFS('TRA balance'!AS$5:AS$40,'TRA balance'!$C$5:$C$40,Assumptions!$C27,'TRA balance'!$D$5:$D$40,Assumptions!$B27)*EM27*AV27,"")</f>
        <v>0</v>
      </c>
      <c r="CS27" s="40">
        <f ca="1">IFERROR(SUMIFS('TRA balance'!AT$5:AT$40,'TRA balance'!$C$5:$C$40,Assumptions!$C27,'TRA balance'!$D$5:$D$40,Assumptions!$B27)*EN27*AW27,"")</f>
        <v>0</v>
      </c>
      <c r="CT27" s="40">
        <f ca="1">IFERROR(SUMIFS('TRA balance'!AU$5:AU$40,'TRA balance'!$C$5:$C$40,Assumptions!$C27,'TRA balance'!$D$5:$D$40,Assumptions!$B27)*EO27*AX27,"")</f>
        <v>0</v>
      </c>
      <c r="CU27" s="40">
        <f ca="1">IFERROR(SUMIFS('TRA balance'!AV$5:AV$40,'TRA balance'!$C$5:$C$40,Assumptions!$C27,'TRA balance'!$D$5:$D$40,Assumptions!$B27)*EP27*AY27,"")</f>
        <v>0</v>
      </c>
      <c r="CV27" s="40">
        <f ca="1">IFERROR(SUMIFS('TRA balance'!AW$5:AW$40,'TRA balance'!$C$5:$C$40,Assumptions!$C27,'TRA balance'!$D$5:$D$40,Assumptions!$B27)*EQ27*AZ27,"")</f>
        <v>0</v>
      </c>
      <c r="CW27" s="40">
        <f ca="1">IFERROR(SUMIFS('TRA balance'!AX$5:AX$40,'TRA balance'!$C$5:$C$40,Assumptions!$C27,'TRA balance'!$D$5:$D$40,Assumptions!$B27)*ER27*BA27,"")</f>
        <v>0</v>
      </c>
      <c r="CY27" s="39">
        <f ca="1" t="shared" si="2"/>
        <v>1</v>
      </c>
      <c r="CZ27" s="39">
        <f ca="1" t="shared" si="3"/>
        <v>1</v>
      </c>
      <c r="DA27" s="39">
        <f ca="1" t="shared" si="4"/>
        <v>1</v>
      </c>
      <c r="DB27" s="39">
        <f ca="1" t="shared" si="5"/>
        <v>1</v>
      </c>
      <c r="DC27" s="39">
        <f ca="1" t="shared" si="6"/>
        <v>1</v>
      </c>
      <c r="DD27" s="39">
        <f ca="1" t="shared" si="7"/>
        <v>1</v>
      </c>
      <c r="DE27" s="39">
        <f ca="1" t="shared" si="8"/>
        <v>1</v>
      </c>
      <c r="DF27" s="39">
        <f ca="1" t="shared" si="9"/>
        <v>1</v>
      </c>
      <c r="DG27" s="39">
        <f ca="1" t="shared" si="10"/>
        <v>1</v>
      </c>
      <c r="DH27" s="39">
        <f ca="1" t="shared" si="11"/>
        <v>1</v>
      </c>
      <c r="DI27" s="39">
        <f ca="1" t="shared" si="12"/>
        <v>1</v>
      </c>
      <c r="DJ27" s="39">
        <f ca="1" t="shared" si="13"/>
        <v>1</v>
      </c>
      <c r="DK27" s="39">
        <f ca="1" t="shared" si="14"/>
        <v>1</v>
      </c>
      <c r="DL27" s="39">
        <f ca="1" t="shared" si="15"/>
        <v>1</v>
      </c>
      <c r="DM27" s="39">
        <f ca="1" t="shared" si="16"/>
        <v>1</v>
      </c>
      <c r="DN27" s="39">
        <f ca="1" t="shared" si="17"/>
        <v>1</v>
      </c>
      <c r="DO27" s="39">
        <f ca="1" t="shared" si="18"/>
        <v>1</v>
      </c>
      <c r="DP27" s="39">
        <f ca="1" t="shared" si="19"/>
        <v>1</v>
      </c>
      <c r="DQ27" s="39">
        <f ca="1" t="shared" si="20"/>
        <v>1</v>
      </c>
      <c r="DR27" s="39">
        <f ca="1" t="shared" si="21"/>
        <v>1</v>
      </c>
      <c r="DS27" s="39">
        <f ca="1" t="shared" si="22"/>
        <v>1</v>
      </c>
      <c r="DT27" s="39">
        <f ca="1" t="shared" si="23"/>
        <v>1</v>
      </c>
      <c r="DU27" s="39">
        <f ca="1" t="shared" si="24"/>
        <v>1</v>
      </c>
      <c r="DV27" s="39">
        <f ca="1" t="shared" si="25"/>
        <v>1</v>
      </c>
      <c r="DW27" s="39">
        <f ca="1" t="shared" si="26"/>
        <v>1</v>
      </c>
      <c r="DX27" s="39">
        <f ca="1" t="shared" si="27"/>
        <v>1</v>
      </c>
      <c r="DY27" s="39">
        <f ca="1" t="shared" si="28"/>
        <v>1</v>
      </c>
      <c r="DZ27" s="39">
        <f ca="1" t="shared" si="29"/>
        <v>1</v>
      </c>
      <c r="EA27" s="39">
        <f ca="1" t="shared" si="30"/>
        <v>1</v>
      </c>
      <c r="EB27" s="39">
        <f ca="1" t="shared" si="31"/>
        <v>1</v>
      </c>
      <c r="EC27" s="39">
        <f ca="1" t="shared" si="32"/>
        <v>1</v>
      </c>
      <c r="ED27" s="39">
        <f ca="1" t="shared" si="33"/>
        <v>1</v>
      </c>
      <c r="EE27" s="39">
        <f ca="1" t="shared" si="34"/>
        <v>1</v>
      </c>
      <c r="EF27" s="39">
        <f ca="1" t="shared" si="35"/>
        <v>1</v>
      </c>
      <c r="EG27" s="39">
        <f ca="1" t="shared" si="36"/>
        <v>1</v>
      </c>
      <c r="EH27" s="39">
        <f ca="1" t="shared" si="37"/>
        <v>1</v>
      </c>
      <c r="EI27" s="39">
        <f ca="1" t="shared" si="38"/>
        <v>1</v>
      </c>
      <c r="EJ27" s="39">
        <f ca="1" t="shared" si="39"/>
        <v>1</v>
      </c>
      <c r="EK27" s="39">
        <f ca="1" t="shared" si="40"/>
        <v>1</v>
      </c>
      <c r="EL27" s="39">
        <f ca="1" t="shared" si="41"/>
        <v>1</v>
      </c>
      <c r="EM27" s="39">
        <f ca="1" t="shared" si="42"/>
        <v>1</v>
      </c>
      <c r="EN27" s="39">
        <f ca="1" t="shared" si="43"/>
        <v>1</v>
      </c>
      <c r="EO27" s="39">
        <f ca="1" t="shared" si="44"/>
        <v>1</v>
      </c>
      <c r="EP27" s="39">
        <f ca="1" t="shared" si="45"/>
        <v>1</v>
      </c>
      <c r="EQ27" s="39">
        <f ca="1" t="shared" si="46"/>
        <v>1</v>
      </c>
      <c r="ER27" s="39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4" t="str">
        <f t="shared" si="48"/>
        <v>TR</v>
      </c>
      <c r="D28" s="55" t="s">
        <v>200</v>
      </c>
      <c r="E28" s="66" t="s">
        <v>212</v>
      </c>
      <c r="F28" s="56" t="str">
        <f t="shared" si="59"/>
        <v>Gasoline</v>
      </c>
      <c r="G28" s="54" t="s">
        <v>213</v>
      </c>
      <c r="H28" s="57">
        <f ca="1">OFFSET(TIAM15_assumptions!$G28,0,MATCH(VLOOKUP(Assumptions!H$2,TIAM15_assumptions!$Y$3:$Z$87,2,FALSE),TIAM15_assumptions!$H$2:$V$2,0))</f>
        <v>0.05</v>
      </c>
      <c r="I28" s="57">
        <f ca="1">OFFSET(TIAM15_assumptions!$G28,0,MATCH(VLOOKUP(Assumptions!I$2,TIAM15_assumptions!$Y$3:$Z$87,2,FALSE),TIAM15_assumptions!$H$2:$V$2,0))</f>
        <v>0.05</v>
      </c>
      <c r="J28" s="57">
        <f ca="1">OFFSET(TIAM15_assumptions!$G28,0,MATCH(VLOOKUP(Assumptions!J$2,TIAM15_assumptions!$Y$3:$Z$87,2,FALSE),TIAM15_assumptions!$H$2:$V$2,0))</f>
        <v>0.05</v>
      </c>
      <c r="K28" s="57">
        <f ca="1">OFFSET(TIAM15_assumptions!$G28,0,MATCH(VLOOKUP(Assumptions!K$2,TIAM15_assumptions!$Y$3:$Z$87,2,FALSE),TIAM15_assumptions!$H$2:$V$2,0))</f>
        <v>0.05</v>
      </c>
      <c r="L28" s="57">
        <f ca="1">OFFSET(TIAM15_assumptions!$G28,0,MATCH(VLOOKUP(Assumptions!L$2,TIAM15_assumptions!$Y$3:$Z$87,2,FALSE),TIAM15_assumptions!$H$2:$V$2,0))</f>
        <v>0.05</v>
      </c>
      <c r="M28" s="57">
        <f ca="1">OFFSET(TIAM15_assumptions!$G28,0,MATCH(VLOOKUP(Assumptions!M$2,TIAM15_assumptions!$Y$3:$Z$87,2,FALSE),TIAM15_assumptions!$H$2:$V$2,0))</f>
        <v>0.05</v>
      </c>
      <c r="N28" s="57">
        <f ca="1">OFFSET(TIAM15_assumptions!$G28,0,MATCH(VLOOKUP(Assumptions!N$2,TIAM15_assumptions!$Y$3:$Z$87,2,FALSE),TIAM15_assumptions!$H$2:$V$2,0))</f>
        <v>0.12</v>
      </c>
      <c r="O28" s="57">
        <f ca="1">OFFSET(TIAM15_assumptions!$G28,0,MATCH(VLOOKUP(Assumptions!O$2,TIAM15_assumptions!$Y$3:$Z$87,2,FALSE),TIAM15_assumptions!$H$2:$V$2,0))</f>
        <v>0.1</v>
      </c>
      <c r="P28" s="57">
        <f ca="1">OFFSET(TIAM15_assumptions!$G28,0,MATCH(VLOOKUP(Assumptions!P$2,TIAM15_assumptions!$Y$3:$Z$87,2,FALSE),TIAM15_assumptions!$H$2:$V$2,0))</f>
        <v>0.1</v>
      </c>
      <c r="Q28" s="57">
        <f ca="1">OFFSET(TIAM15_assumptions!$G28,0,MATCH(VLOOKUP(Assumptions!Q$2,TIAM15_assumptions!$Y$3:$Z$87,2,FALSE),TIAM15_assumptions!$H$2:$V$2,0))</f>
        <v>0.1</v>
      </c>
      <c r="R28" s="57">
        <f ca="1">OFFSET(TIAM15_assumptions!$G28,0,MATCH(VLOOKUP(Assumptions!R$2,TIAM15_assumptions!$Y$3:$Z$87,2,FALSE),TIAM15_assumptions!$H$2:$V$2,0))</f>
        <v>0.05</v>
      </c>
      <c r="S28" s="57">
        <f ca="1">OFFSET(TIAM15_assumptions!$G28,0,MATCH(VLOOKUP(Assumptions!S$2,TIAM15_assumptions!$Y$3:$Z$87,2,FALSE),TIAM15_assumptions!$H$2:$V$2,0))</f>
        <v>0.05</v>
      </c>
      <c r="T28" s="57">
        <f ca="1">OFFSET(TIAM15_assumptions!$G28,0,MATCH(VLOOKUP(Assumptions!T$2,TIAM15_assumptions!$Y$3:$Z$87,2,FALSE),TIAM15_assumptions!$H$2:$V$2,0))</f>
        <v>0.05</v>
      </c>
      <c r="U28" s="57">
        <f ca="1">OFFSET(TIAM15_assumptions!$G28,0,MATCH(VLOOKUP(Assumptions!U$2,TIAM15_assumptions!$Y$3:$Z$87,2,FALSE),TIAM15_assumptions!$H$2:$V$2,0))</f>
        <v>0.1</v>
      </c>
      <c r="V28" s="57">
        <f ca="1">OFFSET(TIAM15_assumptions!$G28,0,MATCH(VLOOKUP(Assumptions!V$2,TIAM15_assumptions!$Y$3:$Z$87,2,FALSE),TIAM15_assumptions!$H$2:$V$2,0))</f>
        <v>0.05</v>
      </c>
      <c r="W28" s="57">
        <f ca="1">OFFSET(TIAM15_assumptions!$G28,0,MATCH(VLOOKUP(Assumptions!W$2,TIAM15_assumptions!$Y$3:$Z$87,2,FALSE),TIAM15_assumptions!$H$2:$V$2,0))</f>
        <v>0</v>
      </c>
      <c r="X28" s="57">
        <f ca="1">OFFSET(TIAM15_assumptions!$G28,0,MATCH(VLOOKUP(Assumptions!X$2,TIAM15_assumptions!$Y$3:$Z$87,2,FALSE),TIAM15_assumptions!$H$2:$V$2,0))</f>
        <v>0.05</v>
      </c>
      <c r="Y28" s="57">
        <f ca="1">OFFSET(TIAM15_assumptions!$G28,0,MATCH(VLOOKUP(Assumptions!Y$2,TIAM15_assumptions!$Y$3:$Z$87,2,FALSE),TIAM15_assumptions!$H$2:$V$2,0))</f>
        <v>0.05</v>
      </c>
      <c r="Z28" s="57">
        <f ca="1">OFFSET(TIAM15_assumptions!$G28,0,MATCH(VLOOKUP(Assumptions!Z$2,TIAM15_assumptions!$Y$3:$Z$87,2,FALSE),TIAM15_assumptions!$H$2:$V$2,0))</f>
        <v>0</v>
      </c>
      <c r="AA28" s="57">
        <f ca="1">OFFSET(TIAM15_assumptions!$G28,0,MATCH(VLOOKUP(Assumptions!AA$2,TIAM15_assumptions!$Y$3:$Z$87,2,FALSE),TIAM15_assumptions!$H$2:$V$2,0))</f>
        <v>0.12</v>
      </c>
      <c r="AB28" s="57">
        <f ca="1">OFFSET(TIAM15_assumptions!$G28,0,MATCH(VLOOKUP(Assumptions!AB$2,TIAM15_assumptions!$Y$3:$Z$87,2,FALSE),TIAM15_assumptions!$H$2:$V$2,0))</f>
        <v>0.1</v>
      </c>
      <c r="AC28" s="57">
        <f ca="1">OFFSET(TIAM15_assumptions!$G28,0,MATCH(VLOOKUP(Assumptions!AC$2,TIAM15_assumptions!$Y$3:$Z$87,2,FALSE),TIAM15_assumptions!$H$2:$V$2,0))</f>
        <v>0.005</v>
      </c>
      <c r="AD28" s="57">
        <f ca="1">OFFSET(TIAM15_assumptions!$G28,0,MATCH(VLOOKUP(Assumptions!AD$2,TIAM15_assumptions!$Y$3:$Z$87,2,FALSE),TIAM15_assumptions!$H$2:$V$2,0))</f>
        <v>0.05</v>
      </c>
      <c r="AE28" s="57">
        <f ca="1">OFFSET(TIAM15_assumptions!$G28,0,MATCH(VLOOKUP(Assumptions!AE$2,TIAM15_assumptions!$Y$3:$Z$87,2,FALSE),TIAM15_assumptions!$H$2:$V$2,0))</f>
        <v>0.1</v>
      </c>
      <c r="AF28" s="57">
        <f ca="1">OFFSET(TIAM15_assumptions!$G28,0,MATCH(VLOOKUP(Assumptions!AF$2,TIAM15_assumptions!$Y$3:$Z$87,2,FALSE),TIAM15_assumptions!$H$2:$V$2,0))</f>
        <v>0.15</v>
      </c>
      <c r="AG28" s="57">
        <f ca="1">OFFSET(TIAM15_assumptions!$G28,0,MATCH(VLOOKUP(Assumptions!AG$2,TIAM15_assumptions!$Y$3:$Z$87,2,FALSE),TIAM15_assumptions!$H$2:$V$2,0))</f>
        <v>0.05</v>
      </c>
      <c r="AH28" s="57">
        <f ca="1">OFFSET(TIAM15_assumptions!$G28,0,MATCH(VLOOKUP(Assumptions!AH$2,TIAM15_assumptions!$Y$3:$Z$87,2,FALSE),TIAM15_assumptions!$H$2:$V$2,0))</f>
        <v>0.1</v>
      </c>
      <c r="AI28" s="57">
        <f ca="1">OFFSET(TIAM15_assumptions!$G28,0,MATCH(VLOOKUP(Assumptions!AI$2,TIAM15_assumptions!$Y$3:$Z$87,2,FALSE),TIAM15_assumptions!$H$2:$V$2,0))</f>
        <v>0.05</v>
      </c>
      <c r="AJ28" s="57">
        <f ca="1">OFFSET(TIAM15_assumptions!$G28,0,MATCH(VLOOKUP(Assumptions!AJ$2,TIAM15_assumptions!$Y$3:$Z$87,2,FALSE),TIAM15_assumptions!$H$2:$V$2,0))</f>
        <v>0.05</v>
      </c>
      <c r="AK28" s="57">
        <f ca="1">OFFSET(TIAM15_assumptions!$G28,0,MATCH(VLOOKUP(Assumptions!AK$2,TIAM15_assumptions!$Y$3:$Z$87,2,FALSE),TIAM15_assumptions!$H$2:$V$2,0))</f>
        <v>0.05</v>
      </c>
      <c r="AL28" s="57">
        <f ca="1">OFFSET(TIAM15_assumptions!$G28,0,MATCH(VLOOKUP(Assumptions!AL$2,TIAM15_assumptions!$Y$3:$Z$87,2,FALSE),TIAM15_assumptions!$H$2:$V$2,0))</f>
        <v>0.05</v>
      </c>
      <c r="AM28" s="57">
        <f ca="1">OFFSET(TIAM15_assumptions!$G28,0,MATCH(VLOOKUP(Assumptions!AM$2,TIAM15_assumptions!$Y$3:$Z$87,2,FALSE),TIAM15_assumptions!$H$2:$V$2,0))</f>
        <v>0.1</v>
      </c>
      <c r="AN28" s="57">
        <f ca="1">OFFSET(TIAM15_assumptions!$G28,0,MATCH(VLOOKUP(Assumptions!AN$2,TIAM15_assumptions!$Y$3:$Z$87,2,FALSE),TIAM15_assumptions!$H$2:$V$2,0))</f>
        <v>0.05</v>
      </c>
      <c r="AO28" s="57">
        <f ca="1">OFFSET(TIAM15_assumptions!$G28,0,MATCH(VLOOKUP(Assumptions!AO$2,TIAM15_assumptions!$Y$3:$Z$87,2,FALSE),TIAM15_assumptions!$H$2:$V$2,0))</f>
        <v>0.05</v>
      </c>
      <c r="AP28" s="57">
        <f ca="1">OFFSET(TIAM15_assumptions!$G28,0,MATCH(VLOOKUP(Assumptions!AP$2,TIAM15_assumptions!$Y$3:$Z$87,2,FALSE),TIAM15_assumptions!$H$2:$V$2,0))</f>
        <v>0.1</v>
      </c>
      <c r="AQ28" s="57">
        <f ca="1">OFFSET(TIAM15_assumptions!$G28,0,MATCH(VLOOKUP(Assumptions!AQ$2,TIAM15_assumptions!$Y$3:$Z$87,2,FALSE),TIAM15_assumptions!$H$2:$V$2,0))</f>
        <v>0.005</v>
      </c>
      <c r="AR28" s="57">
        <f ca="1">OFFSET(TIAM15_assumptions!$G28,0,MATCH(VLOOKUP(Assumptions!AR$2,TIAM15_assumptions!$Y$3:$Z$87,2,FALSE),TIAM15_assumptions!$H$2:$V$2,0))</f>
        <v>0.005</v>
      </c>
      <c r="AS28" s="57">
        <f ca="1">OFFSET(TIAM15_assumptions!$G28,0,MATCH(VLOOKUP(Assumptions!AS$2,TIAM15_assumptions!$Y$3:$Z$87,2,FALSE),TIAM15_assumptions!$H$2:$V$2,0))</f>
        <v>0.005</v>
      </c>
      <c r="AT28" s="57">
        <f ca="1">OFFSET(TIAM15_assumptions!$G28,0,MATCH(VLOOKUP(Assumptions!AT$2,TIAM15_assumptions!$Y$3:$Z$87,2,FALSE),TIAM15_assumptions!$H$2:$V$2,0))</f>
        <v>0.005</v>
      </c>
      <c r="AU28" s="57">
        <f ca="1">OFFSET(TIAM15_assumptions!$G28,0,MATCH(VLOOKUP(Assumptions!AU$2,TIAM15_assumptions!$Y$3:$Z$87,2,FALSE),TIAM15_assumptions!$H$2:$V$2,0))</f>
        <v>0.005</v>
      </c>
      <c r="AV28" s="57">
        <f ca="1">OFFSET(TIAM15_assumptions!$G28,0,MATCH(VLOOKUP(Assumptions!AV$2,TIAM15_assumptions!$Y$3:$Z$87,2,FALSE),TIAM15_assumptions!$H$2:$V$2,0))</f>
        <v>0.005</v>
      </c>
      <c r="AW28" s="57">
        <f ca="1">OFFSET(TIAM15_assumptions!$G28,0,MATCH(VLOOKUP(Assumptions!AW$2,TIAM15_assumptions!$Y$3:$Z$87,2,FALSE),TIAM15_assumptions!$H$2:$V$2,0))</f>
        <v>0.005</v>
      </c>
      <c r="AX28" s="57">
        <f ca="1">OFFSET(TIAM15_assumptions!$G28,0,MATCH(VLOOKUP(Assumptions!AX$2,TIAM15_assumptions!$Y$3:$Z$87,2,FALSE),TIAM15_assumptions!$H$2:$V$2,0))</f>
        <v>0.005</v>
      </c>
      <c r="AY28" s="57">
        <f ca="1">OFFSET(TIAM15_assumptions!$G28,0,MATCH(VLOOKUP(Assumptions!AY$2,TIAM15_assumptions!$Y$3:$Z$87,2,FALSE),TIAM15_assumptions!$H$2:$V$2,0))</f>
        <v>0.005</v>
      </c>
      <c r="AZ28" s="57">
        <f ca="1">OFFSET(TIAM15_assumptions!$G28,0,MATCH(VLOOKUP(Assumptions!AZ$2,TIAM15_assumptions!$Y$3:$Z$87,2,FALSE),TIAM15_assumptions!$H$2:$V$2,0))</f>
        <v>0.005</v>
      </c>
      <c r="BA28" s="57">
        <f ca="1">OFFSET(TIAM15_assumptions!$G28,0,MATCH(VLOOKUP(Assumptions!BA$2,TIAM15_assumptions!$Y$3:$Z$87,2,FALSE),TIAM15_assumptions!$H$2:$V$2,0))</f>
        <v>0.005</v>
      </c>
      <c r="BD28" s="40">
        <f ca="1">IFERROR(SUMIFS('TRA balance'!E$5:E$40,'TRA balance'!$C$5:$C$40,Assumptions!$C28,'TRA balance'!$D$5:$D$40,Assumptions!$B28)*CY28*H28,"")</f>
        <v>0</v>
      </c>
      <c r="BE28" s="40">
        <f ca="1">IFERROR(SUMIFS('TRA balance'!F$5:F$40,'TRA balance'!$C$5:$C$40,Assumptions!$C28,'TRA balance'!$D$5:$D$40,Assumptions!$B28)*CZ28*I28,"")</f>
        <v>0</v>
      </c>
      <c r="BF28" s="40">
        <f ca="1">IFERROR(SUMIFS('TRA balance'!G$5:G$40,'TRA balance'!$C$5:$C$40,Assumptions!$C28,'TRA balance'!$D$5:$D$40,Assumptions!$B28)*DA28*J28,"")</f>
        <v>2.844609179364</v>
      </c>
      <c r="BG28" s="40">
        <f ca="1">IFERROR(SUMIFS('TRA balance'!H$5:H$40,'TRA balance'!$C$5:$C$40,Assumptions!$C28,'TRA balance'!$D$5:$D$40,Assumptions!$B28)*DB28*K28,"")</f>
        <v>0.1038662558172</v>
      </c>
      <c r="BH28" s="40">
        <f ca="1">IFERROR(SUMIFS('TRA balance'!I$5:I$40,'TRA balance'!$C$5:$C$40,Assumptions!$C28,'TRA balance'!$D$5:$D$40,Assumptions!$B28)*DC28*L28,"")</f>
        <v>0.433738810098</v>
      </c>
      <c r="BI28" s="40">
        <f ca="1">IFERROR(SUMIFS('TRA balance'!J$5:J$40,'TRA balance'!$C$5:$C$40,Assumptions!$C28,'TRA balance'!$D$5:$D$40,Assumptions!$B28)*DD28*M28,"")</f>
        <v>0.4018680574182</v>
      </c>
      <c r="BJ28" s="40">
        <f ca="1">IFERROR(SUMIFS('TRA balance'!K$5:K$40,'TRA balance'!$C$5:$C$40,Assumptions!$C28,'TRA balance'!$D$5:$D$40,Assumptions!$B28)*DE28*N28,"")</f>
        <v>10.7781820845552</v>
      </c>
      <c r="BK28" s="40">
        <f ca="1">IFERROR(SUMIFS('TRA balance'!L$5:L$40,'TRA balance'!$C$5:$C$40,Assumptions!$C28,'TRA balance'!$D$5:$D$40,Assumptions!$B28)*DF28*O28,"")</f>
        <v>60.01894737324</v>
      </c>
      <c r="BL28" s="40">
        <f ca="1">IFERROR(SUMIFS('TRA balance'!M$5:M$40,'TRA balance'!$C$5:$C$40,Assumptions!$C28,'TRA balance'!$D$5:$D$40,Assumptions!$B28)*DG28*P28,"")</f>
        <v>0.375854604444</v>
      </c>
      <c r="BM28" s="40">
        <f ca="1">IFERROR(SUMIFS('TRA balance'!N$5:N$40,'TRA balance'!$C$5:$C$40,Assumptions!$C28,'TRA balance'!$D$5:$D$40,Assumptions!$B28)*DH28*Q28,"")</f>
        <v>0.89100002556</v>
      </c>
      <c r="BN28" s="40">
        <f ca="1">IFERROR(SUMIFS('TRA balance'!O$5:O$40,'TRA balance'!$C$5:$C$40,Assumptions!$C28,'TRA balance'!$D$5:$D$40,Assumptions!$B28)*DI28*R28,"")</f>
        <v>0.4936548509514</v>
      </c>
      <c r="BO28" s="40">
        <f ca="1">IFERROR(SUMIFS('TRA balance'!P$5:P$40,'TRA balance'!$C$5:$C$40,Assumptions!$C28,'TRA balance'!$D$5:$D$40,Assumptions!$B28)*DJ28*S28,"")</f>
        <v>1.0839179996622</v>
      </c>
      <c r="BP28" s="40">
        <f ca="1">IFERROR(SUMIFS('TRA balance'!Q$5:Q$40,'TRA balance'!$C$5:$C$40,Assumptions!$C28,'TRA balance'!$D$5:$D$40,Assumptions!$B28)*DK28*T28,"")</f>
        <v>0.169522977249</v>
      </c>
      <c r="BQ28" s="40">
        <f ca="1">IFERROR(SUMIFS('TRA balance'!R$5:R$40,'TRA balance'!$C$5:$C$40,Assumptions!$C28,'TRA balance'!$D$5:$D$40,Assumptions!$B28)*DL28*U28,"")</f>
        <v>1.388675228184</v>
      </c>
      <c r="BR28" s="40">
        <f ca="1">IFERROR(SUMIFS('TRA balance'!S$5:S$40,'TRA balance'!$C$5:$C$40,Assumptions!$C28,'TRA balance'!$D$5:$D$40,Assumptions!$B28)*DM28*V28,"")</f>
        <v>0.00783710554140001</v>
      </c>
      <c r="BS28" s="40">
        <f ca="1">IFERROR(SUMIFS('TRA balance'!T$5:T$40,'TRA balance'!$C$5:$C$40,Assumptions!$C28,'TRA balance'!$D$5:$D$40,Assumptions!$B28)*DN28*W28,"")</f>
        <v>0</v>
      </c>
      <c r="BT28" s="40">
        <f ca="1">IFERROR(SUMIFS('TRA balance'!U$5:U$40,'TRA balance'!$C$5:$C$40,Assumptions!$C28,'TRA balance'!$D$5:$D$40,Assumptions!$B28)*DO28*X28,"")</f>
        <v>0.0483490240488</v>
      </c>
      <c r="BU28" s="40">
        <f ca="1">IFERROR(SUMIFS('TRA balance'!V$5:V$40,'TRA balance'!$C$5:$C$40,Assumptions!$C28,'TRA balance'!$D$5:$D$40,Assumptions!$B28)*DP28*Y28,"")</f>
        <v>0.489719602269</v>
      </c>
      <c r="BV28" s="40">
        <f ca="1">IFERROR(SUMIFS('TRA balance'!W$5:W$40,'TRA balance'!$C$5:$C$40,Assumptions!$C28,'TRA balance'!$D$5:$D$40,Assumptions!$B28)*DQ28*Z28,"")</f>
        <v>0</v>
      </c>
      <c r="BW28" s="40">
        <f ca="1">IFERROR(SUMIFS('TRA balance'!X$5:X$40,'TRA balance'!$C$5:$C$40,Assumptions!$C28,'TRA balance'!$D$5:$D$40,Assumptions!$B28)*DR28*AA28,"")</f>
        <v>20.4934873954896</v>
      </c>
      <c r="BX28" s="40">
        <f ca="1">IFERROR(SUMIFS('TRA balance'!Y$5:Y$40,'TRA balance'!$C$5:$C$40,Assumptions!$C28,'TRA balance'!$D$5:$D$40,Assumptions!$B28)*DS28*AB28,"")</f>
        <v>70.78871686194</v>
      </c>
      <c r="BY28" s="40">
        <f ca="1">IFERROR(SUMIFS('TRA balance'!Z$5:Z$40,'TRA balance'!$C$5:$C$40,Assumptions!$C28,'TRA balance'!$D$5:$D$40,Assumptions!$B28)*DT28*AC28,"")</f>
        <v>18.3472493096016</v>
      </c>
      <c r="BZ28" s="40">
        <f ca="1">IFERROR(SUMIFS('TRA balance'!AA$5:AA$40,'TRA balance'!$C$5:$C$40,Assumptions!$C28,'TRA balance'!$D$5:$D$40,Assumptions!$B28)*DU28*AD28,"")</f>
        <v>0.0418438044828</v>
      </c>
      <c r="CA28" s="40">
        <f ca="1">IFERROR(SUMIFS('TRA balance'!AB$5:AB$40,'TRA balance'!$C$5:$C$40,Assumptions!$C28,'TRA balance'!$D$5:$D$40,Assumptions!$B28)*DV28*AE28,"")</f>
        <v>1.943168907456</v>
      </c>
      <c r="CB28" s="40">
        <f ca="1">IFERROR(SUMIFS('TRA balance'!AC$5:AC$40,'TRA balance'!$C$5:$C$40,Assumptions!$C28,'TRA balance'!$D$5:$D$40,Assumptions!$B28)*DW28*AF28,"")</f>
        <v>0</v>
      </c>
      <c r="CC28" s="40">
        <f ca="1">IFERROR(SUMIFS('TRA balance'!AD$5:AD$40,'TRA balance'!$C$5:$C$40,Assumptions!$C28,'TRA balance'!$D$5:$D$40,Assumptions!$B28)*DX28*AG28,"")</f>
        <v>23.204504424222</v>
      </c>
      <c r="CD28" s="40">
        <f ca="1">IFERROR(SUMIFS('TRA balance'!AE$5:AE$40,'TRA balance'!$C$5:$C$40,Assumptions!$C28,'TRA balance'!$D$5:$D$40,Assumptions!$B28)*DY28*AH28,"")</f>
        <v>30.581120643624</v>
      </c>
      <c r="CE28" s="40">
        <f ca="1">IFERROR(SUMIFS('TRA balance'!AF$5:AF$40,'TRA balance'!$C$5:$C$40,Assumptions!$C28,'TRA balance'!$D$5:$D$40,Assumptions!$B28)*DZ28*AI28,"")</f>
        <v>0</v>
      </c>
      <c r="CF28" s="40">
        <f ca="1">IFERROR(SUMIFS('TRA balance'!AG$5:AG$40,'TRA balance'!$C$5:$C$40,Assumptions!$C28,'TRA balance'!$D$5:$D$40,Assumptions!$B28)*EA28*AJ28,"")</f>
        <v>0.4067080379928</v>
      </c>
      <c r="CG28" s="40">
        <f ca="1">IFERROR(SUMIFS('TRA balance'!AH$5:AH$40,'TRA balance'!$C$5:$C$40,Assumptions!$C28,'TRA balance'!$D$5:$D$40,Assumptions!$B28)*EB28*AK28,"")</f>
        <v>0.285244611534</v>
      </c>
      <c r="CH28" s="40">
        <f ca="1">IFERROR(SUMIFS('TRA balance'!AI$5:AI$40,'TRA balance'!$C$5:$C$40,Assumptions!$C28,'TRA balance'!$D$5:$D$40,Assumptions!$B28)*EC28*AL28,"")</f>
        <v>0.1498099695462</v>
      </c>
      <c r="CI28" s="40">
        <f ca="1">IFERROR(SUMIFS('TRA balance'!AJ$5:AJ$40,'TRA balance'!$C$5:$C$40,Assumptions!$C28,'TRA balance'!$D$5:$D$40,Assumptions!$B28)*ED28*AM28,"")</f>
        <v>2.979239962032</v>
      </c>
      <c r="CJ28" s="40">
        <f ca="1">IFERROR(SUMIFS('TRA balance'!AK$5:AK$40,'TRA balance'!$C$5:$C$40,Assumptions!$C28,'TRA balance'!$D$5:$D$40,Assumptions!$B28)*EE28*AN28,"")</f>
        <v>0.773086377481201</v>
      </c>
      <c r="CK28" s="40">
        <f ca="1">IFERROR(SUMIFS('TRA balance'!AL$5:AL$40,'TRA balance'!$C$5:$C$40,Assumptions!$C28,'TRA balance'!$D$5:$D$40,Assumptions!$B28)*EF28*AO28,"")</f>
        <v>1.157257226952</v>
      </c>
      <c r="CL28" s="40">
        <f ca="1">IFERROR(SUMIFS('TRA balance'!AM$5:AM$40,'TRA balance'!$C$5:$C$40,Assumptions!$C28,'TRA balance'!$D$5:$D$40,Assumptions!$B28)*EG28*AP28,"")</f>
        <v>0.391192108884</v>
      </c>
      <c r="CM28" s="40">
        <f ca="1">IFERROR(SUMIFS('TRA balance'!AN$5:AN$40,'TRA balance'!$C$5:$C$40,Assumptions!$C28,'TRA balance'!$D$5:$D$40,Assumptions!$B28)*EH28*AQ28,"")</f>
        <v>0</v>
      </c>
      <c r="CN28" s="40">
        <f ca="1">IFERROR(SUMIFS('TRA balance'!AO$5:AO$40,'TRA balance'!$C$5:$C$40,Assumptions!$C28,'TRA balance'!$D$5:$D$40,Assumptions!$B28)*EI28*AR28,"")</f>
        <v>0</v>
      </c>
      <c r="CO28" s="40">
        <f ca="1">IFERROR(SUMIFS('TRA balance'!AP$5:AP$40,'TRA balance'!$C$5:$C$40,Assumptions!$C28,'TRA balance'!$D$5:$D$40,Assumptions!$B28)*EJ28*AS28,"")</f>
        <v>0</v>
      </c>
      <c r="CP28" s="40">
        <f ca="1">IFERROR(SUMIFS('TRA balance'!AQ$5:AQ$40,'TRA balance'!$C$5:$C$40,Assumptions!$C28,'TRA balance'!$D$5:$D$40,Assumptions!$B28)*EK28*AT28,"")</f>
        <v>0</v>
      </c>
      <c r="CQ28" s="40">
        <f ca="1">IFERROR(SUMIFS('TRA balance'!AR$5:AR$40,'TRA balance'!$C$5:$C$40,Assumptions!$C28,'TRA balance'!$D$5:$D$40,Assumptions!$B28)*EL28*AU28,"")</f>
        <v>0</v>
      </c>
      <c r="CR28" s="40">
        <f ca="1">IFERROR(SUMIFS('TRA balance'!AS$5:AS$40,'TRA balance'!$C$5:$C$40,Assumptions!$C28,'TRA balance'!$D$5:$D$40,Assumptions!$B28)*EM28*AV28,"")</f>
        <v>0</v>
      </c>
      <c r="CS28" s="40">
        <f ca="1">IFERROR(SUMIFS('TRA balance'!AT$5:AT$40,'TRA balance'!$C$5:$C$40,Assumptions!$C28,'TRA balance'!$D$5:$D$40,Assumptions!$B28)*EN28*AW28,"")</f>
        <v>0</v>
      </c>
      <c r="CT28" s="40">
        <f ca="1">IFERROR(SUMIFS('TRA balance'!AU$5:AU$40,'TRA balance'!$C$5:$C$40,Assumptions!$C28,'TRA balance'!$D$5:$D$40,Assumptions!$B28)*EO28*AX28,"")</f>
        <v>0</v>
      </c>
      <c r="CU28" s="40">
        <f ca="1">IFERROR(SUMIFS('TRA balance'!AV$5:AV$40,'TRA balance'!$C$5:$C$40,Assumptions!$C28,'TRA balance'!$D$5:$D$40,Assumptions!$B28)*EP28*AY28,"")</f>
        <v>0</v>
      </c>
      <c r="CV28" s="40">
        <f ca="1">IFERROR(SUMIFS('TRA balance'!AW$5:AW$40,'TRA balance'!$C$5:$C$40,Assumptions!$C28,'TRA balance'!$D$5:$D$40,Assumptions!$B28)*EQ28*AZ28,"")</f>
        <v>0</v>
      </c>
      <c r="CW28" s="40">
        <f ca="1">IFERROR(SUMIFS('TRA balance'!AX$5:AX$40,'TRA balance'!$C$5:$C$40,Assumptions!$C28,'TRA balance'!$D$5:$D$40,Assumptions!$B28)*ER28*BA28,"")</f>
        <v>0</v>
      </c>
      <c r="CY28" s="39">
        <f ca="1" t="shared" si="2"/>
        <v>0</v>
      </c>
      <c r="CZ28" s="39">
        <f ca="1" t="shared" si="3"/>
        <v>0</v>
      </c>
      <c r="DA28" s="39">
        <f ca="1" t="shared" si="4"/>
        <v>0.1</v>
      </c>
      <c r="DB28" s="39">
        <f ca="1" t="shared" si="5"/>
        <v>0.03</v>
      </c>
      <c r="DC28" s="39">
        <f ca="1" t="shared" si="6"/>
        <v>0.3</v>
      </c>
      <c r="DD28" s="39">
        <f ca="1" t="shared" si="7"/>
        <v>0.03</v>
      </c>
      <c r="DE28" s="39">
        <f ca="1" t="shared" si="8"/>
        <v>0.1</v>
      </c>
      <c r="DF28" s="39">
        <f ca="1" t="shared" si="9"/>
        <v>0.1</v>
      </c>
      <c r="DG28" s="39">
        <f ca="1" t="shared" si="10"/>
        <v>0.1</v>
      </c>
      <c r="DH28" s="39">
        <f ca="1" t="shared" si="11"/>
        <v>0.1</v>
      </c>
      <c r="DI28" s="39">
        <f ca="1" t="shared" si="12"/>
        <v>0.03</v>
      </c>
      <c r="DJ28" s="39">
        <f ca="1" t="shared" si="13"/>
        <v>0.03</v>
      </c>
      <c r="DK28" s="39">
        <f ca="1" t="shared" si="14"/>
        <v>0.03</v>
      </c>
      <c r="DL28" s="39">
        <f ca="1" t="shared" si="15"/>
        <v>0.1</v>
      </c>
      <c r="DM28" s="39">
        <f ca="1" t="shared" si="16"/>
        <v>0.03</v>
      </c>
      <c r="DN28" s="39">
        <f ca="1" t="shared" si="17"/>
        <v>0</v>
      </c>
      <c r="DO28" s="39">
        <f ca="1" t="shared" si="18"/>
        <v>0.03</v>
      </c>
      <c r="DP28" s="39">
        <f ca="1" t="shared" si="19"/>
        <v>0.03</v>
      </c>
      <c r="DQ28" s="39">
        <f ca="1" t="shared" si="20"/>
        <v>0.1</v>
      </c>
      <c r="DR28" s="39">
        <f ca="1" t="shared" si="21"/>
        <v>0.1</v>
      </c>
      <c r="DS28" s="39">
        <f ca="1" t="shared" si="22"/>
        <v>0.3</v>
      </c>
      <c r="DT28" s="39">
        <f ca="1" t="shared" si="23"/>
        <v>0.2</v>
      </c>
      <c r="DU28" s="39">
        <f ca="1" t="shared" si="24"/>
        <v>0.03</v>
      </c>
      <c r="DV28" s="39">
        <f ca="1" t="shared" si="25"/>
        <v>0.1</v>
      </c>
      <c r="DW28" s="39">
        <f ca="1" t="shared" si="26"/>
        <v>0</v>
      </c>
      <c r="DX28" s="39">
        <f ca="1" t="shared" si="27"/>
        <v>0.3</v>
      </c>
      <c r="DY28" s="39">
        <f ca="1" t="shared" si="28"/>
        <v>0.3</v>
      </c>
      <c r="DZ28" s="39">
        <f ca="1" t="shared" si="29"/>
        <v>0</v>
      </c>
      <c r="EA28" s="39">
        <f ca="1" t="shared" si="30"/>
        <v>0.03</v>
      </c>
      <c r="EB28" s="39">
        <f ca="1" t="shared" si="31"/>
        <v>0.03</v>
      </c>
      <c r="EC28" s="39">
        <f ca="1" t="shared" si="32"/>
        <v>0.03</v>
      </c>
      <c r="ED28" s="39">
        <f ca="1" t="shared" si="33"/>
        <v>0.3</v>
      </c>
      <c r="EE28" s="39">
        <f ca="1" t="shared" si="34"/>
        <v>0.03</v>
      </c>
      <c r="EF28" s="39">
        <f ca="1" t="shared" si="35"/>
        <v>0.3</v>
      </c>
      <c r="EG28" s="39">
        <f ca="1" t="shared" si="36"/>
        <v>0.1</v>
      </c>
      <c r="EH28" s="39">
        <f ca="1" t="shared" si="37"/>
        <v>0.2</v>
      </c>
      <c r="EI28" s="39">
        <f ca="1" t="shared" si="38"/>
        <v>0.2</v>
      </c>
      <c r="EJ28" s="39">
        <f ca="1" t="shared" si="39"/>
        <v>0.2</v>
      </c>
      <c r="EK28" s="39">
        <f ca="1" t="shared" si="40"/>
        <v>0.2</v>
      </c>
      <c r="EL28" s="39">
        <f ca="1" t="shared" si="41"/>
        <v>0.2</v>
      </c>
      <c r="EM28" s="39">
        <f ca="1" t="shared" si="42"/>
        <v>0.2</v>
      </c>
      <c r="EN28" s="39">
        <f ca="1" t="shared" si="43"/>
        <v>0.2</v>
      </c>
      <c r="EO28" s="39">
        <f ca="1" t="shared" si="44"/>
        <v>0.2</v>
      </c>
      <c r="EP28" s="39">
        <f ca="1" t="shared" si="45"/>
        <v>0.2</v>
      </c>
      <c r="EQ28" s="39">
        <f ca="1" t="shared" si="46"/>
        <v>0.2</v>
      </c>
      <c r="ER28" s="39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4" t="str">
        <f t="shared" si="48"/>
        <v>TR</v>
      </c>
      <c r="D29" s="55" t="s">
        <v>200</v>
      </c>
      <c r="E29" s="66" t="s">
        <v>214</v>
      </c>
      <c r="F29" s="56" t="str">
        <f t="shared" ref="F29:F35" si="62">F28</f>
        <v>Gasoline</v>
      </c>
      <c r="G29" s="54" t="s">
        <v>215</v>
      </c>
      <c r="H29" s="57">
        <f ca="1">OFFSET(TIAM15_assumptions!$G29,0,MATCH(VLOOKUP(Assumptions!H$2,TIAM15_assumptions!$Y$3:$Z$87,2,FALSE),TIAM15_assumptions!$H$2:$V$2,0))</f>
        <v>0</v>
      </c>
      <c r="I29" s="57">
        <f ca="1">OFFSET(TIAM15_assumptions!$G29,0,MATCH(VLOOKUP(Assumptions!I$2,TIAM15_assumptions!$Y$3:$Z$87,2,FALSE),TIAM15_assumptions!$H$2:$V$2,0))</f>
        <v>0</v>
      </c>
      <c r="J29" s="57">
        <f ca="1">OFFSET(TIAM15_assumptions!$G29,0,MATCH(VLOOKUP(Assumptions!J$2,TIAM15_assumptions!$Y$3:$Z$87,2,FALSE),TIAM15_assumptions!$H$2:$V$2,0))</f>
        <v>0</v>
      </c>
      <c r="K29" s="57">
        <f ca="1">OFFSET(TIAM15_assumptions!$G29,0,MATCH(VLOOKUP(Assumptions!K$2,TIAM15_assumptions!$Y$3:$Z$87,2,FALSE),TIAM15_assumptions!$H$2:$V$2,0))</f>
        <v>0</v>
      </c>
      <c r="L29" s="57">
        <f ca="1">OFFSET(TIAM15_assumptions!$G29,0,MATCH(VLOOKUP(Assumptions!L$2,TIAM15_assumptions!$Y$3:$Z$87,2,FALSE),TIAM15_assumptions!$H$2:$V$2,0))</f>
        <v>0</v>
      </c>
      <c r="M29" s="57">
        <f ca="1">OFFSET(TIAM15_assumptions!$G29,0,MATCH(VLOOKUP(Assumptions!M$2,TIAM15_assumptions!$Y$3:$Z$87,2,FALSE),TIAM15_assumptions!$H$2:$V$2,0))</f>
        <v>0</v>
      </c>
      <c r="N29" s="57">
        <f ca="1">OFFSET(TIAM15_assumptions!$G29,0,MATCH(VLOOKUP(Assumptions!N$2,TIAM15_assumptions!$Y$3:$Z$87,2,FALSE),TIAM15_assumptions!$H$2:$V$2,0))</f>
        <v>0</v>
      </c>
      <c r="O29" s="57">
        <f ca="1">OFFSET(TIAM15_assumptions!$G29,0,MATCH(VLOOKUP(Assumptions!O$2,TIAM15_assumptions!$Y$3:$Z$87,2,FALSE),TIAM15_assumptions!$H$2:$V$2,0))</f>
        <v>0</v>
      </c>
      <c r="P29" s="57">
        <f ca="1">OFFSET(TIAM15_assumptions!$G29,0,MATCH(VLOOKUP(Assumptions!P$2,TIAM15_assumptions!$Y$3:$Z$87,2,FALSE),TIAM15_assumptions!$H$2:$V$2,0))</f>
        <v>0</v>
      </c>
      <c r="Q29" s="57">
        <f ca="1">OFFSET(TIAM15_assumptions!$G29,0,MATCH(VLOOKUP(Assumptions!Q$2,TIAM15_assumptions!$Y$3:$Z$87,2,FALSE),TIAM15_assumptions!$H$2:$V$2,0))</f>
        <v>0</v>
      </c>
      <c r="R29" s="57">
        <f ca="1">OFFSET(TIAM15_assumptions!$G29,0,MATCH(VLOOKUP(Assumptions!R$2,TIAM15_assumptions!$Y$3:$Z$87,2,FALSE),TIAM15_assumptions!$H$2:$V$2,0))</f>
        <v>0</v>
      </c>
      <c r="S29" s="57">
        <f ca="1">OFFSET(TIAM15_assumptions!$G29,0,MATCH(VLOOKUP(Assumptions!S$2,TIAM15_assumptions!$Y$3:$Z$87,2,FALSE),TIAM15_assumptions!$H$2:$V$2,0))</f>
        <v>0</v>
      </c>
      <c r="T29" s="57">
        <f ca="1">OFFSET(TIAM15_assumptions!$G29,0,MATCH(VLOOKUP(Assumptions!T$2,TIAM15_assumptions!$Y$3:$Z$87,2,FALSE),TIAM15_assumptions!$H$2:$V$2,0))</f>
        <v>0</v>
      </c>
      <c r="U29" s="57">
        <f ca="1">OFFSET(TIAM15_assumptions!$G29,0,MATCH(VLOOKUP(Assumptions!U$2,TIAM15_assumptions!$Y$3:$Z$87,2,FALSE),TIAM15_assumptions!$H$2:$V$2,0))</f>
        <v>0</v>
      </c>
      <c r="V29" s="57">
        <f ca="1">OFFSET(TIAM15_assumptions!$G29,0,MATCH(VLOOKUP(Assumptions!V$2,TIAM15_assumptions!$Y$3:$Z$87,2,FALSE),TIAM15_assumptions!$H$2:$V$2,0))</f>
        <v>0</v>
      </c>
      <c r="W29" s="57">
        <f ca="1">OFFSET(TIAM15_assumptions!$G29,0,MATCH(VLOOKUP(Assumptions!W$2,TIAM15_assumptions!$Y$3:$Z$87,2,FALSE),TIAM15_assumptions!$H$2:$V$2,0))</f>
        <v>0</v>
      </c>
      <c r="X29" s="57">
        <f ca="1">OFFSET(TIAM15_assumptions!$G29,0,MATCH(VLOOKUP(Assumptions!X$2,TIAM15_assumptions!$Y$3:$Z$87,2,FALSE),TIAM15_assumptions!$H$2:$V$2,0))</f>
        <v>0</v>
      </c>
      <c r="Y29" s="57">
        <f ca="1">OFFSET(TIAM15_assumptions!$G29,0,MATCH(VLOOKUP(Assumptions!Y$2,TIAM15_assumptions!$Y$3:$Z$87,2,FALSE),TIAM15_assumptions!$H$2:$V$2,0))</f>
        <v>0</v>
      </c>
      <c r="Z29" s="57">
        <f ca="1">OFFSET(TIAM15_assumptions!$G29,0,MATCH(VLOOKUP(Assumptions!Z$2,TIAM15_assumptions!$Y$3:$Z$87,2,FALSE),TIAM15_assumptions!$H$2:$V$2,0))</f>
        <v>0</v>
      </c>
      <c r="AA29" s="57">
        <f ca="1">OFFSET(TIAM15_assumptions!$G29,0,MATCH(VLOOKUP(Assumptions!AA$2,TIAM15_assumptions!$Y$3:$Z$87,2,FALSE),TIAM15_assumptions!$H$2:$V$2,0))</f>
        <v>0</v>
      </c>
      <c r="AB29" s="57">
        <f ca="1">OFFSET(TIAM15_assumptions!$G29,0,MATCH(VLOOKUP(Assumptions!AB$2,TIAM15_assumptions!$Y$3:$Z$87,2,FALSE),TIAM15_assumptions!$H$2:$V$2,0))</f>
        <v>0</v>
      </c>
      <c r="AC29" s="57">
        <f ca="1">OFFSET(TIAM15_assumptions!$G29,0,MATCH(VLOOKUP(Assumptions!AC$2,TIAM15_assumptions!$Y$3:$Z$87,2,FALSE),TIAM15_assumptions!$H$2:$V$2,0))</f>
        <v>0</v>
      </c>
      <c r="AD29" s="57">
        <f ca="1">OFFSET(TIAM15_assumptions!$G29,0,MATCH(VLOOKUP(Assumptions!AD$2,TIAM15_assumptions!$Y$3:$Z$87,2,FALSE),TIAM15_assumptions!$H$2:$V$2,0))</f>
        <v>0</v>
      </c>
      <c r="AE29" s="57">
        <f ca="1">OFFSET(TIAM15_assumptions!$G29,0,MATCH(VLOOKUP(Assumptions!AE$2,TIAM15_assumptions!$Y$3:$Z$87,2,FALSE),TIAM15_assumptions!$H$2:$V$2,0))</f>
        <v>0</v>
      </c>
      <c r="AF29" s="57">
        <f ca="1">OFFSET(TIAM15_assumptions!$G29,0,MATCH(VLOOKUP(Assumptions!AF$2,TIAM15_assumptions!$Y$3:$Z$87,2,FALSE),TIAM15_assumptions!$H$2:$V$2,0))</f>
        <v>0</v>
      </c>
      <c r="AG29" s="57">
        <f ca="1">OFFSET(TIAM15_assumptions!$G29,0,MATCH(VLOOKUP(Assumptions!AG$2,TIAM15_assumptions!$Y$3:$Z$87,2,FALSE),TIAM15_assumptions!$H$2:$V$2,0))</f>
        <v>0</v>
      </c>
      <c r="AH29" s="57">
        <f ca="1">OFFSET(TIAM15_assumptions!$G29,0,MATCH(VLOOKUP(Assumptions!AH$2,TIAM15_assumptions!$Y$3:$Z$87,2,FALSE),TIAM15_assumptions!$H$2:$V$2,0))</f>
        <v>0</v>
      </c>
      <c r="AI29" s="57">
        <f ca="1">OFFSET(TIAM15_assumptions!$G29,0,MATCH(VLOOKUP(Assumptions!AI$2,TIAM15_assumptions!$Y$3:$Z$87,2,FALSE),TIAM15_assumptions!$H$2:$V$2,0))</f>
        <v>0</v>
      </c>
      <c r="AJ29" s="57">
        <f ca="1">OFFSET(TIAM15_assumptions!$G29,0,MATCH(VLOOKUP(Assumptions!AJ$2,TIAM15_assumptions!$Y$3:$Z$87,2,FALSE),TIAM15_assumptions!$H$2:$V$2,0))</f>
        <v>0</v>
      </c>
      <c r="AK29" s="57">
        <f ca="1">OFFSET(TIAM15_assumptions!$G29,0,MATCH(VLOOKUP(Assumptions!AK$2,TIAM15_assumptions!$Y$3:$Z$87,2,FALSE),TIAM15_assumptions!$H$2:$V$2,0))</f>
        <v>0</v>
      </c>
      <c r="AL29" s="57">
        <f ca="1">OFFSET(TIAM15_assumptions!$G29,0,MATCH(VLOOKUP(Assumptions!AL$2,TIAM15_assumptions!$Y$3:$Z$87,2,FALSE),TIAM15_assumptions!$H$2:$V$2,0))</f>
        <v>0</v>
      </c>
      <c r="AM29" s="57">
        <f ca="1">OFFSET(TIAM15_assumptions!$G29,0,MATCH(VLOOKUP(Assumptions!AM$2,TIAM15_assumptions!$Y$3:$Z$87,2,FALSE),TIAM15_assumptions!$H$2:$V$2,0))</f>
        <v>0</v>
      </c>
      <c r="AN29" s="57">
        <f ca="1">OFFSET(TIAM15_assumptions!$G29,0,MATCH(VLOOKUP(Assumptions!AN$2,TIAM15_assumptions!$Y$3:$Z$87,2,FALSE),TIAM15_assumptions!$H$2:$V$2,0))</f>
        <v>0</v>
      </c>
      <c r="AO29" s="57">
        <f ca="1">OFFSET(TIAM15_assumptions!$G29,0,MATCH(VLOOKUP(Assumptions!AO$2,TIAM15_assumptions!$Y$3:$Z$87,2,FALSE),TIAM15_assumptions!$H$2:$V$2,0))</f>
        <v>0</v>
      </c>
      <c r="AP29" s="57">
        <f ca="1">OFFSET(TIAM15_assumptions!$G29,0,MATCH(VLOOKUP(Assumptions!AP$2,TIAM15_assumptions!$Y$3:$Z$87,2,FALSE),TIAM15_assumptions!$H$2:$V$2,0))</f>
        <v>0</v>
      </c>
      <c r="AQ29" s="57">
        <f ca="1">OFFSET(TIAM15_assumptions!$G29,0,MATCH(VLOOKUP(Assumptions!AQ$2,TIAM15_assumptions!$Y$3:$Z$87,2,FALSE),TIAM15_assumptions!$H$2:$V$2,0))</f>
        <v>0</v>
      </c>
      <c r="AR29" s="57">
        <f ca="1">OFFSET(TIAM15_assumptions!$G29,0,MATCH(VLOOKUP(Assumptions!AR$2,TIAM15_assumptions!$Y$3:$Z$87,2,FALSE),TIAM15_assumptions!$H$2:$V$2,0))</f>
        <v>0</v>
      </c>
      <c r="AS29" s="57">
        <f ca="1">OFFSET(TIAM15_assumptions!$G29,0,MATCH(VLOOKUP(Assumptions!AS$2,TIAM15_assumptions!$Y$3:$Z$87,2,FALSE),TIAM15_assumptions!$H$2:$V$2,0))</f>
        <v>0</v>
      </c>
      <c r="AT29" s="57">
        <f ca="1">OFFSET(TIAM15_assumptions!$G29,0,MATCH(VLOOKUP(Assumptions!AT$2,TIAM15_assumptions!$Y$3:$Z$87,2,FALSE),TIAM15_assumptions!$H$2:$V$2,0))</f>
        <v>0</v>
      </c>
      <c r="AU29" s="57">
        <f ca="1">OFFSET(TIAM15_assumptions!$G29,0,MATCH(VLOOKUP(Assumptions!AU$2,TIAM15_assumptions!$Y$3:$Z$87,2,FALSE),TIAM15_assumptions!$H$2:$V$2,0))</f>
        <v>0</v>
      </c>
      <c r="AV29" s="57">
        <f ca="1">OFFSET(TIAM15_assumptions!$G29,0,MATCH(VLOOKUP(Assumptions!AV$2,TIAM15_assumptions!$Y$3:$Z$87,2,FALSE),TIAM15_assumptions!$H$2:$V$2,0))</f>
        <v>0</v>
      </c>
      <c r="AW29" s="57">
        <f ca="1">OFFSET(TIAM15_assumptions!$G29,0,MATCH(VLOOKUP(Assumptions!AW$2,TIAM15_assumptions!$Y$3:$Z$87,2,FALSE),TIAM15_assumptions!$H$2:$V$2,0))</f>
        <v>0</v>
      </c>
      <c r="AX29" s="57">
        <f ca="1">OFFSET(TIAM15_assumptions!$G29,0,MATCH(VLOOKUP(Assumptions!AX$2,TIAM15_assumptions!$Y$3:$Z$87,2,FALSE),TIAM15_assumptions!$H$2:$V$2,0))</f>
        <v>0</v>
      </c>
      <c r="AY29" s="57">
        <f ca="1">OFFSET(TIAM15_assumptions!$G29,0,MATCH(VLOOKUP(Assumptions!AY$2,TIAM15_assumptions!$Y$3:$Z$87,2,FALSE),TIAM15_assumptions!$H$2:$V$2,0))</f>
        <v>0</v>
      </c>
      <c r="AZ29" s="57">
        <f ca="1">OFFSET(TIAM15_assumptions!$G29,0,MATCH(VLOOKUP(Assumptions!AZ$2,TIAM15_assumptions!$Y$3:$Z$87,2,FALSE),TIAM15_assumptions!$H$2:$V$2,0))</f>
        <v>0</v>
      </c>
      <c r="BA29" s="57">
        <f ca="1">OFFSET(TIAM15_assumptions!$G29,0,MATCH(VLOOKUP(Assumptions!BA$2,TIAM15_assumptions!$Y$3:$Z$87,2,FALSE),TIAM15_assumptions!$H$2:$V$2,0))</f>
        <v>0</v>
      </c>
      <c r="BD29" s="40">
        <f ca="1">IFERROR(SUMIFS('TRA balance'!E$5:E$40,'TRA balance'!$C$5:$C$40,Assumptions!$C29,'TRA balance'!$D$5:$D$40,Assumptions!$B29)*CY29*H29,"")</f>
        <v>0</v>
      </c>
      <c r="BE29" s="40">
        <f ca="1">IFERROR(SUMIFS('TRA balance'!F$5:F$40,'TRA balance'!$C$5:$C$40,Assumptions!$C29,'TRA balance'!$D$5:$D$40,Assumptions!$B29)*CZ29*I29,"")</f>
        <v>0</v>
      </c>
      <c r="BF29" s="40">
        <f ca="1">IFERROR(SUMIFS('TRA balance'!G$5:G$40,'TRA balance'!$C$5:$C$40,Assumptions!$C29,'TRA balance'!$D$5:$D$40,Assumptions!$B29)*DA29*J29,"")</f>
        <v>0</v>
      </c>
      <c r="BG29" s="40">
        <f ca="1">IFERROR(SUMIFS('TRA balance'!H$5:H$40,'TRA balance'!$C$5:$C$40,Assumptions!$C29,'TRA balance'!$D$5:$D$40,Assumptions!$B29)*DB29*K29,"")</f>
        <v>0</v>
      </c>
      <c r="BH29" s="40">
        <f ca="1">IFERROR(SUMIFS('TRA balance'!I$5:I$40,'TRA balance'!$C$5:$C$40,Assumptions!$C29,'TRA balance'!$D$5:$D$40,Assumptions!$B29)*DC29*L29,"")</f>
        <v>0</v>
      </c>
      <c r="BI29" s="40">
        <f ca="1">IFERROR(SUMIFS('TRA balance'!J$5:J$40,'TRA balance'!$C$5:$C$40,Assumptions!$C29,'TRA balance'!$D$5:$D$40,Assumptions!$B29)*DD29*M29,"")</f>
        <v>0</v>
      </c>
      <c r="BJ29" s="40">
        <f ca="1">IFERROR(SUMIFS('TRA balance'!K$5:K$40,'TRA balance'!$C$5:$C$40,Assumptions!$C29,'TRA balance'!$D$5:$D$40,Assumptions!$B29)*DE29*N29,"")</f>
        <v>0</v>
      </c>
      <c r="BK29" s="40">
        <f ca="1">IFERROR(SUMIFS('TRA balance'!L$5:L$40,'TRA balance'!$C$5:$C$40,Assumptions!$C29,'TRA balance'!$D$5:$D$40,Assumptions!$B29)*DF29*O29,"")</f>
        <v>0</v>
      </c>
      <c r="BL29" s="40">
        <f ca="1">IFERROR(SUMIFS('TRA balance'!M$5:M$40,'TRA balance'!$C$5:$C$40,Assumptions!$C29,'TRA balance'!$D$5:$D$40,Assumptions!$B29)*DG29*P29,"")</f>
        <v>0</v>
      </c>
      <c r="BM29" s="40">
        <f ca="1">IFERROR(SUMIFS('TRA balance'!N$5:N$40,'TRA balance'!$C$5:$C$40,Assumptions!$C29,'TRA balance'!$D$5:$D$40,Assumptions!$B29)*DH29*Q29,"")</f>
        <v>0</v>
      </c>
      <c r="BN29" s="40">
        <f ca="1">IFERROR(SUMIFS('TRA balance'!O$5:O$40,'TRA balance'!$C$5:$C$40,Assumptions!$C29,'TRA balance'!$D$5:$D$40,Assumptions!$B29)*DI29*R29,"")</f>
        <v>0</v>
      </c>
      <c r="BO29" s="40">
        <f ca="1">IFERROR(SUMIFS('TRA balance'!P$5:P$40,'TRA balance'!$C$5:$C$40,Assumptions!$C29,'TRA balance'!$D$5:$D$40,Assumptions!$B29)*DJ29*S29,"")</f>
        <v>0</v>
      </c>
      <c r="BP29" s="40">
        <f ca="1">IFERROR(SUMIFS('TRA balance'!Q$5:Q$40,'TRA balance'!$C$5:$C$40,Assumptions!$C29,'TRA balance'!$D$5:$D$40,Assumptions!$B29)*DK29*T29,"")</f>
        <v>0</v>
      </c>
      <c r="BQ29" s="40">
        <f ca="1">IFERROR(SUMIFS('TRA balance'!R$5:R$40,'TRA balance'!$C$5:$C$40,Assumptions!$C29,'TRA balance'!$D$5:$D$40,Assumptions!$B29)*DL29*U29,"")</f>
        <v>0</v>
      </c>
      <c r="BR29" s="40">
        <f ca="1">IFERROR(SUMIFS('TRA balance'!S$5:S$40,'TRA balance'!$C$5:$C$40,Assumptions!$C29,'TRA balance'!$D$5:$D$40,Assumptions!$B29)*DM29*V29,"")</f>
        <v>0</v>
      </c>
      <c r="BS29" s="40">
        <f ca="1">IFERROR(SUMIFS('TRA balance'!T$5:T$40,'TRA balance'!$C$5:$C$40,Assumptions!$C29,'TRA balance'!$D$5:$D$40,Assumptions!$B29)*DN29*W29,"")</f>
        <v>0</v>
      </c>
      <c r="BT29" s="40">
        <f ca="1">IFERROR(SUMIFS('TRA balance'!U$5:U$40,'TRA balance'!$C$5:$C$40,Assumptions!$C29,'TRA balance'!$D$5:$D$40,Assumptions!$B29)*DO29*X29,"")</f>
        <v>0</v>
      </c>
      <c r="BU29" s="40">
        <f ca="1">IFERROR(SUMIFS('TRA balance'!V$5:V$40,'TRA balance'!$C$5:$C$40,Assumptions!$C29,'TRA balance'!$D$5:$D$40,Assumptions!$B29)*DP29*Y29,"")</f>
        <v>0</v>
      </c>
      <c r="BV29" s="40">
        <f ca="1">IFERROR(SUMIFS('TRA balance'!W$5:W$40,'TRA balance'!$C$5:$C$40,Assumptions!$C29,'TRA balance'!$D$5:$D$40,Assumptions!$B29)*DQ29*Z29,"")</f>
        <v>0</v>
      </c>
      <c r="BW29" s="40">
        <f ca="1">IFERROR(SUMIFS('TRA balance'!X$5:X$40,'TRA balance'!$C$5:$C$40,Assumptions!$C29,'TRA balance'!$D$5:$D$40,Assumptions!$B29)*DR29*AA29,"")</f>
        <v>0</v>
      </c>
      <c r="BX29" s="40">
        <f ca="1">IFERROR(SUMIFS('TRA balance'!Y$5:Y$40,'TRA balance'!$C$5:$C$40,Assumptions!$C29,'TRA balance'!$D$5:$D$40,Assumptions!$B29)*DS29*AB29,"")</f>
        <v>0</v>
      </c>
      <c r="BY29" s="40">
        <f ca="1">IFERROR(SUMIFS('TRA balance'!Z$5:Z$40,'TRA balance'!$C$5:$C$40,Assumptions!$C29,'TRA balance'!$D$5:$D$40,Assumptions!$B29)*DT29*AC29,"")</f>
        <v>0</v>
      </c>
      <c r="BZ29" s="40">
        <f ca="1">IFERROR(SUMIFS('TRA balance'!AA$5:AA$40,'TRA balance'!$C$5:$C$40,Assumptions!$C29,'TRA balance'!$D$5:$D$40,Assumptions!$B29)*DU29*AD29,"")</f>
        <v>0</v>
      </c>
      <c r="CA29" s="40">
        <f ca="1">IFERROR(SUMIFS('TRA balance'!AB$5:AB$40,'TRA balance'!$C$5:$C$40,Assumptions!$C29,'TRA balance'!$D$5:$D$40,Assumptions!$B29)*DV29*AE29,"")</f>
        <v>0</v>
      </c>
      <c r="CB29" s="40">
        <f ca="1">IFERROR(SUMIFS('TRA balance'!AC$5:AC$40,'TRA balance'!$C$5:$C$40,Assumptions!$C29,'TRA balance'!$D$5:$D$40,Assumptions!$B29)*DW29*AF29,"")</f>
        <v>0</v>
      </c>
      <c r="CC29" s="40">
        <f ca="1">IFERROR(SUMIFS('TRA balance'!AD$5:AD$40,'TRA balance'!$C$5:$C$40,Assumptions!$C29,'TRA balance'!$D$5:$D$40,Assumptions!$B29)*DX29*AG29,"")</f>
        <v>0</v>
      </c>
      <c r="CD29" s="40">
        <f ca="1">IFERROR(SUMIFS('TRA balance'!AE$5:AE$40,'TRA balance'!$C$5:$C$40,Assumptions!$C29,'TRA balance'!$D$5:$D$40,Assumptions!$B29)*DY29*AH29,"")</f>
        <v>0</v>
      </c>
      <c r="CE29" s="40">
        <f ca="1">IFERROR(SUMIFS('TRA balance'!AF$5:AF$40,'TRA balance'!$C$5:$C$40,Assumptions!$C29,'TRA balance'!$D$5:$D$40,Assumptions!$B29)*DZ29*AI29,"")</f>
        <v>0</v>
      </c>
      <c r="CF29" s="40">
        <f ca="1">IFERROR(SUMIFS('TRA balance'!AG$5:AG$40,'TRA balance'!$C$5:$C$40,Assumptions!$C29,'TRA balance'!$D$5:$D$40,Assumptions!$B29)*EA29*AJ29,"")</f>
        <v>0</v>
      </c>
      <c r="CG29" s="40">
        <f ca="1">IFERROR(SUMIFS('TRA balance'!AH$5:AH$40,'TRA balance'!$C$5:$C$40,Assumptions!$C29,'TRA balance'!$D$5:$D$40,Assumptions!$B29)*EB29*AK29,"")</f>
        <v>0</v>
      </c>
      <c r="CH29" s="40">
        <f ca="1">IFERROR(SUMIFS('TRA balance'!AI$5:AI$40,'TRA balance'!$C$5:$C$40,Assumptions!$C29,'TRA balance'!$D$5:$D$40,Assumptions!$B29)*EC29*AL29,"")</f>
        <v>0</v>
      </c>
      <c r="CI29" s="40">
        <f ca="1">IFERROR(SUMIFS('TRA balance'!AJ$5:AJ$40,'TRA balance'!$C$5:$C$40,Assumptions!$C29,'TRA balance'!$D$5:$D$40,Assumptions!$B29)*ED29*AM29,"")</f>
        <v>0</v>
      </c>
      <c r="CJ29" s="40">
        <f ca="1">IFERROR(SUMIFS('TRA balance'!AK$5:AK$40,'TRA balance'!$C$5:$C$40,Assumptions!$C29,'TRA balance'!$D$5:$D$40,Assumptions!$B29)*EE29*AN29,"")</f>
        <v>0</v>
      </c>
      <c r="CK29" s="40">
        <f ca="1">IFERROR(SUMIFS('TRA balance'!AL$5:AL$40,'TRA balance'!$C$5:$C$40,Assumptions!$C29,'TRA balance'!$D$5:$D$40,Assumptions!$B29)*EF29*AO29,"")</f>
        <v>0</v>
      </c>
      <c r="CL29" s="40">
        <f ca="1">IFERROR(SUMIFS('TRA balance'!AM$5:AM$40,'TRA balance'!$C$5:$C$40,Assumptions!$C29,'TRA balance'!$D$5:$D$40,Assumptions!$B29)*EG29*AP29,"")</f>
        <v>0</v>
      </c>
      <c r="CM29" s="40">
        <f ca="1">IFERROR(SUMIFS('TRA balance'!AN$5:AN$40,'TRA balance'!$C$5:$C$40,Assumptions!$C29,'TRA balance'!$D$5:$D$40,Assumptions!$B29)*EH29*AQ29,"")</f>
        <v>0</v>
      </c>
      <c r="CN29" s="40">
        <f ca="1">IFERROR(SUMIFS('TRA balance'!AO$5:AO$40,'TRA balance'!$C$5:$C$40,Assumptions!$C29,'TRA balance'!$D$5:$D$40,Assumptions!$B29)*EI29*AR29,"")</f>
        <v>0</v>
      </c>
      <c r="CO29" s="40">
        <f ca="1">IFERROR(SUMIFS('TRA balance'!AP$5:AP$40,'TRA balance'!$C$5:$C$40,Assumptions!$C29,'TRA balance'!$D$5:$D$40,Assumptions!$B29)*EJ29*AS29,"")</f>
        <v>0</v>
      </c>
      <c r="CP29" s="40">
        <f ca="1">IFERROR(SUMIFS('TRA balance'!AQ$5:AQ$40,'TRA balance'!$C$5:$C$40,Assumptions!$C29,'TRA balance'!$D$5:$D$40,Assumptions!$B29)*EK29*AT29,"")</f>
        <v>0</v>
      </c>
      <c r="CQ29" s="40">
        <f ca="1">IFERROR(SUMIFS('TRA balance'!AR$5:AR$40,'TRA balance'!$C$5:$C$40,Assumptions!$C29,'TRA balance'!$D$5:$D$40,Assumptions!$B29)*EL29*AU29,"")</f>
        <v>0</v>
      </c>
      <c r="CR29" s="40">
        <f ca="1">IFERROR(SUMIFS('TRA balance'!AS$5:AS$40,'TRA balance'!$C$5:$C$40,Assumptions!$C29,'TRA balance'!$D$5:$D$40,Assumptions!$B29)*EM29*AV29,"")</f>
        <v>0</v>
      </c>
      <c r="CS29" s="40">
        <f ca="1">IFERROR(SUMIFS('TRA balance'!AT$5:AT$40,'TRA balance'!$C$5:$C$40,Assumptions!$C29,'TRA balance'!$D$5:$D$40,Assumptions!$B29)*EN29*AW29,"")</f>
        <v>0</v>
      </c>
      <c r="CT29" s="40">
        <f ca="1">IFERROR(SUMIFS('TRA balance'!AU$5:AU$40,'TRA balance'!$C$5:$C$40,Assumptions!$C29,'TRA balance'!$D$5:$D$40,Assumptions!$B29)*EO29*AX29,"")</f>
        <v>0</v>
      </c>
      <c r="CU29" s="40">
        <f ca="1">IFERROR(SUMIFS('TRA balance'!AV$5:AV$40,'TRA balance'!$C$5:$C$40,Assumptions!$C29,'TRA balance'!$D$5:$D$40,Assumptions!$B29)*EP29*AY29,"")</f>
        <v>0</v>
      </c>
      <c r="CV29" s="40">
        <f ca="1">IFERROR(SUMIFS('TRA balance'!AW$5:AW$40,'TRA balance'!$C$5:$C$40,Assumptions!$C29,'TRA balance'!$D$5:$D$40,Assumptions!$B29)*EQ29*AZ29,"")</f>
        <v>0</v>
      </c>
      <c r="CW29" s="40">
        <f ca="1">IFERROR(SUMIFS('TRA balance'!AX$5:AX$40,'TRA balance'!$C$5:$C$40,Assumptions!$C29,'TRA balance'!$D$5:$D$40,Assumptions!$B29)*ER29*BA29,"")</f>
        <v>0</v>
      </c>
      <c r="CY29" s="39">
        <f ca="1" t="shared" si="2"/>
        <v>0</v>
      </c>
      <c r="CZ29" s="39">
        <f ca="1" t="shared" si="3"/>
        <v>0</v>
      </c>
      <c r="DA29" s="39">
        <f ca="1" t="shared" si="4"/>
        <v>0.1</v>
      </c>
      <c r="DB29" s="39">
        <f ca="1" t="shared" si="5"/>
        <v>0.03</v>
      </c>
      <c r="DC29" s="39">
        <f ca="1" t="shared" si="6"/>
        <v>0.3</v>
      </c>
      <c r="DD29" s="39">
        <f ca="1" t="shared" si="7"/>
        <v>0.03</v>
      </c>
      <c r="DE29" s="39">
        <f ca="1" t="shared" si="8"/>
        <v>0.1</v>
      </c>
      <c r="DF29" s="39">
        <f ca="1" t="shared" si="9"/>
        <v>0.1</v>
      </c>
      <c r="DG29" s="39">
        <f ca="1" t="shared" si="10"/>
        <v>0.1</v>
      </c>
      <c r="DH29" s="39">
        <f ca="1" t="shared" si="11"/>
        <v>0.1</v>
      </c>
      <c r="DI29" s="39">
        <f ca="1" t="shared" si="12"/>
        <v>0.03</v>
      </c>
      <c r="DJ29" s="39">
        <f ca="1" t="shared" si="13"/>
        <v>0.03</v>
      </c>
      <c r="DK29" s="39">
        <f ca="1" t="shared" si="14"/>
        <v>0.03</v>
      </c>
      <c r="DL29" s="39">
        <f ca="1" t="shared" si="15"/>
        <v>0.1</v>
      </c>
      <c r="DM29" s="39">
        <f ca="1" t="shared" si="16"/>
        <v>0.03</v>
      </c>
      <c r="DN29" s="39">
        <f ca="1" t="shared" si="17"/>
        <v>0</v>
      </c>
      <c r="DO29" s="39">
        <f ca="1" t="shared" si="18"/>
        <v>0.03</v>
      </c>
      <c r="DP29" s="39">
        <f ca="1" t="shared" si="19"/>
        <v>0.03</v>
      </c>
      <c r="DQ29" s="39">
        <f ca="1" t="shared" si="20"/>
        <v>0.1</v>
      </c>
      <c r="DR29" s="39">
        <f ca="1" t="shared" si="21"/>
        <v>0.1</v>
      </c>
      <c r="DS29" s="39">
        <f ca="1" t="shared" si="22"/>
        <v>0.3</v>
      </c>
      <c r="DT29" s="39">
        <f ca="1" t="shared" si="23"/>
        <v>0.2</v>
      </c>
      <c r="DU29" s="39">
        <f ca="1" t="shared" si="24"/>
        <v>0.03</v>
      </c>
      <c r="DV29" s="39">
        <f ca="1" t="shared" si="25"/>
        <v>0.1</v>
      </c>
      <c r="DW29" s="39">
        <f ca="1" t="shared" si="26"/>
        <v>0</v>
      </c>
      <c r="DX29" s="39">
        <f ca="1" t="shared" si="27"/>
        <v>0.3</v>
      </c>
      <c r="DY29" s="39">
        <f ca="1" t="shared" si="28"/>
        <v>0.3</v>
      </c>
      <c r="DZ29" s="39">
        <f ca="1" t="shared" si="29"/>
        <v>0</v>
      </c>
      <c r="EA29" s="39">
        <f ca="1" t="shared" si="30"/>
        <v>0.03</v>
      </c>
      <c r="EB29" s="39">
        <f ca="1" t="shared" si="31"/>
        <v>0.03</v>
      </c>
      <c r="EC29" s="39">
        <f ca="1" t="shared" si="32"/>
        <v>0.03</v>
      </c>
      <c r="ED29" s="39">
        <f ca="1" t="shared" si="33"/>
        <v>0.3</v>
      </c>
      <c r="EE29" s="39">
        <f ca="1" t="shared" si="34"/>
        <v>0.03</v>
      </c>
      <c r="EF29" s="39">
        <f ca="1" t="shared" si="35"/>
        <v>0.3</v>
      </c>
      <c r="EG29" s="39">
        <f ca="1" t="shared" si="36"/>
        <v>0.1</v>
      </c>
      <c r="EH29" s="39">
        <f ca="1" t="shared" si="37"/>
        <v>0.2</v>
      </c>
      <c r="EI29" s="39">
        <f ca="1" t="shared" si="38"/>
        <v>0.2</v>
      </c>
      <c r="EJ29" s="39">
        <f ca="1" t="shared" si="39"/>
        <v>0.2</v>
      </c>
      <c r="EK29" s="39">
        <f ca="1" t="shared" si="40"/>
        <v>0.2</v>
      </c>
      <c r="EL29" s="39">
        <f ca="1" t="shared" si="41"/>
        <v>0.2</v>
      </c>
      <c r="EM29" s="39">
        <f ca="1" t="shared" si="42"/>
        <v>0.2</v>
      </c>
      <c r="EN29" s="39">
        <f ca="1" t="shared" si="43"/>
        <v>0.2</v>
      </c>
      <c r="EO29" s="39">
        <f ca="1" t="shared" si="44"/>
        <v>0.2</v>
      </c>
      <c r="EP29" s="39">
        <f ca="1" t="shared" si="45"/>
        <v>0.2</v>
      </c>
      <c r="EQ29" s="39">
        <f ca="1" t="shared" si="46"/>
        <v>0.2</v>
      </c>
      <c r="ER29" s="39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4" t="str">
        <f t="shared" si="48"/>
        <v>TR</v>
      </c>
      <c r="D30" s="55" t="s">
        <v>200</v>
      </c>
      <c r="E30" s="66" t="s">
        <v>216</v>
      </c>
      <c r="F30" s="56" t="str">
        <f t="shared" si="62"/>
        <v>Gasoline</v>
      </c>
      <c r="G30" s="54" t="s">
        <v>217</v>
      </c>
      <c r="H30" s="57">
        <f ca="1">OFFSET(TIAM15_assumptions!$G30,0,MATCH(VLOOKUP(Assumptions!H$2,TIAM15_assumptions!$Y$3:$Z$87,2,FALSE),TIAM15_assumptions!$H$2:$V$2,0))</f>
        <v>0.4</v>
      </c>
      <c r="I30" s="57">
        <f ca="1">OFFSET(TIAM15_assumptions!$G30,0,MATCH(VLOOKUP(Assumptions!I$2,TIAM15_assumptions!$Y$3:$Z$87,2,FALSE),TIAM15_assumptions!$H$2:$V$2,0))</f>
        <v>0.4</v>
      </c>
      <c r="J30" s="57">
        <f ca="1">OFFSET(TIAM15_assumptions!$G30,0,MATCH(VLOOKUP(Assumptions!J$2,TIAM15_assumptions!$Y$3:$Z$87,2,FALSE),TIAM15_assumptions!$H$2:$V$2,0))</f>
        <v>0</v>
      </c>
      <c r="K30" s="57">
        <f ca="1">OFFSET(TIAM15_assumptions!$G30,0,MATCH(VLOOKUP(Assumptions!K$2,TIAM15_assumptions!$Y$3:$Z$87,2,FALSE),TIAM15_assumptions!$H$2:$V$2,0))</f>
        <v>0</v>
      </c>
      <c r="L30" s="57">
        <f ca="1">OFFSET(TIAM15_assumptions!$G30,0,MATCH(VLOOKUP(Assumptions!L$2,TIAM15_assumptions!$Y$3:$Z$87,2,FALSE),TIAM15_assumptions!$H$2:$V$2,0))</f>
        <v>0.4</v>
      </c>
      <c r="M30" s="57">
        <f ca="1">OFFSET(TIAM15_assumptions!$G30,0,MATCH(VLOOKUP(Assumptions!M$2,TIAM15_assumptions!$Y$3:$Z$87,2,FALSE),TIAM15_assumptions!$H$2:$V$2,0))</f>
        <v>0</v>
      </c>
      <c r="N30" s="57">
        <f ca="1">OFFSET(TIAM15_assumptions!$G30,0,MATCH(VLOOKUP(Assumptions!N$2,TIAM15_assumptions!$Y$3:$Z$87,2,FALSE),TIAM15_assumptions!$H$2:$V$2,0))</f>
        <v>0.3</v>
      </c>
      <c r="O30" s="57">
        <f ca="1">OFFSET(TIAM15_assumptions!$G30,0,MATCH(VLOOKUP(Assumptions!O$2,TIAM15_assumptions!$Y$3:$Z$87,2,FALSE),TIAM15_assumptions!$H$2:$V$2,0))</f>
        <v>0.1</v>
      </c>
      <c r="P30" s="57">
        <f ca="1">OFFSET(TIAM15_assumptions!$G30,0,MATCH(VLOOKUP(Assumptions!P$2,TIAM15_assumptions!$Y$3:$Z$87,2,FALSE),TIAM15_assumptions!$H$2:$V$2,0))</f>
        <v>0.4</v>
      </c>
      <c r="Q30" s="57">
        <f ca="1">OFFSET(TIAM15_assumptions!$G30,0,MATCH(VLOOKUP(Assumptions!Q$2,TIAM15_assumptions!$Y$3:$Z$87,2,FALSE),TIAM15_assumptions!$H$2:$V$2,0))</f>
        <v>0.4</v>
      </c>
      <c r="R30" s="57">
        <f ca="1">OFFSET(TIAM15_assumptions!$G30,0,MATCH(VLOOKUP(Assumptions!R$2,TIAM15_assumptions!$Y$3:$Z$87,2,FALSE),TIAM15_assumptions!$H$2:$V$2,0))</f>
        <v>0</v>
      </c>
      <c r="S30" s="57">
        <f ca="1">OFFSET(TIAM15_assumptions!$G30,0,MATCH(VLOOKUP(Assumptions!S$2,TIAM15_assumptions!$Y$3:$Z$87,2,FALSE),TIAM15_assumptions!$H$2:$V$2,0))</f>
        <v>0</v>
      </c>
      <c r="T30" s="57">
        <f ca="1">OFFSET(TIAM15_assumptions!$G30,0,MATCH(VLOOKUP(Assumptions!T$2,TIAM15_assumptions!$Y$3:$Z$87,2,FALSE),TIAM15_assumptions!$H$2:$V$2,0))</f>
        <v>0</v>
      </c>
      <c r="U30" s="57">
        <f ca="1">OFFSET(TIAM15_assumptions!$G30,0,MATCH(VLOOKUP(Assumptions!U$2,TIAM15_assumptions!$Y$3:$Z$87,2,FALSE),TIAM15_assumptions!$H$2:$V$2,0))</f>
        <v>0.4</v>
      </c>
      <c r="V30" s="57">
        <f ca="1">OFFSET(TIAM15_assumptions!$G30,0,MATCH(VLOOKUP(Assumptions!V$2,TIAM15_assumptions!$Y$3:$Z$87,2,FALSE),TIAM15_assumptions!$H$2:$V$2,0))</f>
        <v>0</v>
      </c>
      <c r="W30" s="57">
        <f ca="1">OFFSET(TIAM15_assumptions!$G30,0,MATCH(VLOOKUP(Assumptions!W$2,TIAM15_assumptions!$Y$3:$Z$87,2,FALSE),TIAM15_assumptions!$H$2:$V$2,0))</f>
        <v>0.3</v>
      </c>
      <c r="X30" s="57">
        <f ca="1">OFFSET(TIAM15_assumptions!$G30,0,MATCH(VLOOKUP(Assumptions!X$2,TIAM15_assumptions!$Y$3:$Z$87,2,FALSE),TIAM15_assumptions!$H$2:$V$2,0))</f>
        <v>0</v>
      </c>
      <c r="Y30" s="57">
        <f ca="1">OFFSET(TIAM15_assumptions!$G30,0,MATCH(VLOOKUP(Assumptions!Y$2,TIAM15_assumptions!$Y$3:$Z$87,2,FALSE),TIAM15_assumptions!$H$2:$V$2,0))</f>
        <v>0</v>
      </c>
      <c r="Z30" s="57">
        <f ca="1">OFFSET(TIAM15_assumptions!$G30,0,MATCH(VLOOKUP(Assumptions!Z$2,TIAM15_assumptions!$Y$3:$Z$87,2,FALSE),TIAM15_assumptions!$H$2:$V$2,0))</f>
        <v>0</v>
      </c>
      <c r="AA30" s="57">
        <f ca="1">OFFSET(TIAM15_assumptions!$G30,0,MATCH(VLOOKUP(Assumptions!AA$2,TIAM15_assumptions!$Y$3:$Z$87,2,FALSE),TIAM15_assumptions!$H$2:$V$2,0))</f>
        <v>0.3</v>
      </c>
      <c r="AB30" s="57">
        <f ca="1">OFFSET(TIAM15_assumptions!$G30,0,MATCH(VLOOKUP(Assumptions!AB$2,TIAM15_assumptions!$Y$3:$Z$87,2,FALSE),TIAM15_assumptions!$H$2:$V$2,0))</f>
        <v>0.35</v>
      </c>
      <c r="AC30" s="57">
        <f ca="1">OFFSET(TIAM15_assumptions!$G30,0,MATCH(VLOOKUP(Assumptions!AC$2,TIAM15_assumptions!$Y$3:$Z$87,2,FALSE),TIAM15_assumptions!$H$2:$V$2,0))</f>
        <v>0.3</v>
      </c>
      <c r="AD30" s="57">
        <f ca="1">OFFSET(TIAM15_assumptions!$G30,0,MATCH(VLOOKUP(Assumptions!AD$2,TIAM15_assumptions!$Y$3:$Z$87,2,FALSE),TIAM15_assumptions!$H$2:$V$2,0))</f>
        <v>0</v>
      </c>
      <c r="AE30" s="57">
        <f ca="1">OFFSET(TIAM15_assumptions!$G30,0,MATCH(VLOOKUP(Assumptions!AE$2,TIAM15_assumptions!$Y$3:$Z$87,2,FALSE),TIAM15_assumptions!$H$2:$V$2,0))</f>
        <v>0.4</v>
      </c>
      <c r="AF30" s="57">
        <f ca="1">OFFSET(TIAM15_assumptions!$G30,0,MATCH(VLOOKUP(Assumptions!AF$2,TIAM15_assumptions!$Y$3:$Z$87,2,FALSE),TIAM15_assumptions!$H$2:$V$2,0))</f>
        <v>0.35</v>
      </c>
      <c r="AG30" s="57">
        <f ca="1">OFFSET(TIAM15_assumptions!$G30,0,MATCH(VLOOKUP(Assumptions!AG$2,TIAM15_assumptions!$Y$3:$Z$87,2,FALSE),TIAM15_assumptions!$H$2:$V$2,0))</f>
        <v>0.4</v>
      </c>
      <c r="AH30" s="57">
        <f ca="1">OFFSET(TIAM15_assumptions!$G30,0,MATCH(VLOOKUP(Assumptions!AH$2,TIAM15_assumptions!$Y$3:$Z$87,2,FALSE),TIAM15_assumptions!$H$2:$V$2,0))</f>
        <v>0.35</v>
      </c>
      <c r="AI30" s="57">
        <f ca="1">OFFSET(TIAM15_assumptions!$G30,0,MATCH(VLOOKUP(Assumptions!AI$2,TIAM15_assumptions!$Y$3:$Z$87,2,FALSE),TIAM15_assumptions!$H$2:$V$2,0))</f>
        <v>0.4</v>
      </c>
      <c r="AJ30" s="57">
        <f ca="1">OFFSET(TIAM15_assumptions!$G30,0,MATCH(VLOOKUP(Assumptions!AJ$2,TIAM15_assumptions!$Y$3:$Z$87,2,FALSE),TIAM15_assumptions!$H$2:$V$2,0))</f>
        <v>0</v>
      </c>
      <c r="AK30" s="57">
        <f ca="1">OFFSET(TIAM15_assumptions!$G30,0,MATCH(VLOOKUP(Assumptions!AK$2,TIAM15_assumptions!$Y$3:$Z$87,2,FALSE),TIAM15_assumptions!$H$2:$V$2,0))</f>
        <v>0</v>
      </c>
      <c r="AL30" s="57">
        <f ca="1">OFFSET(TIAM15_assumptions!$G30,0,MATCH(VLOOKUP(Assumptions!AL$2,TIAM15_assumptions!$Y$3:$Z$87,2,FALSE),TIAM15_assumptions!$H$2:$V$2,0))</f>
        <v>0</v>
      </c>
      <c r="AM30" s="57">
        <f ca="1">OFFSET(TIAM15_assumptions!$G30,0,MATCH(VLOOKUP(Assumptions!AM$2,TIAM15_assumptions!$Y$3:$Z$87,2,FALSE),TIAM15_assumptions!$H$2:$V$2,0))</f>
        <v>0.35</v>
      </c>
      <c r="AN30" s="57">
        <f ca="1">OFFSET(TIAM15_assumptions!$G30,0,MATCH(VLOOKUP(Assumptions!AN$2,TIAM15_assumptions!$Y$3:$Z$87,2,FALSE),TIAM15_assumptions!$H$2:$V$2,0))</f>
        <v>0</v>
      </c>
      <c r="AO30" s="57">
        <f ca="1">OFFSET(TIAM15_assumptions!$G30,0,MATCH(VLOOKUP(Assumptions!AO$2,TIAM15_assumptions!$Y$3:$Z$87,2,FALSE),TIAM15_assumptions!$H$2:$V$2,0))</f>
        <v>0.4</v>
      </c>
      <c r="AP30" s="57">
        <f ca="1">OFFSET(TIAM15_assumptions!$G30,0,MATCH(VLOOKUP(Assumptions!AP$2,TIAM15_assumptions!$Y$3:$Z$87,2,FALSE),TIAM15_assumptions!$H$2:$V$2,0))</f>
        <v>0.4</v>
      </c>
      <c r="AQ30" s="57">
        <f ca="1">OFFSET(TIAM15_assumptions!$G30,0,MATCH(VLOOKUP(Assumptions!AQ$2,TIAM15_assumptions!$Y$3:$Z$87,2,FALSE),TIAM15_assumptions!$H$2:$V$2,0))</f>
        <v>0.3</v>
      </c>
      <c r="AR30" s="57">
        <f ca="1">OFFSET(TIAM15_assumptions!$G30,0,MATCH(VLOOKUP(Assumptions!AR$2,TIAM15_assumptions!$Y$3:$Z$87,2,FALSE),TIAM15_assumptions!$H$2:$V$2,0))</f>
        <v>0.3</v>
      </c>
      <c r="AS30" s="57">
        <f ca="1">OFFSET(TIAM15_assumptions!$G30,0,MATCH(VLOOKUP(Assumptions!AS$2,TIAM15_assumptions!$Y$3:$Z$87,2,FALSE),TIAM15_assumptions!$H$2:$V$2,0))</f>
        <v>0.3</v>
      </c>
      <c r="AT30" s="57">
        <f ca="1">OFFSET(TIAM15_assumptions!$G30,0,MATCH(VLOOKUP(Assumptions!AT$2,TIAM15_assumptions!$Y$3:$Z$87,2,FALSE),TIAM15_assumptions!$H$2:$V$2,0))</f>
        <v>0.3</v>
      </c>
      <c r="AU30" s="57">
        <f ca="1">OFFSET(TIAM15_assumptions!$G30,0,MATCH(VLOOKUP(Assumptions!AU$2,TIAM15_assumptions!$Y$3:$Z$87,2,FALSE),TIAM15_assumptions!$H$2:$V$2,0))</f>
        <v>0.3</v>
      </c>
      <c r="AV30" s="57">
        <f ca="1">OFFSET(TIAM15_assumptions!$G30,0,MATCH(VLOOKUP(Assumptions!AV$2,TIAM15_assumptions!$Y$3:$Z$87,2,FALSE),TIAM15_assumptions!$H$2:$V$2,0))</f>
        <v>0.3</v>
      </c>
      <c r="AW30" s="57">
        <f ca="1">OFFSET(TIAM15_assumptions!$G30,0,MATCH(VLOOKUP(Assumptions!AW$2,TIAM15_assumptions!$Y$3:$Z$87,2,FALSE),TIAM15_assumptions!$H$2:$V$2,0))</f>
        <v>0.3</v>
      </c>
      <c r="AX30" s="57">
        <f ca="1">OFFSET(TIAM15_assumptions!$G30,0,MATCH(VLOOKUP(Assumptions!AX$2,TIAM15_assumptions!$Y$3:$Z$87,2,FALSE),TIAM15_assumptions!$H$2:$V$2,0))</f>
        <v>0.3</v>
      </c>
      <c r="AY30" s="57">
        <f ca="1">OFFSET(TIAM15_assumptions!$G30,0,MATCH(VLOOKUP(Assumptions!AY$2,TIAM15_assumptions!$Y$3:$Z$87,2,FALSE),TIAM15_assumptions!$H$2:$V$2,0))</f>
        <v>0.3</v>
      </c>
      <c r="AZ30" s="57">
        <f ca="1">OFFSET(TIAM15_assumptions!$G30,0,MATCH(VLOOKUP(Assumptions!AZ$2,TIAM15_assumptions!$Y$3:$Z$87,2,FALSE),TIAM15_assumptions!$H$2:$V$2,0))</f>
        <v>0.3</v>
      </c>
      <c r="BA30" s="57">
        <f ca="1">OFFSET(TIAM15_assumptions!$G30,0,MATCH(VLOOKUP(Assumptions!BA$2,TIAM15_assumptions!$Y$3:$Z$87,2,FALSE),TIAM15_assumptions!$H$2:$V$2,0))</f>
        <v>0.3</v>
      </c>
      <c r="BD30" s="40">
        <f ca="1">IFERROR(SUMIFS('TRA balance'!E$5:E$40,'TRA balance'!$C$5:$C$40,Assumptions!$C30,'TRA balance'!$D$5:$D$40,Assumptions!$B30)*CY30*H30,"")</f>
        <v>0</v>
      </c>
      <c r="BE30" s="40">
        <f ca="1">IFERROR(SUMIFS('TRA balance'!F$5:F$40,'TRA balance'!$C$5:$C$40,Assumptions!$C30,'TRA balance'!$D$5:$D$40,Assumptions!$B30)*CZ30*I30,"")</f>
        <v>0</v>
      </c>
      <c r="BF30" s="40">
        <f ca="1">IFERROR(SUMIFS('TRA balance'!G$5:G$40,'TRA balance'!$C$5:$C$40,Assumptions!$C30,'TRA balance'!$D$5:$D$40,Assumptions!$B30)*DA30*J30,"")</f>
        <v>0</v>
      </c>
      <c r="BG30" s="40">
        <f ca="1">IFERROR(SUMIFS('TRA balance'!H$5:H$40,'TRA balance'!$C$5:$C$40,Assumptions!$C30,'TRA balance'!$D$5:$D$40,Assumptions!$B30)*DB30*K30,"")</f>
        <v>0</v>
      </c>
      <c r="BH30" s="40">
        <f ca="1">IFERROR(SUMIFS('TRA balance'!I$5:I$40,'TRA balance'!$C$5:$C$40,Assumptions!$C30,'TRA balance'!$D$5:$D$40,Assumptions!$B30)*DC30*L30,"")</f>
        <v>3.469910480784</v>
      </c>
      <c r="BI30" s="40">
        <f ca="1">IFERROR(SUMIFS('TRA balance'!J$5:J$40,'TRA balance'!$C$5:$C$40,Assumptions!$C30,'TRA balance'!$D$5:$D$40,Assumptions!$B30)*DD30*M30,"")</f>
        <v>0</v>
      </c>
      <c r="BJ30" s="40">
        <f ca="1">IFERROR(SUMIFS('TRA balance'!K$5:K$40,'TRA balance'!$C$5:$C$40,Assumptions!$C30,'TRA balance'!$D$5:$D$40,Assumptions!$B30)*DE30*N30,"")</f>
        <v>26.945455211388</v>
      </c>
      <c r="BK30" s="40">
        <f ca="1">IFERROR(SUMIFS('TRA balance'!L$5:L$40,'TRA balance'!$C$5:$C$40,Assumptions!$C30,'TRA balance'!$D$5:$D$40,Assumptions!$B30)*DF30*O30,"")</f>
        <v>60.01894737324</v>
      </c>
      <c r="BL30" s="40">
        <f ca="1">IFERROR(SUMIFS('TRA balance'!M$5:M$40,'TRA balance'!$C$5:$C$40,Assumptions!$C30,'TRA balance'!$D$5:$D$40,Assumptions!$B30)*DG30*P30,"")</f>
        <v>1.503418417776</v>
      </c>
      <c r="BM30" s="40">
        <f ca="1">IFERROR(SUMIFS('TRA balance'!N$5:N$40,'TRA balance'!$C$5:$C$40,Assumptions!$C30,'TRA balance'!$D$5:$D$40,Assumptions!$B30)*DH30*Q30,"")</f>
        <v>3.56400010224</v>
      </c>
      <c r="BN30" s="40">
        <f ca="1">IFERROR(SUMIFS('TRA balance'!O$5:O$40,'TRA balance'!$C$5:$C$40,Assumptions!$C30,'TRA balance'!$D$5:$D$40,Assumptions!$B30)*DI30*R30,"")</f>
        <v>0</v>
      </c>
      <c r="BO30" s="40">
        <f ca="1">IFERROR(SUMIFS('TRA balance'!P$5:P$40,'TRA balance'!$C$5:$C$40,Assumptions!$C30,'TRA balance'!$D$5:$D$40,Assumptions!$B30)*DJ30*S30,"")</f>
        <v>0</v>
      </c>
      <c r="BP30" s="40">
        <f ca="1">IFERROR(SUMIFS('TRA balance'!Q$5:Q$40,'TRA balance'!$C$5:$C$40,Assumptions!$C30,'TRA balance'!$D$5:$D$40,Assumptions!$B30)*DK30*T30,"")</f>
        <v>0</v>
      </c>
      <c r="BQ30" s="40">
        <f ca="1">IFERROR(SUMIFS('TRA balance'!R$5:R$40,'TRA balance'!$C$5:$C$40,Assumptions!$C30,'TRA balance'!$D$5:$D$40,Assumptions!$B30)*DL30*U30,"")</f>
        <v>5.554700912736</v>
      </c>
      <c r="BR30" s="40">
        <f ca="1">IFERROR(SUMIFS('TRA balance'!S$5:S$40,'TRA balance'!$C$5:$C$40,Assumptions!$C30,'TRA balance'!$D$5:$D$40,Assumptions!$B30)*DM30*V30,"")</f>
        <v>0</v>
      </c>
      <c r="BS30" s="40">
        <f ca="1">IFERROR(SUMIFS('TRA balance'!T$5:T$40,'TRA balance'!$C$5:$C$40,Assumptions!$C30,'TRA balance'!$D$5:$D$40,Assumptions!$B30)*DN30*W30,"")</f>
        <v>0</v>
      </c>
      <c r="BT30" s="40">
        <f ca="1">IFERROR(SUMIFS('TRA balance'!U$5:U$40,'TRA balance'!$C$5:$C$40,Assumptions!$C30,'TRA balance'!$D$5:$D$40,Assumptions!$B30)*DO30*X30,"")</f>
        <v>0</v>
      </c>
      <c r="BU30" s="40">
        <f ca="1">IFERROR(SUMIFS('TRA balance'!V$5:V$40,'TRA balance'!$C$5:$C$40,Assumptions!$C30,'TRA balance'!$D$5:$D$40,Assumptions!$B30)*DP30*Y30,"")</f>
        <v>0</v>
      </c>
      <c r="BV30" s="40">
        <f ca="1">IFERROR(SUMIFS('TRA balance'!W$5:W$40,'TRA balance'!$C$5:$C$40,Assumptions!$C30,'TRA balance'!$D$5:$D$40,Assumptions!$B30)*DQ30*Z30,"")</f>
        <v>0</v>
      </c>
      <c r="BW30" s="40">
        <f ca="1">IFERROR(SUMIFS('TRA balance'!X$5:X$40,'TRA balance'!$C$5:$C$40,Assumptions!$C30,'TRA balance'!$D$5:$D$40,Assumptions!$B30)*DR30*AA30,"")</f>
        <v>51.233718488724</v>
      </c>
      <c r="BX30" s="40">
        <f ca="1">IFERROR(SUMIFS('TRA balance'!Y$5:Y$40,'TRA balance'!$C$5:$C$40,Assumptions!$C30,'TRA balance'!$D$5:$D$40,Assumptions!$B30)*DS30*AB30,"")</f>
        <v>247.76050901679</v>
      </c>
      <c r="BY30" s="40">
        <f ca="1">IFERROR(SUMIFS('TRA balance'!Z$5:Z$40,'TRA balance'!$C$5:$C$40,Assumptions!$C30,'TRA balance'!$D$5:$D$40,Assumptions!$B30)*DT30*AC30,"")</f>
        <v>1100.8349585761</v>
      </c>
      <c r="BZ30" s="40">
        <f ca="1">IFERROR(SUMIFS('TRA balance'!AA$5:AA$40,'TRA balance'!$C$5:$C$40,Assumptions!$C30,'TRA balance'!$D$5:$D$40,Assumptions!$B30)*DU30*AD30,"")</f>
        <v>0</v>
      </c>
      <c r="CA30" s="40">
        <f ca="1">IFERROR(SUMIFS('TRA balance'!AB$5:AB$40,'TRA balance'!$C$5:$C$40,Assumptions!$C30,'TRA balance'!$D$5:$D$40,Assumptions!$B30)*DV30*AE30,"")</f>
        <v>7.772675629824</v>
      </c>
      <c r="CB30" s="40">
        <f ca="1">IFERROR(SUMIFS('TRA balance'!AC$5:AC$40,'TRA balance'!$C$5:$C$40,Assumptions!$C30,'TRA balance'!$D$5:$D$40,Assumptions!$B30)*DW30*AF30,"")</f>
        <v>0</v>
      </c>
      <c r="CC30" s="40">
        <f ca="1">IFERROR(SUMIFS('TRA balance'!AD$5:AD$40,'TRA balance'!$C$5:$C$40,Assumptions!$C30,'TRA balance'!$D$5:$D$40,Assumptions!$B30)*DX30*AG30,"")</f>
        <v>185.636035393776</v>
      </c>
      <c r="CD30" s="40">
        <f ca="1">IFERROR(SUMIFS('TRA balance'!AE$5:AE$40,'TRA balance'!$C$5:$C$40,Assumptions!$C30,'TRA balance'!$D$5:$D$40,Assumptions!$B30)*DY30*AH30,"")</f>
        <v>107.033922252684</v>
      </c>
      <c r="CE30" s="40">
        <f ca="1">IFERROR(SUMIFS('TRA balance'!AF$5:AF$40,'TRA balance'!$C$5:$C$40,Assumptions!$C30,'TRA balance'!$D$5:$D$40,Assumptions!$B30)*DZ30*AI30,"")</f>
        <v>0</v>
      </c>
      <c r="CF30" s="40">
        <f ca="1">IFERROR(SUMIFS('TRA balance'!AG$5:AG$40,'TRA balance'!$C$5:$C$40,Assumptions!$C30,'TRA balance'!$D$5:$D$40,Assumptions!$B30)*EA30*AJ30,"")</f>
        <v>0</v>
      </c>
      <c r="CG30" s="40">
        <f ca="1">IFERROR(SUMIFS('TRA balance'!AH$5:AH$40,'TRA balance'!$C$5:$C$40,Assumptions!$C30,'TRA balance'!$D$5:$D$40,Assumptions!$B30)*EB30*AK30,"")</f>
        <v>0</v>
      </c>
      <c r="CH30" s="40">
        <f ca="1">IFERROR(SUMIFS('TRA balance'!AI$5:AI$40,'TRA balance'!$C$5:$C$40,Assumptions!$C30,'TRA balance'!$D$5:$D$40,Assumptions!$B30)*EC30*AL30,"")</f>
        <v>0</v>
      </c>
      <c r="CI30" s="40">
        <f ca="1">IFERROR(SUMIFS('TRA balance'!AJ$5:AJ$40,'TRA balance'!$C$5:$C$40,Assumptions!$C30,'TRA balance'!$D$5:$D$40,Assumptions!$B30)*ED30*AM30,"")</f>
        <v>10.427339867112</v>
      </c>
      <c r="CJ30" s="40">
        <f ca="1">IFERROR(SUMIFS('TRA balance'!AK$5:AK$40,'TRA balance'!$C$5:$C$40,Assumptions!$C30,'TRA balance'!$D$5:$D$40,Assumptions!$B30)*EE30*AN30,"")</f>
        <v>0</v>
      </c>
      <c r="CK30" s="40">
        <f ca="1">IFERROR(SUMIFS('TRA balance'!AL$5:AL$40,'TRA balance'!$C$5:$C$40,Assumptions!$C30,'TRA balance'!$D$5:$D$40,Assumptions!$B30)*EF30*AO30,"")</f>
        <v>9.258057815616</v>
      </c>
      <c r="CL30" s="40">
        <f ca="1">IFERROR(SUMIFS('TRA balance'!AM$5:AM$40,'TRA balance'!$C$5:$C$40,Assumptions!$C30,'TRA balance'!$D$5:$D$40,Assumptions!$B30)*EG30*AP30,"")</f>
        <v>1.564768435536</v>
      </c>
      <c r="CM30" s="40">
        <f ca="1">IFERROR(SUMIFS('TRA balance'!AN$5:AN$40,'TRA balance'!$C$5:$C$40,Assumptions!$C30,'TRA balance'!$D$5:$D$40,Assumptions!$B30)*EH30*AQ30,"")</f>
        <v>0</v>
      </c>
      <c r="CN30" s="40">
        <f ca="1">IFERROR(SUMIFS('TRA balance'!AO$5:AO$40,'TRA balance'!$C$5:$C$40,Assumptions!$C30,'TRA balance'!$D$5:$D$40,Assumptions!$B30)*EI30*AR30,"")</f>
        <v>0</v>
      </c>
      <c r="CO30" s="40">
        <f ca="1">IFERROR(SUMIFS('TRA balance'!AP$5:AP$40,'TRA balance'!$C$5:$C$40,Assumptions!$C30,'TRA balance'!$D$5:$D$40,Assumptions!$B30)*EJ30*AS30,"")</f>
        <v>0</v>
      </c>
      <c r="CP30" s="40">
        <f ca="1">IFERROR(SUMIFS('TRA balance'!AQ$5:AQ$40,'TRA balance'!$C$5:$C$40,Assumptions!$C30,'TRA balance'!$D$5:$D$40,Assumptions!$B30)*EK30*AT30,"")</f>
        <v>0</v>
      </c>
      <c r="CQ30" s="40">
        <f ca="1">IFERROR(SUMIFS('TRA balance'!AR$5:AR$40,'TRA balance'!$C$5:$C$40,Assumptions!$C30,'TRA balance'!$D$5:$D$40,Assumptions!$B30)*EL30*AU30,"")</f>
        <v>0</v>
      </c>
      <c r="CR30" s="40">
        <f ca="1">IFERROR(SUMIFS('TRA balance'!AS$5:AS$40,'TRA balance'!$C$5:$C$40,Assumptions!$C30,'TRA balance'!$D$5:$D$40,Assumptions!$B30)*EM30*AV30,"")</f>
        <v>0</v>
      </c>
      <c r="CS30" s="40">
        <f ca="1">IFERROR(SUMIFS('TRA balance'!AT$5:AT$40,'TRA balance'!$C$5:$C$40,Assumptions!$C30,'TRA balance'!$D$5:$D$40,Assumptions!$B30)*EN30*AW30,"")</f>
        <v>0</v>
      </c>
      <c r="CT30" s="40">
        <f ca="1">IFERROR(SUMIFS('TRA balance'!AU$5:AU$40,'TRA balance'!$C$5:$C$40,Assumptions!$C30,'TRA balance'!$D$5:$D$40,Assumptions!$B30)*EO30*AX30,"")</f>
        <v>0</v>
      </c>
      <c r="CU30" s="40">
        <f ca="1">IFERROR(SUMIFS('TRA balance'!AV$5:AV$40,'TRA balance'!$C$5:$C$40,Assumptions!$C30,'TRA balance'!$D$5:$D$40,Assumptions!$B30)*EP30*AY30,"")</f>
        <v>0</v>
      </c>
      <c r="CV30" s="40">
        <f ca="1">IFERROR(SUMIFS('TRA balance'!AW$5:AW$40,'TRA balance'!$C$5:$C$40,Assumptions!$C30,'TRA balance'!$D$5:$D$40,Assumptions!$B30)*EQ30*AZ30,"")</f>
        <v>0</v>
      </c>
      <c r="CW30" s="40">
        <f ca="1">IFERROR(SUMIFS('TRA balance'!AX$5:AX$40,'TRA balance'!$C$5:$C$40,Assumptions!$C30,'TRA balance'!$D$5:$D$40,Assumptions!$B30)*ER30*BA30,"")</f>
        <v>0</v>
      </c>
      <c r="CY30" s="39">
        <f ca="1" t="shared" si="2"/>
        <v>0</v>
      </c>
      <c r="CZ30" s="39">
        <f ca="1" t="shared" si="3"/>
        <v>0</v>
      </c>
      <c r="DA30" s="39">
        <f ca="1" t="shared" si="4"/>
        <v>0.1</v>
      </c>
      <c r="DB30" s="39">
        <f ca="1" t="shared" si="5"/>
        <v>0.03</v>
      </c>
      <c r="DC30" s="39">
        <f ca="1" t="shared" si="6"/>
        <v>0.3</v>
      </c>
      <c r="DD30" s="39">
        <f ca="1" t="shared" si="7"/>
        <v>0.03</v>
      </c>
      <c r="DE30" s="39">
        <f ca="1" t="shared" si="8"/>
        <v>0.1</v>
      </c>
      <c r="DF30" s="39">
        <f ca="1" t="shared" si="9"/>
        <v>0.1</v>
      </c>
      <c r="DG30" s="39">
        <f ca="1" t="shared" si="10"/>
        <v>0.1</v>
      </c>
      <c r="DH30" s="39">
        <f ca="1" t="shared" si="11"/>
        <v>0.1</v>
      </c>
      <c r="DI30" s="39">
        <f ca="1" t="shared" si="12"/>
        <v>0.03</v>
      </c>
      <c r="DJ30" s="39">
        <f ca="1" t="shared" si="13"/>
        <v>0.03</v>
      </c>
      <c r="DK30" s="39">
        <f ca="1" t="shared" si="14"/>
        <v>0.03</v>
      </c>
      <c r="DL30" s="39">
        <f ca="1" t="shared" si="15"/>
        <v>0.1</v>
      </c>
      <c r="DM30" s="39">
        <f ca="1" t="shared" si="16"/>
        <v>0.03</v>
      </c>
      <c r="DN30" s="39">
        <f ca="1" t="shared" si="17"/>
        <v>0</v>
      </c>
      <c r="DO30" s="39">
        <f ca="1" t="shared" si="18"/>
        <v>0.03</v>
      </c>
      <c r="DP30" s="39">
        <f ca="1" t="shared" si="19"/>
        <v>0.03</v>
      </c>
      <c r="DQ30" s="39">
        <f ca="1" t="shared" si="20"/>
        <v>0.1</v>
      </c>
      <c r="DR30" s="39">
        <f ca="1" t="shared" si="21"/>
        <v>0.1</v>
      </c>
      <c r="DS30" s="39">
        <f ca="1" t="shared" si="22"/>
        <v>0.3</v>
      </c>
      <c r="DT30" s="39">
        <f ca="1" t="shared" si="23"/>
        <v>0.2</v>
      </c>
      <c r="DU30" s="39">
        <f ca="1" t="shared" si="24"/>
        <v>0.03</v>
      </c>
      <c r="DV30" s="39">
        <f ca="1" t="shared" si="25"/>
        <v>0.1</v>
      </c>
      <c r="DW30" s="39">
        <f ca="1" t="shared" si="26"/>
        <v>0</v>
      </c>
      <c r="DX30" s="39">
        <f ca="1" t="shared" si="27"/>
        <v>0.3</v>
      </c>
      <c r="DY30" s="39">
        <f ca="1" t="shared" si="28"/>
        <v>0.3</v>
      </c>
      <c r="DZ30" s="39">
        <f ca="1" t="shared" si="29"/>
        <v>0</v>
      </c>
      <c r="EA30" s="39">
        <f ca="1" t="shared" si="30"/>
        <v>0.03</v>
      </c>
      <c r="EB30" s="39">
        <f ca="1" t="shared" si="31"/>
        <v>0.03</v>
      </c>
      <c r="EC30" s="39">
        <f ca="1" t="shared" si="32"/>
        <v>0.03</v>
      </c>
      <c r="ED30" s="39">
        <f ca="1" t="shared" si="33"/>
        <v>0.3</v>
      </c>
      <c r="EE30" s="39">
        <f ca="1" t="shared" si="34"/>
        <v>0.03</v>
      </c>
      <c r="EF30" s="39">
        <f ca="1" t="shared" si="35"/>
        <v>0.3</v>
      </c>
      <c r="EG30" s="39">
        <f ca="1" t="shared" si="36"/>
        <v>0.1</v>
      </c>
      <c r="EH30" s="39">
        <f ca="1" t="shared" si="37"/>
        <v>0.2</v>
      </c>
      <c r="EI30" s="39">
        <f ca="1" t="shared" si="38"/>
        <v>0.2</v>
      </c>
      <c r="EJ30" s="39">
        <f ca="1" t="shared" si="39"/>
        <v>0.2</v>
      </c>
      <c r="EK30" s="39">
        <f ca="1" t="shared" si="40"/>
        <v>0.2</v>
      </c>
      <c r="EL30" s="39">
        <f ca="1" t="shared" si="41"/>
        <v>0.2</v>
      </c>
      <c r="EM30" s="39">
        <f ca="1" t="shared" si="42"/>
        <v>0.2</v>
      </c>
      <c r="EN30" s="39">
        <f ca="1" t="shared" si="43"/>
        <v>0.2</v>
      </c>
      <c r="EO30" s="39">
        <f ca="1" t="shared" si="44"/>
        <v>0.2</v>
      </c>
      <c r="EP30" s="39">
        <f ca="1" t="shared" si="45"/>
        <v>0.2</v>
      </c>
      <c r="EQ30" s="39">
        <f ca="1" t="shared" si="46"/>
        <v>0.2</v>
      </c>
      <c r="ER30" s="39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4" t="str">
        <f t="shared" si="48"/>
        <v>TR</v>
      </c>
      <c r="D31" s="55" t="s">
        <v>200</v>
      </c>
      <c r="E31" s="66" t="s">
        <v>218</v>
      </c>
      <c r="F31" s="56" t="str">
        <f t="shared" si="62"/>
        <v>Gasoline</v>
      </c>
      <c r="G31" s="54" t="s">
        <v>219</v>
      </c>
      <c r="H31" s="57">
        <f ca="1">OFFSET(TIAM15_assumptions!$G31,0,MATCH(VLOOKUP(Assumptions!H$2,TIAM15_assumptions!$Y$3:$Z$87,2,FALSE),TIAM15_assumptions!$H$2:$V$2,0))</f>
        <v>0.55</v>
      </c>
      <c r="I31" s="57">
        <f ca="1">OFFSET(TIAM15_assumptions!$G31,0,MATCH(VLOOKUP(Assumptions!I$2,TIAM15_assumptions!$Y$3:$Z$87,2,FALSE),TIAM15_assumptions!$H$2:$V$2,0))</f>
        <v>0.55</v>
      </c>
      <c r="J31" s="57">
        <f ca="1">OFFSET(TIAM15_assumptions!$G31,0,MATCH(VLOOKUP(Assumptions!J$2,TIAM15_assumptions!$Y$3:$Z$87,2,FALSE),TIAM15_assumptions!$H$2:$V$2,0))</f>
        <v>0.95</v>
      </c>
      <c r="K31" s="57">
        <f ca="1">OFFSET(TIAM15_assumptions!$G31,0,MATCH(VLOOKUP(Assumptions!K$2,TIAM15_assumptions!$Y$3:$Z$87,2,FALSE),TIAM15_assumptions!$H$2:$V$2,0))</f>
        <v>0.95</v>
      </c>
      <c r="L31" s="57">
        <f ca="1">OFFSET(TIAM15_assumptions!$G31,0,MATCH(VLOOKUP(Assumptions!L$2,TIAM15_assumptions!$Y$3:$Z$87,2,FALSE),TIAM15_assumptions!$H$2:$V$2,0))</f>
        <v>0.55</v>
      </c>
      <c r="M31" s="57">
        <f ca="1">OFFSET(TIAM15_assumptions!$G31,0,MATCH(VLOOKUP(Assumptions!M$2,TIAM15_assumptions!$Y$3:$Z$87,2,FALSE),TIAM15_assumptions!$H$2:$V$2,0))</f>
        <v>0.95</v>
      </c>
      <c r="N31" s="57">
        <f ca="1">OFFSET(TIAM15_assumptions!$G31,0,MATCH(VLOOKUP(Assumptions!N$2,TIAM15_assumptions!$Y$3:$Z$87,2,FALSE),TIAM15_assumptions!$H$2:$V$2,0))</f>
        <v>0.58</v>
      </c>
      <c r="O31" s="57">
        <f ca="1">OFFSET(TIAM15_assumptions!$G31,0,MATCH(VLOOKUP(Assumptions!O$2,TIAM15_assumptions!$Y$3:$Z$87,2,FALSE),TIAM15_assumptions!$H$2:$V$2,0))</f>
        <v>0.8</v>
      </c>
      <c r="P31" s="57">
        <f ca="1">OFFSET(TIAM15_assumptions!$G31,0,MATCH(VLOOKUP(Assumptions!P$2,TIAM15_assumptions!$Y$3:$Z$87,2,FALSE),TIAM15_assumptions!$H$2:$V$2,0))</f>
        <v>0.5</v>
      </c>
      <c r="Q31" s="57">
        <f ca="1">OFFSET(TIAM15_assumptions!$G31,0,MATCH(VLOOKUP(Assumptions!Q$2,TIAM15_assumptions!$Y$3:$Z$87,2,FALSE),TIAM15_assumptions!$H$2:$V$2,0))</f>
        <v>0.5</v>
      </c>
      <c r="R31" s="57">
        <f ca="1">OFFSET(TIAM15_assumptions!$G31,0,MATCH(VLOOKUP(Assumptions!R$2,TIAM15_assumptions!$Y$3:$Z$87,2,FALSE),TIAM15_assumptions!$H$2:$V$2,0))</f>
        <v>0.95</v>
      </c>
      <c r="S31" s="57">
        <f ca="1">OFFSET(TIAM15_assumptions!$G31,0,MATCH(VLOOKUP(Assumptions!S$2,TIAM15_assumptions!$Y$3:$Z$87,2,FALSE),TIAM15_assumptions!$H$2:$V$2,0))</f>
        <v>0.95</v>
      </c>
      <c r="T31" s="57">
        <f ca="1">OFFSET(TIAM15_assumptions!$G31,0,MATCH(VLOOKUP(Assumptions!T$2,TIAM15_assumptions!$Y$3:$Z$87,2,FALSE),TIAM15_assumptions!$H$2:$V$2,0))</f>
        <v>0.95</v>
      </c>
      <c r="U31" s="57">
        <f ca="1">OFFSET(TIAM15_assumptions!$G31,0,MATCH(VLOOKUP(Assumptions!U$2,TIAM15_assumptions!$Y$3:$Z$87,2,FALSE),TIAM15_assumptions!$H$2:$V$2,0))</f>
        <v>0.5</v>
      </c>
      <c r="V31" s="57">
        <f ca="1">OFFSET(TIAM15_assumptions!$G31,0,MATCH(VLOOKUP(Assumptions!V$2,TIAM15_assumptions!$Y$3:$Z$87,2,FALSE),TIAM15_assumptions!$H$2:$V$2,0))</f>
        <v>0.95</v>
      </c>
      <c r="W31" s="57">
        <f ca="1">OFFSET(TIAM15_assumptions!$G31,0,MATCH(VLOOKUP(Assumptions!W$2,TIAM15_assumptions!$Y$3:$Z$87,2,FALSE),TIAM15_assumptions!$H$2:$V$2,0))</f>
        <v>0.7</v>
      </c>
      <c r="X31" s="57">
        <f ca="1">OFFSET(TIAM15_assumptions!$G31,0,MATCH(VLOOKUP(Assumptions!X$2,TIAM15_assumptions!$Y$3:$Z$87,2,FALSE),TIAM15_assumptions!$H$2:$V$2,0))</f>
        <v>0.95</v>
      </c>
      <c r="Y31" s="57">
        <f ca="1">OFFSET(TIAM15_assumptions!$G31,0,MATCH(VLOOKUP(Assumptions!Y$2,TIAM15_assumptions!$Y$3:$Z$87,2,FALSE),TIAM15_assumptions!$H$2:$V$2,0))</f>
        <v>0.95</v>
      </c>
      <c r="Z31" s="57">
        <f ca="1">OFFSET(TIAM15_assumptions!$G31,0,MATCH(VLOOKUP(Assumptions!Z$2,TIAM15_assumptions!$Y$3:$Z$87,2,FALSE),TIAM15_assumptions!$H$2:$V$2,0))</f>
        <v>1</v>
      </c>
      <c r="AA31" s="57">
        <f ca="1">OFFSET(TIAM15_assumptions!$G31,0,MATCH(VLOOKUP(Assumptions!AA$2,TIAM15_assumptions!$Y$3:$Z$87,2,FALSE),TIAM15_assumptions!$H$2:$V$2,0))</f>
        <v>0.58</v>
      </c>
      <c r="AB31" s="57">
        <f ca="1">OFFSET(TIAM15_assumptions!$G31,0,MATCH(VLOOKUP(Assumptions!AB$2,TIAM15_assumptions!$Y$3:$Z$87,2,FALSE),TIAM15_assumptions!$H$2:$V$2,0))</f>
        <v>0.55</v>
      </c>
      <c r="AC31" s="57">
        <f ca="1">OFFSET(TIAM15_assumptions!$G31,0,MATCH(VLOOKUP(Assumptions!AC$2,TIAM15_assumptions!$Y$3:$Z$87,2,FALSE),TIAM15_assumptions!$H$2:$V$2,0))</f>
        <v>0.695</v>
      </c>
      <c r="AD31" s="57">
        <f ca="1">OFFSET(TIAM15_assumptions!$G31,0,MATCH(VLOOKUP(Assumptions!AD$2,TIAM15_assumptions!$Y$3:$Z$87,2,FALSE),TIAM15_assumptions!$H$2:$V$2,0))</f>
        <v>0.95</v>
      </c>
      <c r="AE31" s="57">
        <f ca="1">OFFSET(TIAM15_assumptions!$G31,0,MATCH(VLOOKUP(Assumptions!AE$2,TIAM15_assumptions!$Y$3:$Z$87,2,FALSE),TIAM15_assumptions!$H$2:$V$2,0))</f>
        <v>0.5</v>
      </c>
      <c r="AF31" s="57">
        <f ca="1">OFFSET(TIAM15_assumptions!$G31,0,MATCH(VLOOKUP(Assumptions!AF$2,TIAM15_assumptions!$Y$3:$Z$87,2,FALSE),TIAM15_assumptions!$H$2:$V$2,0))</f>
        <v>0.5</v>
      </c>
      <c r="AG31" s="57">
        <f ca="1">OFFSET(TIAM15_assumptions!$G31,0,MATCH(VLOOKUP(Assumptions!AG$2,TIAM15_assumptions!$Y$3:$Z$87,2,FALSE),TIAM15_assumptions!$H$2:$V$2,0))</f>
        <v>0.55</v>
      </c>
      <c r="AH31" s="57">
        <f ca="1">OFFSET(TIAM15_assumptions!$G31,0,MATCH(VLOOKUP(Assumptions!AH$2,TIAM15_assumptions!$Y$3:$Z$87,2,FALSE),TIAM15_assumptions!$H$2:$V$2,0))</f>
        <v>0.55</v>
      </c>
      <c r="AI31" s="57">
        <f ca="1">OFFSET(TIAM15_assumptions!$G31,0,MATCH(VLOOKUP(Assumptions!AI$2,TIAM15_assumptions!$Y$3:$Z$87,2,FALSE),TIAM15_assumptions!$H$2:$V$2,0))</f>
        <v>0.55</v>
      </c>
      <c r="AJ31" s="57">
        <f ca="1">OFFSET(TIAM15_assumptions!$G31,0,MATCH(VLOOKUP(Assumptions!AJ$2,TIAM15_assumptions!$Y$3:$Z$87,2,FALSE),TIAM15_assumptions!$H$2:$V$2,0))</f>
        <v>0.95</v>
      </c>
      <c r="AK31" s="57">
        <f ca="1">OFFSET(TIAM15_assumptions!$G31,0,MATCH(VLOOKUP(Assumptions!AK$2,TIAM15_assumptions!$Y$3:$Z$87,2,FALSE),TIAM15_assumptions!$H$2:$V$2,0))</f>
        <v>0.95</v>
      </c>
      <c r="AL31" s="57">
        <f ca="1">OFFSET(TIAM15_assumptions!$G31,0,MATCH(VLOOKUP(Assumptions!AL$2,TIAM15_assumptions!$Y$3:$Z$87,2,FALSE),TIAM15_assumptions!$H$2:$V$2,0))</f>
        <v>0.95</v>
      </c>
      <c r="AM31" s="57">
        <f ca="1">OFFSET(TIAM15_assumptions!$G31,0,MATCH(VLOOKUP(Assumptions!AM$2,TIAM15_assumptions!$Y$3:$Z$87,2,FALSE),TIAM15_assumptions!$H$2:$V$2,0))</f>
        <v>0.55</v>
      </c>
      <c r="AN31" s="57">
        <f ca="1">OFFSET(TIAM15_assumptions!$G31,0,MATCH(VLOOKUP(Assumptions!AN$2,TIAM15_assumptions!$Y$3:$Z$87,2,FALSE),TIAM15_assumptions!$H$2:$V$2,0))</f>
        <v>0.95</v>
      </c>
      <c r="AO31" s="57">
        <f ca="1">OFFSET(TIAM15_assumptions!$G31,0,MATCH(VLOOKUP(Assumptions!AO$2,TIAM15_assumptions!$Y$3:$Z$87,2,FALSE),TIAM15_assumptions!$H$2:$V$2,0))</f>
        <v>0.55</v>
      </c>
      <c r="AP31" s="57">
        <f ca="1">OFFSET(TIAM15_assumptions!$G31,0,MATCH(VLOOKUP(Assumptions!AP$2,TIAM15_assumptions!$Y$3:$Z$87,2,FALSE),TIAM15_assumptions!$H$2:$V$2,0))</f>
        <v>0.5</v>
      </c>
      <c r="AQ31" s="57">
        <f ca="1">OFFSET(TIAM15_assumptions!$G31,0,MATCH(VLOOKUP(Assumptions!AQ$2,TIAM15_assumptions!$Y$3:$Z$87,2,FALSE),TIAM15_assumptions!$H$2:$V$2,0))</f>
        <v>0.695</v>
      </c>
      <c r="AR31" s="57">
        <f ca="1">OFFSET(TIAM15_assumptions!$G31,0,MATCH(VLOOKUP(Assumptions!AR$2,TIAM15_assumptions!$Y$3:$Z$87,2,FALSE),TIAM15_assumptions!$H$2:$V$2,0))</f>
        <v>0.695</v>
      </c>
      <c r="AS31" s="57">
        <f ca="1">OFFSET(TIAM15_assumptions!$G31,0,MATCH(VLOOKUP(Assumptions!AS$2,TIAM15_assumptions!$Y$3:$Z$87,2,FALSE),TIAM15_assumptions!$H$2:$V$2,0))</f>
        <v>0.695</v>
      </c>
      <c r="AT31" s="57">
        <f ca="1">OFFSET(TIAM15_assumptions!$G31,0,MATCH(VLOOKUP(Assumptions!AT$2,TIAM15_assumptions!$Y$3:$Z$87,2,FALSE),TIAM15_assumptions!$H$2:$V$2,0))</f>
        <v>0.695</v>
      </c>
      <c r="AU31" s="57">
        <f ca="1">OFFSET(TIAM15_assumptions!$G31,0,MATCH(VLOOKUP(Assumptions!AU$2,TIAM15_assumptions!$Y$3:$Z$87,2,FALSE),TIAM15_assumptions!$H$2:$V$2,0))</f>
        <v>0.695</v>
      </c>
      <c r="AV31" s="57">
        <f ca="1">OFFSET(TIAM15_assumptions!$G31,0,MATCH(VLOOKUP(Assumptions!AV$2,TIAM15_assumptions!$Y$3:$Z$87,2,FALSE),TIAM15_assumptions!$H$2:$V$2,0))</f>
        <v>0.695</v>
      </c>
      <c r="AW31" s="57">
        <f ca="1">OFFSET(TIAM15_assumptions!$G31,0,MATCH(VLOOKUP(Assumptions!AW$2,TIAM15_assumptions!$Y$3:$Z$87,2,FALSE),TIAM15_assumptions!$H$2:$V$2,0))</f>
        <v>0.695</v>
      </c>
      <c r="AX31" s="57">
        <f ca="1">OFFSET(TIAM15_assumptions!$G31,0,MATCH(VLOOKUP(Assumptions!AX$2,TIAM15_assumptions!$Y$3:$Z$87,2,FALSE),TIAM15_assumptions!$H$2:$V$2,0))</f>
        <v>0.695</v>
      </c>
      <c r="AY31" s="57">
        <f ca="1">OFFSET(TIAM15_assumptions!$G31,0,MATCH(VLOOKUP(Assumptions!AY$2,TIAM15_assumptions!$Y$3:$Z$87,2,FALSE),TIAM15_assumptions!$H$2:$V$2,0))</f>
        <v>0.695</v>
      </c>
      <c r="AZ31" s="57">
        <f ca="1">OFFSET(TIAM15_assumptions!$G31,0,MATCH(VLOOKUP(Assumptions!AZ$2,TIAM15_assumptions!$Y$3:$Z$87,2,FALSE),TIAM15_assumptions!$H$2:$V$2,0))</f>
        <v>0.695</v>
      </c>
      <c r="BA31" s="57">
        <f ca="1">OFFSET(TIAM15_assumptions!$G31,0,MATCH(VLOOKUP(Assumptions!BA$2,TIAM15_assumptions!$Y$3:$Z$87,2,FALSE),TIAM15_assumptions!$H$2:$V$2,0))</f>
        <v>0.695</v>
      </c>
      <c r="BD31" s="40">
        <f ca="1">IFERROR(SUMIFS('TRA balance'!E$5:E$40,'TRA balance'!$C$5:$C$40,Assumptions!$C31,'TRA balance'!$D$5:$D$40,Assumptions!$B31)*CY31*H31,"")</f>
        <v>0</v>
      </c>
      <c r="BE31" s="40">
        <f ca="1">IFERROR(SUMIFS('TRA balance'!F$5:F$40,'TRA balance'!$C$5:$C$40,Assumptions!$C31,'TRA balance'!$D$5:$D$40,Assumptions!$B31)*CZ31*I31,"")</f>
        <v>0</v>
      </c>
      <c r="BF31" s="40">
        <f ca="1">IFERROR(SUMIFS('TRA balance'!G$5:G$40,'TRA balance'!$C$5:$C$40,Assumptions!$C31,'TRA balance'!$D$5:$D$40,Assumptions!$B31)*DA31*J31,"")</f>
        <v>54.047574407916</v>
      </c>
      <c r="BG31" s="40">
        <f ca="1">IFERROR(SUMIFS('TRA balance'!H$5:H$40,'TRA balance'!$C$5:$C$40,Assumptions!$C31,'TRA balance'!$D$5:$D$40,Assumptions!$B31)*DB31*K31,"")</f>
        <v>1.9734588605268</v>
      </c>
      <c r="BH31" s="40">
        <f ca="1">IFERROR(SUMIFS('TRA balance'!I$5:I$40,'TRA balance'!$C$5:$C$40,Assumptions!$C31,'TRA balance'!$D$5:$D$40,Assumptions!$B31)*DC31*L31,"")</f>
        <v>4.771126911078</v>
      </c>
      <c r="BI31" s="40">
        <f ca="1">IFERROR(SUMIFS('TRA balance'!J$5:J$40,'TRA balance'!$C$5:$C$40,Assumptions!$C31,'TRA balance'!$D$5:$D$40,Assumptions!$B31)*DD31*M31,"")</f>
        <v>7.63549309094581</v>
      </c>
      <c r="BJ31" s="40">
        <f ca="1">IFERROR(SUMIFS('TRA balance'!K$5:K$40,'TRA balance'!$C$5:$C$40,Assumptions!$C31,'TRA balance'!$D$5:$D$40,Assumptions!$B31)*DE31*N31,"")</f>
        <v>52.0945467420168</v>
      </c>
      <c r="BK31" s="40">
        <f ca="1">IFERROR(SUMIFS('TRA balance'!L$5:L$40,'TRA balance'!$C$5:$C$40,Assumptions!$C31,'TRA balance'!$D$5:$D$40,Assumptions!$B31)*DF31*O31,"")</f>
        <v>480.15157898592</v>
      </c>
      <c r="BL31" s="40">
        <f ca="1">IFERROR(SUMIFS('TRA balance'!M$5:M$40,'TRA balance'!$C$5:$C$40,Assumptions!$C31,'TRA balance'!$D$5:$D$40,Assumptions!$B31)*DG31*P31,"")</f>
        <v>1.87927302222</v>
      </c>
      <c r="BM31" s="40">
        <f ca="1">IFERROR(SUMIFS('TRA balance'!N$5:N$40,'TRA balance'!$C$5:$C$40,Assumptions!$C31,'TRA balance'!$D$5:$D$40,Assumptions!$B31)*DH31*Q31,"")</f>
        <v>4.4550001278</v>
      </c>
      <c r="BN31" s="40">
        <f ca="1">IFERROR(SUMIFS('TRA balance'!O$5:O$40,'TRA balance'!$C$5:$C$40,Assumptions!$C31,'TRA balance'!$D$5:$D$40,Assumptions!$B31)*DI31*R31,"")</f>
        <v>9.37944216807661</v>
      </c>
      <c r="BO31" s="40">
        <f ca="1">IFERROR(SUMIFS('TRA balance'!P$5:P$40,'TRA balance'!$C$5:$C$40,Assumptions!$C31,'TRA balance'!$D$5:$D$40,Assumptions!$B31)*DJ31*S31,"")</f>
        <v>20.5944419935818</v>
      </c>
      <c r="BP31" s="40">
        <f ca="1">IFERROR(SUMIFS('TRA balance'!Q$5:Q$40,'TRA balance'!$C$5:$C$40,Assumptions!$C31,'TRA balance'!$D$5:$D$40,Assumptions!$B31)*DK31*T31,"")</f>
        <v>3.220936567731</v>
      </c>
      <c r="BQ31" s="40">
        <f ca="1">IFERROR(SUMIFS('TRA balance'!R$5:R$40,'TRA balance'!$C$5:$C$40,Assumptions!$C31,'TRA balance'!$D$5:$D$40,Assumptions!$B31)*DL31*U31,"")</f>
        <v>6.94337614092</v>
      </c>
      <c r="BR31" s="40">
        <f ca="1">IFERROR(SUMIFS('TRA balance'!S$5:S$40,'TRA balance'!$C$5:$C$40,Assumptions!$C31,'TRA balance'!$D$5:$D$40,Assumptions!$B31)*DM31*V31,"")</f>
        <v>0.1489050052866</v>
      </c>
      <c r="BS31" s="40">
        <f ca="1">IFERROR(SUMIFS('TRA balance'!T$5:T$40,'TRA balance'!$C$5:$C$40,Assumptions!$C31,'TRA balance'!$D$5:$D$40,Assumptions!$B31)*DN31*W31,"")</f>
        <v>0</v>
      </c>
      <c r="BT31" s="40">
        <f ca="1">IFERROR(SUMIFS('TRA balance'!U$5:U$40,'TRA balance'!$C$5:$C$40,Assumptions!$C31,'TRA balance'!$D$5:$D$40,Assumptions!$B31)*DO31*X31,"")</f>
        <v>0.918631456927201</v>
      </c>
      <c r="BU31" s="40">
        <f ca="1">IFERROR(SUMIFS('TRA balance'!V$5:V$40,'TRA balance'!$C$5:$C$40,Assumptions!$C31,'TRA balance'!$D$5:$D$40,Assumptions!$B31)*DP31*Y31,"")</f>
        <v>9.30467244311101</v>
      </c>
      <c r="BV31" s="40">
        <f ca="1">IFERROR(SUMIFS('TRA balance'!W$5:W$40,'TRA balance'!$C$5:$C$40,Assumptions!$C31,'TRA balance'!$D$5:$D$40,Assumptions!$B31)*DQ31*Z31,"")</f>
        <v>158.45382288072</v>
      </c>
      <c r="BW31" s="40">
        <f ca="1">IFERROR(SUMIFS('TRA balance'!X$5:X$40,'TRA balance'!$C$5:$C$40,Assumptions!$C31,'TRA balance'!$D$5:$D$40,Assumptions!$B31)*DR31*AA31,"")</f>
        <v>99.0518557448664</v>
      </c>
      <c r="BX31" s="40">
        <f ca="1">IFERROR(SUMIFS('TRA balance'!Y$5:Y$40,'TRA balance'!$C$5:$C$40,Assumptions!$C31,'TRA balance'!$D$5:$D$40,Assumptions!$B31)*DS31*AB31,"")</f>
        <v>389.33794274067</v>
      </c>
      <c r="BY31" s="40">
        <f ca="1">IFERROR(SUMIFS('TRA balance'!Z$5:Z$40,'TRA balance'!$C$5:$C$40,Assumptions!$C31,'TRA balance'!$D$5:$D$40,Assumptions!$B31)*DT31*AC31,"")</f>
        <v>2550.26765403462</v>
      </c>
      <c r="BZ31" s="40">
        <f ca="1">IFERROR(SUMIFS('TRA balance'!AA$5:AA$40,'TRA balance'!$C$5:$C$40,Assumptions!$C31,'TRA balance'!$D$5:$D$40,Assumptions!$B31)*DU31*AD31,"")</f>
        <v>0.795032285173201</v>
      </c>
      <c r="CA31" s="40">
        <f ca="1">IFERROR(SUMIFS('TRA balance'!AB$5:AB$40,'TRA balance'!$C$5:$C$40,Assumptions!$C31,'TRA balance'!$D$5:$D$40,Assumptions!$B31)*DV31*AE31,"")</f>
        <v>9.71584453728</v>
      </c>
      <c r="CB31" s="40">
        <f ca="1">IFERROR(SUMIFS('TRA balance'!AC$5:AC$40,'TRA balance'!$C$5:$C$40,Assumptions!$C31,'TRA balance'!$D$5:$D$40,Assumptions!$B31)*DW31*AF31,"")</f>
        <v>0</v>
      </c>
      <c r="CC31" s="40">
        <f ca="1">IFERROR(SUMIFS('TRA balance'!AD$5:AD$40,'TRA balance'!$C$5:$C$40,Assumptions!$C31,'TRA balance'!$D$5:$D$40,Assumptions!$B31)*DX31*AG31,"")</f>
        <v>255.249548666442</v>
      </c>
      <c r="CD31" s="40">
        <f ca="1">IFERROR(SUMIFS('TRA balance'!AE$5:AE$40,'TRA balance'!$C$5:$C$40,Assumptions!$C31,'TRA balance'!$D$5:$D$40,Assumptions!$B31)*DY31*AH31,"")</f>
        <v>168.196163539932</v>
      </c>
      <c r="CE31" s="40">
        <f ca="1">IFERROR(SUMIFS('TRA balance'!AF$5:AF$40,'TRA balance'!$C$5:$C$40,Assumptions!$C31,'TRA balance'!$D$5:$D$40,Assumptions!$B31)*DZ31*AI31,"")</f>
        <v>0</v>
      </c>
      <c r="CF31" s="40">
        <f ca="1">IFERROR(SUMIFS('TRA balance'!AG$5:AG$40,'TRA balance'!$C$5:$C$40,Assumptions!$C31,'TRA balance'!$D$5:$D$40,Assumptions!$B31)*EA31*AJ31,"")</f>
        <v>7.72745272186321</v>
      </c>
      <c r="CG31" s="40">
        <f ca="1">IFERROR(SUMIFS('TRA balance'!AH$5:AH$40,'TRA balance'!$C$5:$C$40,Assumptions!$C31,'TRA balance'!$D$5:$D$40,Assumptions!$B31)*EB31*AK31,"")</f>
        <v>5.419647619146</v>
      </c>
      <c r="CH31" s="40">
        <f ca="1">IFERROR(SUMIFS('TRA balance'!AI$5:AI$40,'TRA balance'!$C$5:$C$40,Assumptions!$C31,'TRA balance'!$D$5:$D$40,Assumptions!$B31)*EC31*AL31,"")</f>
        <v>2.8463894213778</v>
      </c>
      <c r="CI31" s="40">
        <f ca="1">IFERROR(SUMIFS('TRA balance'!AJ$5:AJ$40,'TRA balance'!$C$5:$C$40,Assumptions!$C31,'TRA balance'!$D$5:$D$40,Assumptions!$B31)*ED31*AM31,"")</f>
        <v>16.385819791176</v>
      </c>
      <c r="CJ31" s="40">
        <f ca="1">IFERROR(SUMIFS('TRA balance'!AK$5:AK$40,'TRA balance'!$C$5:$C$40,Assumptions!$C31,'TRA balance'!$D$5:$D$40,Assumptions!$B31)*EE31*AN31,"")</f>
        <v>14.6886411721428</v>
      </c>
      <c r="CK31" s="40">
        <f ca="1">IFERROR(SUMIFS('TRA balance'!AL$5:AL$40,'TRA balance'!$C$5:$C$40,Assumptions!$C31,'TRA balance'!$D$5:$D$40,Assumptions!$B31)*EF31*AO31,"")</f>
        <v>12.729829496472</v>
      </c>
      <c r="CL31" s="40">
        <f ca="1">IFERROR(SUMIFS('TRA balance'!AM$5:AM$40,'TRA balance'!$C$5:$C$40,Assumptions!$C31,'TRA balance'!$D$5:$D$40,Assumptions!$B31)*EG31*AP31,"")</f>
        <v>1.95596054442</v>
      </c>
      <c r="CM31" s="40">
        <f ca="1">IFERROR(SUMIFS('TRA balance'!AN$5:AN$40,'TRA balance'!$C$5:$C$40,Assumptions!$C31,'TRA balance'!$D$5:$D$40,Assumptions!$B31)*EH31*AQ31,"")</f>
        <v>0</v>
      </c>
      <c r="CN31" s="40">
        <f ca="1">IFERROR(SUMIFS('TRA balance'!AO$5:AO$40,'TRA balance'!$C$5:$C$40,Assumptions!$C31,'TRA balance'!$D$5:$D$40,Assumptions!$B31)*EI31*AR31,"")</f>
        <v>0</v>
      </c>
      <c r="CO31" s="40">
        <f ca="1">IFERROR(SUMIFS('TRA balance'!AP$5:AP$40,'TRA balance'!$C$5:$C$40,Assumptions!$C31,'TRA balance'!$D$5:$D$40,Assumptions!$B31)*EJ31*AS31,"")</f>
        <v>0</v>
      </c>
      <c r="CP31" s="40">
        <f ca="1">IFERROR(SUMIFS('TRA balance'!AQ$5:AQ$40,'TRA balance'!$C$5:$C$40,Assumptions!$C31,'TRA balance'!$D$5:$D$40,Assumptions!$B31)*EK31*AT31,"")</f>
        <v>0</v>
      </c>
      <c r="CQ31" s="40">
        <f ca="1">IFERROR(SUMIFS('TRA balance'!AR$5:AR$40,'TRA balance'!$C$5:$C$40,Assumptions!$C31,'TRA balance'!$D$5:$D$40,Assumptions!$B31)*EL31*AU31,"")</f>
        <v>0</v>
      </c>
      <c r="CR31" s="40">
        <f ca="1">IFERROR(SUMIFS('TRA balance'!AS$5:AS$40,'TRA balance'!$C$5:$C$40,Assumptions!$C31,'TRA balance'!$D$5:$D$40,Assumptions!$B31)*EM31*AV31,"")</f>
        <v>0</v>
      </c>
      <c r="CS31" s="40">
        <f ca="1">IFERROR(SUMIFS('TRA balance'!AT$5:AT$40,'TRA balance'!$C$5:$C$40,Assumptions!$C31,'TRA balance'!$D$5:$D$40,Assumptions!$B31)*EN31*AW31,"")</f>
        <v>0</v>
      </c>
      <c r="CT31" s="40">
        <f ca="1">IFERROR(SUMIFS('TRA balance'!AU$5:AU$40,'TRA balance'!$C$5:$C$40,Assumptions!$C31,'TRA balance'!$D$5:$D$40,Assumptions!$B31)*EO31*AX31,"")</f>
        <v>0</v>
      </c>
      <c r="CU31" s="40">
        <f ca="1">IFERROR(SUMIFS('TRA balance'!AV$5:AV$40,'TRA balance'!$C$5:$C$40,Assumptions!$C31,'TRA balance'!$D$5:$D$40,Assumptions!$B31)*EP31*AY31,"")</f>
        <v>0</v>
      </c>
      <c r="CV31" s="40">
        <f ca="1">IFERROR(SUMIFS('TRA balance'!AW$5:AW$40,'TRA balance'!$C$5:$C$40,Assumptions!$C31,'TRA balance'!$D$5:$D$40,Assumptions!$B31)*EQ31*AZ31,"")</f>
        <v>0</v>
      </c>
      <c r="CW31" s="40">
        <f ca="1">IFERROR(SUMIFS('TRA balance'!AX$5:AX$40,'TRA balance'!$C$5:$C$40,Assumptions!$C31,'TRA balance'!$D$5:$D$40,Assumptions!$B31)*ER31*BA31,"")</f>
        <v>0</v>
      </c>
      <c r="CY31" s="39">
        <f ca="1" t="shared" si="2"/>
        <v>0</v>
      </c>
      <c r="CZ31" s="39">
        <f ca="1" t="shared" si="3"/>
        <v>0</v>
      </c>
      <c r="DA31" s="39">
        <f ca="1" t="shared" si="4"/>
        <v>0.1</v>
      </c>
      <c r="DB31" s="39">
        <f ca="1" t="shared" si="5"/>
        <v>0.03</v>
      </c>
      <c r="DC31" s="39">
        <f ca="1" t="shared" si="6"/>
        <v>0.3</v>
      </c>
      <c r="DD31" s="39">
        <f ca="1" t="shared" si="7"/>
        <v>0.03</v>
      </c>
      <c r="DE31" s="39">
        <f ca="1" t="shared" si="8"/>
        <v>0.1</v>
      </c>
      <c r="DF31" s="39">
        <f ca="1" t="shared" si="9"/>
        <v>0.1</v>
      </c>
      <c r="DG31" s="39">
        <f ca="1" t="shared" si="10"/>
        <v>0.1</v>
      </c>
      <c r="DH31" s="39">
        <f ca="1" t="shared" si="11"/>
        <v>0.1</v>
      </c>
      <c r="DI31" s="39">
        <f ca="1" t="shared" si="12"/>
        <v>0.03</v>
      </c>
      <c r="DJ31" s="39">
        <f ca="1" t="shared" si="13"/>
        <v>0.03</v>
      </c>
      <c r="DK31" s="39">
        <f ca="1" t="shared" si="14"/>
        <v>0.03</v>
      </c>
      <c r="DL31" s="39">
        <f ca="1" t="shared" si="15"/>
        <v>0.1</v>
      </c>
      <c r="DM31" s="39">
        <f ca="1" t="shared" si="16"/>
        <v>0.03</v>
      </c>
      <c r="DN31" s="39">
        <f ca="1" t="shared" si="17"/>
        <v>0</v>
      </c>
      <c r="DO31" s="39">
        <f ca="1" t="shared" si="18"/>
        <v>0.03</v>
      </c>
      <c r="DP31" s="39">
        <f ca="1" t="shared" si="19"/>
        <v>0.03</v>
      </c>
      <c r="DQ31" s="39">
        <f ca="1" t="shared" si="20"/>
        <v>0.1</v>
      </c>
      <c r="DR31" s="39">
        <f ca="1" t="shared" si="21"/>
        <v>0.1</v>
      </c>
      <c r="DS31" s="39">
        <f ca="1" t="shared" si="22"/>
        <v>0.3</v>
      </c>
      <c r="DT31" s="39">
        <f ca="1" t="shared" si="23"/>
        <v>0.2</v>
      </c>
      <c r="DU31" s="39">
        <f ca="1" t="shared" si="24"/>
        <v>0.03</v>
      </c>
      <c r="DV31" s="39">
        <f ca="1" t="shared" si="25"/>
        <v>0.1</v>
      </c>
      <c r="DW31" s="39">
        <f ca="1" t="shared" si="26"/>
        <v>0</v>
      </c>
      <c r="DX31" s="39">
        <f ca="1" t="shared" si="27"/>
        <v>0.3</v>
      </c>
      <c r="DY31" s="39">
        <f ca="1" t="shared" si="28"/>
        <v>0.3</v>
      </c>
      <c r="DZ31" s="39">
        <f ca="1" t="shared" si="29"/>
        <v>0</v>
      </c>
      <c r="EA31" s="39">
        <f ca="1" t="shared" si="30"/>
        <v>0.03</v>
      </c>
      <c r="EB31" s="39">
        <f ca="1" t="shared" si="31"/>
        <v>0.03</v>
      </c>
      <c r="EC31" s="39">
        <f ca="1" t="shared" si="32"/>
        <v>0.03</v>
      </c>
      <c r="ED31" s="39">
        <f ca="1" t="shared" si="33"/>
        <v>0.3</v>
      </c>
      <c r="EE31" s="39">
        <f ca="1" t="shared" si="34"/>
        <v>0.03</v>
      </c>
      <c r="EF31" s="39">
        <f ca="1" t="shared" si="35"/>
        <v>0.3</v>
      </c>
      <c r="EG31" s="39">
        <f ca="1" t="shared" si="36"/>
        <v>0.1</v>
      </c>
      <c r="EH31" s="39">
        <f ca="1" t="shared" si="37"/>
        <v>0.2</v>
      </c>
      <c r="EI31" s="39">
        <f ca="1" t="shared" si="38"/>
        <v>0.2</v>
      </c>
      <c r="EJ31" s="39">
        <f ca="1" t="shared" si="39"/>
        <v>0.2</v>
      </c>
      <c r="EK31" s="39">
        <f ca="1" t="shared" si="40"/>
        <v>0.2</v>
      </c>
      <c r="EL31" s="39">
        <f ca="1" t="shared" si="41"/>
        <v>0.2</v>
      </c>
      <c r="EM31" s="39">
        <f ca="1" t="shared" si="42"/>
        <v>0.2</v>
      </c>
      <c r="EN31" s="39">
        <f ca="1" t="shared" si="43"/>
        <v>0.2</v>
      </c>
      <c r="EO31" s="39">
        <f ca="1" t="shared" si="44"/>
        <v>0.2</v>
      </c>
      <c r="EP31" s="39">
        <f ca="1" t="shared" si="45"/>
        <v>0.2</v>
      </c>
      <c r="EQ31" s="39">
        <f ca="1" t="shared" si="46"/>
        <v>0.2</v>
      </c>
      <c r="ER31" s="39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4" t="str">
        <f t="shared" si="48"/>
        <v/>
      </c>
      <c r="D32" s="55"/>
      <c r="E32" s="67" t="s">
        <v>220</v>
      </c>
      <c r="F32" s="56" t="str">
        <f t="shared" si="62"/>
        <v>Gasoline</v>
      </c>
      <c r="G32" s="54"/>
      <c r="H32" s="69" t="str">
        <f ca="1">IF(SUM(H28:H31)=1,"-","&lt;&gt;1!!")</f>
        <v>-</v>
      </c>
      <c r="I32" s="69" t="str">
        <f ca="1" t="shared" ref="I32:BA32" si="63">IF(SUM(I28:I31)=1,"-","&lt;&gt;1!!")</f>
        <v>-</v>
      </c>
      <c r="J32" s="69" t="str">
        <f ca="1" t="shared" si="63"/>
        <v>-</v>
      </c>
      <c r="K32" s="69" t="str">
        <f ca="1" t="shared" si="63"/>
        <v>-</v>
      </c>
      <c r="L32" s="69" t="str">
        <f ca="1" t="shared" si="63"/>
        <v>-</v>
      </c>
      <c r="M32" s="69" t="str">
        <f ca="1" t="shared" si="63"/>
        <v>-</v>
      </c>
      <c r="N32" s="69" t="str">
        <f ca="1" t="shared" si="63"/>
        <v>-</v>
      </c>
      <c r="O32" s="69" t="str">
        <f ca="1" t="shared" si="63"/>
        <v>-</v>
      </c>
      <c r="P32" s="69" t="str">
        <f ca="1" t="shared" si="63"/>
        <v>-</v>
      </c>
      <c r="Q32" s="69" t="str">
        <f ca="1" t="shared" si="63"/>
        <v>-</v>
      </c>
      <c r="R32" s="69" t="str">
        <f ca="1" t="shared" si="63"/>
        <v>-</v>
      </c>
      <c r="S32" s="69" t="str">
        <f ca="1" t="shared" si="63"/>
        <v>-</v>
      </c>
      <c r="T32" s="69" t="str">
        <f ca="1" t="shared" si="63"/>
        <v>-</v>
      </c>
      <c r="U32" s="69" t="str">
        <f ca="1" t="shared" si="63"/>
        <v>-</v>
      </c>
      <c r="V32" s="69" t="str">
        <f ca="1" t="shared" si="63"/>
        <v>-</v>
      </c>
      <c r="W32" s="69" t="str">
        <f ca="1" t="shared" si="63"/>
        <v>-</v>
      </c>
      <c r="X32" s="69" t="str">
        <f ca="1" t="shared" si="63"/>
        <v>-</v>
      </c>
      <c r="Y32" s="69" t="str">
        <f ca="1" t="shared" si="63"/>
        <v>-</v>
      </c>
      <c r="Z32" s="69" t="str">
        <f ca="1" t="shared" si="63"/>
        <v>-</v>
      </c>
      <c r="AA32" s="69" t="str">
        <f ca="1" t="shared" si="63"/>
        <v>-</v>
      </c>
      <c r="AB32" s="69" t="str">
        <f ca="1" t="shared" si="63"/>
        <v>-</v>
      </c>
      <c r="AC32" s="69" t="str">
        <f ca="1" t="shared" si="63"/>
        <v>-</v>
      </c>
      <c r="AD32" s="69" t="str">
        <f ca="1" t="shared" si="63"/>
        <v>-</v>
      </c>
      <c r="AE32" s="69" t="str">
        <f ca="1" t="shared" si="63"/>
        <v>-</v>
      </c>
      <c r="AF32" s="69" t="str">
        <f ca="1" t="shared" si="63"/>
        <v>-</v>
      </c>
      <c r="AG32" s="69" t="str">
        <f ca="1" t="shared" si="63"/>
        <v>-</v>
      </c>
      <c r="AH32" s="69" t="str">
        <f ca="1" t="shared" si="63"/>
        <v>-</v>
      </c>
      <c r="AI32" s="69" t="str">
        <f ca="1" t="shared" si="63"/>
        <v>-</v>
      </c>
      <c r="AJ32" s="69" t="str">
        <f ca="1" t="shared" si="63"/>
        <v>-</v>
      </c>
      <c r="AK32" s="69" t="str">
        <f ca="1" t="shared" si="63"/>
        <v>-</v>
      </c>
      <c r="AL32" s="69" t="str">
        <f ca="1" t="shared" si="63"/>
        <v>-</v>
      </c>
      <c r="AM32" s="69" t="str">
        <f ca="1" t="shared" si="63"/>
        <v>-</v>
      </c>
      <c r="AN32" s="69" t="str">
        <f ca="1" t="shared" si="63"/>
        <v>-</v>
      </c>
      <c r="AO32" s="69" t="str">
        <f ca="1" t="shared" si="63"/>
        <v>-</v>
      </c>
      <c r="AP32" s="69" t="str">
        <f ca="1" t="shared" si="63"/>
        <v>-</v>
      </c>
      <c r="AQ32" s="69" t="str">
        <f ca="1" t="shared" si="63"/>
        <v>-</v>
      </c>
      <c r="AR32" s="69" t="str">
        <f ca="1" t="shared" si="63"/>
        <v>-</v>
      </c>
      <c r="AS32" s="69" t="str">
        <f ca="1" t="shared" si="63"/>
        <v>-</v>
      </c>
      <c r="AT32" s="69" t="str">
        <f ca="1" t="shared" si="63"/>
        <v>-</v>
      </c>
      <c r="AU32" s="69" t="str">
        <f ca="1" t="shared" si="63"/>
        <v>-</v>
      </c>
      <c r="AV32" s="69" t="str">
        <f ca="1" t="shared" si="63"/>
        <v>-</v>
      </c>
      <c r="AW32" s="69" t="str">
        <f ca="1" t="shared" si="63"/>
        <v>-</v>
      </c>
      <c r="AX32" s="69" t="str">
        <f ca="1" t="shared" si="63"/>
        <v>-</v>
      </c>
      <c r="AY32" s="69" t="str">
        <f ca="1" t="shared" si="63"/>
        <v>-</v>
      </c>
      <c r="AZ32" s="69" t="str">
        <f ca="1" t="shared" si="63"/>
        <v>-</v>
      </c>
      <c r="BA32" s="69" t="str">
        <f ca="1" t="shared" si="63"/>
        <v>-</v>
      </c>
      <c r="BD32" s="40" t="str">
        <f ca="1">IFERROR(SUMIFS('TRA balance'!E$5:E$40,'TRA balance'!$C$5:$C$40,Assumptions!$C32,'TRA balance'!$D$5:$D$40,Assumptions!$B32)*CY32*H32,"")</f>
        <v/>
      </c>
      <c r="BE32" s="40" t="str">
        <f ca="1">IFERROR(SUMIFS('TRA balance'!F$5:F$40,'TRA balance'!$C$5:$C$40,Assumptions!$C32,'TRA balance'!$D$5:$D$40,Assumptions!$B32)*CZ32*I32,"")</f>
        <v/>
      </c>
      <c r="BF32" s="40" t="str">
        <f ca="1">IFERROR(SUMIFS('TRA balance'!G$5:G$40,'TRA balance'!$C$5:$C$40,Assumptions!$C32,'TRA balance'!$D$5:$D$40,Assumptions!$B32)*DA32*J32,"")</f>
        <v/>
      </c>
      <c r="BG32" s="40" t="str">
        <f ca="1">IFERROR(SUMIFS('TRA balance'!H$5:H$40,'TRA balance'!$C$5:$C$40,Assumptions!$C32,'TRA balance'!$D$5:$D$40,Assumptions!$B32)*DB32*K32,"")</f>
        <v/>
      </c>
      <c r="BH32" s="40" t="str">
        <f ca="1">IFERROR(SUMIFS('TRA balance'!I$5:I$40,'TRA balance'!$C$5:$C$40,Assumptions!$C32,'TRA balance'!$D$5:$D$40,Assumptions!$B32)*DC32*L32,"")</f>
        <v/>
      </c>
      <c r="BI32" s="40" t="str">
        <f ca="1">IFERROR(SUMIFS('TRA balance'!J$5:J$40,'TRA balance'!$C$5:$C$40,Assumptions!$C32,'TRA balance'!$D$5:$D$40,Assumptions!$B32)*DD32*M32,"")</f>
        <v/>
      </c>
      <c r="BJ32" s="40" t="str">
        <f ca="1">IFERROR(SUMIFS('TRA balance'!K$5:K$40,'TRA balance'!$C$5:$C$40,Assumptions!$C32,'TRA balance'!$D$5:$D$40,Assumptions!$B32)*DE32*N32,"")</f>
        <v/>
      </c>
      <c r="BK32" s="40" t="str">
        <f ca="1">IFERROR(SUMIFS('TRA balance'!L$5:L$40,'TRA balance'!$C$5:$C$40,Assumptions!$C32,'TRA balance'!$D$5:$D$40,Assumptions!$B32)*DF32*O32,"")</f>
        <v/>
      </c>
      <c r="BL32" s="40" t="str">
        <f ca="1">IFERROR(SUMIFS('TRA balance'!M$5:M$40,'TRA balance'!$C$5:$C$40,Assumptions!$C32,'TRA balance'!$D$5:$D$40,Assumptions!$B32)*DG32*P32,"")</f>
        <v/>
      </c>
      <c r="BM32" s="40" t="str">
        <f ca="1">IFERROR(SUMIFS('TRA balance'!N$5:N$40,'TRA balance'!$C$5:$C$40,Assumptions!$C32,'TRA balance'!$D$5:$D$40,Assumptions!$B32)*DH32*Q32,"")</f>
        <v/>
      </c>
      <c r="BN32" s="40" t="str">
        <f ca="1">IFERROR(SUMIFS('TRA balance'!O$5:O$40,'TRA balance'!$C$5:$C$40,Assumptions!$C32,'TRA balance'!$D$5:$D$40,Assumptions!$B32)*DI32*R32,"")</f>
        <v/>
      </c>
      <c r="BO32" s="40" t="str">
        <f ca="1">IFERROR(SUMIFS('TRA balance'!P$5:P$40,'TRA balance'!$C$5:$C$40,Assumptions!$C32,'TRA balance'!$D$5:$D$40,Assumptions!$B32)*DJ32*S32,"")</f>
        <v/>
      </c>
      <c r="BP32" s="40" t="str">
        <f ca="1">IFERROR(SUMIFS('TRA balance'!Q$5:Q$40,'TRA balance'!$C$5:$C$40,Assumptions!$C32,'TRA balance'!$D$5:$D$40,Assumptions!$B32)*DK32*T32,"")</f>
        <v/>
      </c>
      <c r="BQ32" s="40" t="str">
        <f ca="1">IFERROR(SUMIFS('TRA balance'!R$5:R$40,'TRA balance'!$C$5:$C$40,Assumptions!$C32,'TRA balance'!$D$5:$D$40,Assumptions!$B32)*DL32*U32,"")</f>
        <v/>
      </c>
      <c r="BR32" s="40" t="str">
        <f ca="1">IFERROR(SUMIFS('TRA balance'!S$5:S$40,'TRA balance'!$C$5:$C$40,Assumptions!$C32,'TRA balance'!$D$5:$D$40,Assumptions!$B32)*DM32*V32,"")</f>
        <v/>
      </c>
      <c r="BS32" s="40" t="str">
        <f ca="1">IFERROR(SUMIFS('TRA balance'!T$5:T$40,'TRA balance'!$C$5:$C$40,Assumptions!$C32,'TRA balance'!$D$5:$D$40,Assumptions!$B32)*DN32*W32,"")</f>
        <v/>
      </c>
      <c r="BT32" s="40" t="str">
        <f ca="1">IFERROR(SUMIFS('TRA balance'!U$5:U$40,'TRA balance'!$C$5:$C$40,Assumptions!$C32,'TRA balance'!$D$5:$D$40,Assumptions!$B32)*DO32*X32,"")</f>
        <v/>
      </c>
      <c r="BU32" s="40" t="str">
        <f ca="1">IFERROR(SUMIFS('TRA balance'!V$5:V$40,'TRA balance'!$C$5:$C$40,Assumptions!$C32,'TRA balance'!$D$5:$D$40,Assumptions!$B32)*DP32*Y32,"")</f>
        <v/>
      </c>
      <c r="BV32" s="40" t="str">
        <f ca="1">IFERROR(SUMIFS('TRA balance'!W$5:W$40,'TRA balance'!$C$5:$C$40,Assumptions!$C32,'TRA balance'!$D$5:$D$40,Assumptions!$B32)*DQ32*Z32,"")</f>
        <v/>
      </c>
      <c r="BW32" s="40" t="str">
        <f ca="1">IFERROR(SUMIFS('TRA balance'!X$5:X$40,'TRA balance'!$C$5:$C$40,Assumptions!$C32,'TRA balance'!$D$5:$D$40,Assumptions!$B32)*DR32*AA32,"")</f>
        <v/>
      </c>
      <c r="BX32" s="40" t="str">
        <f ca="1">IFERROR(SUMIFS('TRA balance'!Y$5:Y$40,'TRA balance'!$C$5:$C$40,Assumptions!$C32,'TRA balance'!$D$5:$D$40,Assumptions!$B32)*DS32*AB32,"")</f>
        <v/>
      </c>
      <c r="BY32" s="40" t="str">
        <f ca="1">IFERROR(SUMIFS('TRA balance'!Z$5:Z$40,'TRA balance'!$C$5:$C$40,Assumptions!$C32,'TRA balance'!$D$5:$D$40,Assumptions!$B32)*DT32*AC32,"")</f>
        <v/>
      </c>
      <c r="BZ32" s="40" t="str">
        <f ca="1">IFERROR(SUMIFS('TRA balance'!AA$5:AA$40,'TRA balance'!$C$5:$C$40,Assumptions!$C32,'TRA balance'!$D$5:$D$40,Assumptions!$B32)*DU32*AD32,"")</f>
        <v/>
      </c>
      <c r="CA32" s="40" t="str">
        <f ca="1">IFERROR(SUMIFS('TRA balance'!AB$5:AB$40,'TRA balance'!$C$5:$C$40,Assumptions!$C32,'TRA balance'!$D$5:$D$40,Assumptions!$B32)*DV32*AE32,"")</f>
        <v/>
      </c>
      <c r="CB32" s="40" t="str">
        <f ca="1">IFERROR(SUMIFS('TRA balance'!AC$5:AC$40,'TRA balance'!$C$5:$C$40,Assumptions!$C32,'TRA balance'!$D$5:$D$40,Assumptions!$B32)*DW32*AF32,"")</f>
        <v/>
      </c>
      <c r="CC32" s="40" t="str">
        <f ca="1">IFERROR(SUMIFS('TRA balance'!AD$5:AD$40,'TRA balance'!$C$5:$C$40,Assumptions!$C32,'TRA balance'!$D$5:$D$40,Assumptions!$B32)*DX32*AG32,"")</f>
        <v/>
      </c>
      <c r="CD32" s="40" t="str">
        <f ca="1">IFERROR(SUMIFS('TRA balance'!AE$5:AE$40,'TRA balance'!$C$5:$C$40,Assumptions!$C32,'TRA balance'!$D$5:$D$40,Assumptions!$B32)*DY32*AH32,"")</f>
        <v/>
      </c>
      <c r="CE32" s="40" t="str">
        <f ca="1">IFERROR(SUMIFS('TRA balance'!AF$5:AF$40,'TRA balance'!$C$5:$C$40,Assumptions!$C32,'TRA balance'!$D$5:$D$40,Assumptions!$B32)*DZ32*AI32,"")</f>
        <v/>
      </c>
      <c r="CF32" s="40" t="str">
        <f ca="1">IFERROR(SUMIFS('TRA balance'!AG$5:AG$40,'TRA balance'!$C$5:$C$40,Assumptions!$C32,'TRA balance'!$D$5:$D$40,Assumptions!$B32)*EA32*AJ32,"")</f>
        <v/>
      </c>
      <c r="CG32" s="40" t="str">
        <f ca="1">IFERROR(SUMIFS('TRA balance'!AH$5:AH$40,'TRA balance'!$C$5:$C$40,Assumptions!$C32,'TRA balance'!$D$5:$D$40,Assumptions!$B32)*EB32*AK32,"")</f>
        <v/>
      </c>
      <c r="CH32" s="40" t="str">
        <f ca="1">IFERROR(SUMIFS('TRA balance'!AI$5:AI$40,'TRA balance'!$C$5:$C$40,Assumptions!$C32,'TRA balance'!$D$5:$D$40,Assumptions!$B32)*EC32*AL32,"")</f>
        <v/>
      </c>
      <c r="CI32" s="40" t="str">
        <f ca="1">IFERROR(SUMIFS('TRA balance'!AJ$5:AJ$40,'TRA balance'!$C$5:$C$40,Assumptions!$C32,'TRA balance'!$D$5:$D$40,Assumptions!$B32)*ED32*AM32,"")</f>
        <v/>
      </c>
      <c r="CJ32" s="40" t="str">
        <f ca="1">IFERROR(SUMIFS('TRA balance'!AK$5:AK$40,'TRA balance'!$C$5:$C$40,Assumptions!$C32,'TRA balance'!$D$5:$D$40,Assumptions!$B32)*EE32*AN32,"")</f>
        <v/>
      </c>
      <c r="CK32" s="40" t="str">
        <f ca="1">IFERROR(SUMIFS('TRA balance'!AL$5:AL$40,'TRA balance'!$C$5:$C$40,Assumptions!$C32,'TRA balance'!$D$5:$D$40,Assumptions!$B32)*EF32*AO32,"")</f>
        <v/>
      </c>
      <c r="CL32" s="40" t="str">
        <f ca="1">IFERROR(SUMIFS('TRA balance'!AM$5:AM$40,'TRA balance'!$C$5:$C$40,Assumptions!$C32,'TRA balance'!$D$5:$D$40,Assumptions!$B32)*EG32*AP32,"")</f>
        <v/>
      </c>
      <c r="CM32" s="40" t="str">
        <f ca="1">IFERROR(SUMIFS('TRA balance'!AN$5:AN$40,'TRA balance'!$C$5:$C$40,Assumptions!$C32,'TRA balance'!$D$5:$D$40,Assumptions!$B32)*EH32*AQ32,"")</f>
        <v/>
      </c>
      <c r="CN32" s="40" t="str">
        <f ca="1">IFERROR(SUMIFS('TRA balance'!AO$5:AO$40,'TRA balance'!$C$5:$C$40,Assumptions!$C32,'TRA balance'!$D$5:$D$40,Assumptions!$B32)*EI32*AR32,"")</f>
        <v/>
      </c>
      <c r="CO32" s="40" t="str">
        <f ca="1">IFERROR(SUMIFS('TRA balance'!AP$5:AP$40,'TRA balance'!$C$5:$C$40,Assumptions!$C32,'TRA balance'!$D$5:$D$40,Assumptions!$B32)*EJ32*AS32,"")</f>
        <v/>
      </c>
      <c r="CP32" s="40" t="str">
        <f ca="1">IFERROR(SUMIFS('TRA balance'!AQ$5:AQ$40,'TRA balance'!$C$5:$C$40,Assumptions!$C32,'TRA balance'!$D$5:$D$40,Assumptions!$B32)*EK32*AT32,"")</f>
        <v/>
      </c>
      <c r="CQ32" s="40" t="str">
        <f ca="1">IFERROR(SUMIFS('TRA balance'!AR$5:AR$40,'TRA balance'!$C$5:$C$40,Assumptions!$C32,'TRA balance'!$D$5:$D$40,Assumptions!$B32)*EL32*AU32,"")</f>
        <v/>
      </c>
      <c r="CR32" s="40" t="str">
        <f ca="1">IFERROR(SUMIFS('TRA balance'!AS$5:AS$40,'TRA balance'!$C$5:$C$40,Assumptions!$C32,'TRA balance'!$D$5:$D$40,Assumptions!$B32)*EM32*AV32,"")</f>
        <v/>
      </c>
      <c r="CS32" s="40" t="str">
        <f ca="1">IFERROR(SUMIFS('TRA balance'!AT$5:AT$40,'TRA balance'!$C$5:$C$40,Assumptions!$C32,'TRA balance'!$D$5:$D$40,Assumptions!$B32)*EN32*AW32,"")</f>
        <v/>
      </c>
      <c r="CT32" s="40" t="str">
        <f ca="1">IFERROR(SUMIFS('TRA balance'!AU$5:AU$40,'TRA balance'!$C$5:$C$40,Assumptions!$C32,'TRA balance'!$D$5:$D$40,Assumptions!$B32)*EO32*AX32,"")</f>
        <v/>
      </c>
      <c r="CU32" s="40" t="str">
        <f ca="1">IFERROR(SUMIFS('TRA balance'!AV$5:AV$40,'TRA balance'!$C$5:$C$40,Assumptions!$C32,'TRA balance'!$D$5:$D$40,Assumptions!$B32)*EP32*AY32,"")</f>
        <v/>
      </c>
      <c r="CV32" s="40" t="str">
        <f ca="1">IFERROR(SUMIFS('TRA balance'!AW$5:AW$40,'TRA balance'!$C$5:$C$40,Assumptions!$C32,'TRA balance'!$D$5:$D$40,Assumptions!$B32)*EQ32*AZ32,"")</f>
        <v/>
      </c>
      <c r="CW32" s="40" t="str">
        <f ca="1">IFERROR(SUMIFS('TRA balance'!AX$5:AX$40,'TRA balance'!$C$5:$C$40,Assumptions!$C32,'TRA balance'!$D$5:$D$40,Assumptions!$B32)*ER32*BA32,"")</f>
        <v/>
      </c>
      <c r="CY32" s="39">
        <f ca="1" t="shared" si="2"/>
        <v>1</v>
      </c>
      <c r="CZ32" s="39">
        <f ca="1" t="shared" si="3"/>
        <v>1</v>
      </c>
      <c r="DA32" s="39">
        <f ca="1" t="shared" si="4"/>
        <v>1</v>
      </c>
      <c r="DB32" s="39">
        <f ca="1" t="shared" si="5"/>
        <v>1</v>
      </c>
      <c r="DC32" s="39">
        <f ca="1" t="shared" si="6"/>
        <v>1</v>
      </c>
      <c r="DD32" s="39">
        <f ca="1" t="shared" si="7"/>
        <v>1</v>
      </c>
      <c r="DE32" s="39">
        <f ca="1" t="shared" si="8"/>
        <v>1</v>
      </c>
      <c r="DF32" s="39">
        <f ca="1" t="shared" si="9"/>
        <v>1</v>
      </c>
      <c r="DG32" s="39">
        <f ca="1" t="shared" si="10"/>
        <v>1</v>
      </c>
      <c r="DH32" s="39">
        <f ca="1" t="shared" si="11"/>
        <v>1</v>
      </c>
      <c r="DI32" s="39">
        <f ca="1" t="shared" si="12"/>
        <v>1</v>
      </c>
      <c r="DJ32" s="39">
        <f ca="1" t="shared" si="13"/>
        <v>1</v>
      </c>
      <c r="DK32" s="39">
        <f ca="1" t="shared" si="14"/>
        <v>1</v>
      </c>
      <c r="DL32" s="39">
        <f ca="1" t="shared" si="15"/>
        <v>1</v>
      </c>
      <c r="DM32" s="39">
        <f ca="1" t="shared" si="16"/>
        <v>1</v>
      </c>
      <c r="DN32" s="39">
        <f ca="1" t="shared" si="17"/>
        <v>1</v>
      </c>
      <c r="DO32" s="39">
        <f ca="1" t="shared" si="18"/>
        <v>1</v>
      </c>
      <c r="DP32" s="39">
        <f ca="1" t="shared" si="19"/>
        <v>1</v>
      </c>
      <c r="DQ32" s="39">
        <f ca="1" t="shared" si="20"/>
        <v>1</v>
      </c>
      <c r="DR32" s="39">
        <f ca="1" t="shared" si="21"/>
        <v>1</v>
      </c>
      <c r="DS32" s="39">
        <f ca="1" t="shared" si="22"/>
        <v>1</v>
      </c>
      <c r="DT32" s="39">
        <f ca="1" t="shared" si="23"/>
        <v>1</v>
      </c>
      <c r="DU32" s="39">
        <f ca="1" t="shared" si="24"/>
        <v>1</v>
      </c>
      <c r="DV32" s="39">
        <f ca="1" t="shared" si="25"/>
        <v>1</v>
      </c>
      <c r="DW32" s="39">
        <f ca="1" t="shared" si="26"/>
        <v>1</v>
      </c>
      <c r="DX32" s="39">
        <f ca="1" t="shared" si="27"/>
        <v>1</v>
      </c>
      <c r="DY32" s="39">
        <f ca="1" t="shared" si="28"/>
        <v>1</v>
      </c>
      <c r="DZ32" s="39">
        <f ca="1" t="shared" si="29"/>
        <v>1</v>
      </c>
      <c r="EA32" s="39">
        <f ca="1" t="shared" si="30"/>
        <v>1</v>
      </c>
      <c r="EB32" s="39">
        <f ca="1" t="shared" si="31"/>
        <v>1</v>
      </c>
      <c r="EC32" s="39">
        <f ca="1" t="shared" si="32"/>
        <v>1</v>
      </c>
      <c r="ED32" s="39">
        <f ca="1" t="shared" si="33"/>
        <v>1</v>
      </c>
      <c r="EE32" s="39">
        <f ca="1" t="shared" si="34"/>
        <v>1</v>
      </c>
      <c r="EF32" s="39">
        <f ca="1" t="shared" si="35"/>
        <v>1</v>
      </c>
      <c r="EG32" s="39">
        <f ca="1" t="shared" si="36"/>
        <v>1</v>
      </c>
      <c r="EH32" s="39">
        <f ca="1" t="shared" si="37"/>
        <v>1</v>
      </c>
      <c r="EI32" s="39">
        <f ca="1" t="shared" si="38"/>
        <v>1</v>
      </c>
      <c r="EJ32" s="39">
        <f ca="1" t="shared" si="39"/>
        <v>1</v>
      </c>
      <c r="EK32" s="39">
        <f ca="1" t="shared" si="40"/>
        <v>1</v>
      </c>
      <c r="EL32" s="39">
        <f ca="1" t="shared" si="41"/>
        <v>1</v>
      </c>
      <c r="EM32" s="39">
        <f ca="1" t="shared" si="42"/>
        <v>1</v>
      </c>
      <c r="EN32" s="39">
        <f ca="1" t="shared" si="43"/>
        <v>1</v>
      </c>
      <c r="EO32" s="39">
        <f ca="1" t="shared" si="44"/>
        <v>1</v>
      </c>
      <c r="EP32" s="39">
        <f ca="1" t="shared" si="45"/>
        <v>1</v>
      </c>
      <c r="EQ32" s="39">
        <f ca="1" t="shared" si="46"/>
        <v>1</v>
      </c>
      <c r="ER32" s="39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4" t="str">
        <f t="shared" si="48"/>
        <v>TT</v>
      </c>
      <c r="D33" s="55" t="s">
        <v>192</v>
      </c>
      <c r="E33" s="55" t="s">
        <v>193</v>
      </c>
      <c r="F33" s="56" t="str">
        <f t="shared" si="62"/>
        <v>Gasoline</v>
      </c>
      <c r="G33" s="54" t="s">
        <v>194</v>
      </c>
      <c r="H33" s="57">
        <f ca="1">OFFSET(TIAM15_assumptions!$G33,0,MATCH(VLOOKUP(Assumptions!H$2,TIAM15_assumptions!$Y$3:$Z$87,2,FALSE),TIAM15_assumptions!$H$2:$V$2,0))</f>
        <v>0.5</v>
      </c>
      <c r="I33" s="57">
        <f ca="1">OFFSET(TIAM15_assumptions!$G33,0,MATCH(VLOOKUP(Assumptions!I$2,TIAM15_assumptions!$Y$3:$Z$87,2,FALSE),TIAM15_assumptions!$H$2:$V$2,0))</f>
        <v>0.5</v>
      </c>
      <c r="J33" s="57">
        <f ca="1">OFFSET(TIAM15_assumptions!$G33,0,MATCH(VLOOKUP(Assumptions!J$2,TIAM15_assumptions!$Y$3:$Z$87,2,FALSE),TIAM15_assumptions!$H$2:$V$2,0))</f>
        <v>0.5</v>
      </c>
      <c r="K33" s="57">
        <f ca="1">OFFSET(TIAM15_assumptions!$G33,0,MATCH(VLOOKUP(Assumptions!K$2,TIAM15_assumptions!$Y$3:$Z$87,2,FALSE),TIAM15_assumptions!$H$2:$V$2,0))</f>
        <v>1</v>
      </c>
      <c r="L33" s="57">
        <f ca="1">OFFSET(TIAM15_assumptions!$G33,0,MATCH(VLOOKUP(Assumptions!L$2,TIAM15_assumptions!$Y$3:$Z$87,2,FALSE),TIAM15_assumptions!$H$2:$V$2,0))</f>
        <v>0.5</v>
      </c>
      <c r="M33" s="57">
        <f ca="1">OFFSET(TIAM15_assumptions!$G33,0,MATCH(VLOOKUP(Assumptions!M$2,TIAM15_assumptions!$Y$3:$Z$87,2,FALSE),TIAM15_assumptions!$H$2:$V$2,0))</f>
        <v>1</v>
      </c>
      <c r="N33" s="57">
        <f ca="1">OFFSET(TIAM15_assumptions!$G33,0,MATCH(VLOOKUP(Assumptions!N$2,TIAM15_assumptions!$Y$3:$Z$87,2,FALSE),TIAM15_assumptions!$H$2:$V$2,0))</f>
        <v>1</v>
      </c>
      <c r="O33" s="57">
        <f ca="1">OFFSET(TIAM15_assumptions!$G33,0,MATCH(VLOOKUP(Assumptions!O$2,TIAM15_assumptions!$Y$3:$Z$87,2,FALSE),TIAM15_assumptions!$H$2:$V$2,0))</f>
        <v>0.5</v>
      </c>
      <c r="P33" s="57">
        <f ca="1">OFFSET(TIAM15_assumptions!$G33,0,MATCH(VLOOKUP(Assumptions!P$2,TIAM15_assumptions!$Y$3:$Z$87,2,FALSE),TIAM15_assumptions!$H$2:$V$2,0))</f>
        <v>1</v>
      </c>
      <c r="Q33" s="57">
        <f ca="1">OFFSET(TIAM15_assumptions!$G33,0,MATCH(VLOOKUP(Assumptions!Q$2,TIAM15_assumptions!$Y$3:$Z$87,2,FALSE),TIAM15_assumptions!$H$2:$V$2,0))</f>
        <v>1</v>
      </c>
      <c r="R33" s="57">
        <f ca="1">OFFSET(TIAM15_assumptions!$G33,0,MATCH(VLOOKUP(Assumptions!R$2,TIAM15_assumptions!$Y$3:$Z$87,2,FALSE),TIAM15_assumptions!$H$2:$V$2,0))</f>
        <v>1</v>
      </c>
      <c r="S33" s="57">
        <f ca="1">OFFSET(TIAM15_assumptions!$G33,0,MATCH(VLOOKUP(Assumptions!S$2,TIAM15_assumptions!$Y$3:$Z$87,2,FALSE),TIAM15_assumptions!$H$2:$V$2,0))</f>
        <v>1</v>
      </c>
      <c r="T33" s="57">
        <f ca="1">OFFSET(TIAM15_assumptions!$G33,0,MATCH(VLOOKUP(Assumptions!T$2,TIAM15_assumptions!$Y$3:$Z$87,2,FALSE),TIAM15_assumptions!$H$2:$V$2,0))</f>
        <v>1</v>
      </c>
      <c r="U33" s="57">
        <f ca="1">OFFSET(TIAM15_assumptions!$G33,0,MATCH(VLOOKUP(Assumptions!U$2,TIAM15_assumptions!$Y$3:$Z$87,2,FALSE),TIAM15_assumptions!$H$2:$V$2,0))</f>
        <v>1</v>
      </c>
      <c r="V33" s="57">
        <f ca="1">OFFSET(TIAM15_assumptions!$G33,0,MATCH(VLOOKUP(Assumptions!V$2,TIAM15_assumptions!$Y$3:$Z$87,2,FALSE),TIAM15_assumptions!$H$2:$V$2,0))</f>
        <v>1</v>
      </c>
      <c r="W33" s="57">
        <f ca="1">OFFSET(TIAM15_assumptions!$G33,0,MATCH(VLOOKUP(Assumptions!W$2,TIAM15_assumptions!$Y$3:$Z$87,2,FALSE),TIAM15_assumptions!$H$2:$V$2,0))</f>
        <v>1</v>
      </c>
      <c r="X33" s="57">
        <f ca="1">OFFSET(TIAM15_assumptions!$G33,0,MATCH(VLOOKUP(Assumptions!X$2,TIAM15_assumptions!$Y$3:$Z$87,2,FALSE),TIAM15_assumptions!$H$2:$V$2,0))</f>
        <v>1</v>
      </c>
      <c r="Y33" s="57">
        <f ca="1">OFFSET(TIAM15_assumptions!$G33,0,MATCH(VLOOKUP(Assumptions!Y$2,TIAM15_assumptions!$Y$3:$Z$87,2,FALSE),TIAM15_assumptions!$H$2:$V$2,0))</f>
        <v>1</v>
      </c>
      <c r="Z33" s="57">
        <f ca="1">OFFSET(TIAM15_assumptions!$G33,0,MATCH(VLOOKUP(Assumptions!Z$2,TIAM15_assumptions!$Y$3:$Z$87,2,FALSE),TIAM15_assumptions!$H$2:$V$2,0))</f>
        <v>0.07</v>
      </c>
      <c r="AA33" s="57">
        <f ca="1">OFFSET(TIAM15_assumptions!$G33,0,MATCH(VLOOKUP(Assumptions!AA$2,TIAM15_assumptions!$Y$3:$Z$87,2,FALSE),TIAM15_assumptions!$H$2:$V$2,0))</f>
        <v>1</v>
      </c>
      <c r="AB33" s="57">
        <f ca="1">OFFSET(TIAM15_assumptions!$G33,0,MATCH(VLOOKUP(Assumptions!AB$2,TIAM15_assumptions!$Y$3:$Z$87,2,FALSE),TIAM15_assumptions!$H$2:$V$2,0))</f>
        <v>1</v>
      </c>
      <c r="AC33" s="57">
        <f ca="1">OFFSET(TIAM15_assumptions!$G33,0,MATCH(VLOOKUP(Assumptions!AC$2,TIAM15_assumptions!$Y$3:$Z$87,2,FALSE),TIAM15_assumptions!$H$2:$V$2,0))</f>
        <v>0.5</v>
      </c>
      <c r="AD33" s="57">
        <f ca="1">OFFSET(TIAM15_assumptions!$G33,0,MATCH(VLOOKUP(Assumptions!AD$2,TIAM15_assumptions!$Y$3:$Z$87,2,FALSE),TIAM15_assumptions!$H$2:$V$2,0))</f>
        <v>1</v>
      </c>
      <c r="AE33" s="57">
        <f ca="1">OFFSET(TIAM15_assumptions!$G33,0,MATCH(VLOOKUP(Assumptions!AE$2,TIAM15_assumptions!$Y$3:$Z$87,2,FALSE),TIAM15_assumptions!$H$2:$V$2,0))</f>
        <v>1</v>
      </c>
      <c r="AF33" s="57">
        <f ca="1">OFFSET(TIAM15_assumptions!$G33,0,MATCH(VLOOKUP(Assumptions!AF$2,TIAM15_assumptions!$Y$3:$Z$87,2,FALSE),TIAM15_assumptions!$H$2:$V$2,0))</f>
        <v>0.5</v>
      </c>
      <c r="AG33" s="57">
        <f ca="1">OFFSET(TIAM15_assumptions!$G33,0,MATCH(VLOOKUP(Assumptions!AG$2,TIAM15_assumptions!$Y$3:$Z$87,2,FALSE),TIAM15_assumptions!$H$2:$V$2,0))</f>
        <v>0.5</v>
      </c>
      <c r="AH33" s="57">
        <f ca="1">OFFSET(TIAM15_assumptions!$G33,0,MATCH(VLOOKUP(Assumptions!AH$2,TIAM15_assumptions!$Y$3:$Z$87,2,FALSE),TIAM15_assumptions!$H$2:$V$2,0))</f>
        <v>1</v>
      </c>
      <c r="AI33" s="57">
        <f ca="1">OFFSET(TIAM15_assumptions!$G33,0,MATCH(VLOOKUP(Assumptions!AI$2,TIAM15_assumptions!$Y$3:$Z$87,2,FALSE),TIAM15_assumptions!$H$2:$V$2,0))</f>
        <v>0.5</v>
      </c>
      <c r="AJ33" s="57">
        <f ca="1">OFFSET(TIAM15_assumptions!$G33,0,MATCH(VLOOKUP(Assumptions!AJ$2,TIAM15_assumptions!$Y$3:$Z$87,2,FALSE),TIAM15_assumptions!$H$2:$V$2,0))</f>
        <v>1</v>
      </c>
      <c r="AK33" s="57">
        <f ca="1">OFFSET(TIAM15_assumptions!$G33,0,MATCH(VLOOKUP(Assumptions!AK$2,TIAM15_assumptions!$Y$3:$Z$87,2,FALSE),TIAM15_assumptions!$H$2:$V$2,0))</f>
        <v>1</v>
      </c>
      <c r="AL33" s="57">
        <f ca="1">OFFSET(TIAM15_assumptions!$G33,0,MATCH(VLOOKUP(Assumptions!AL$2,TIAM15_assumptions!$Y$3:$Z$87,2,FALSE),TIAM15_assumptions!$H$2:$V$2,0))</f>
        <v>1</v>
      </c>
      <c r="AM33" s="57">
        <f ca="1">OFFSET(TIAM15_assumptions!$G33,0,MATCH(VLOOKUP(Assumptions!AM$2,TIAM15_assumptions!$Y$3:$Z$87,2,FALSE),TIAM15_assumptions!$H$2:$V$2,0))</f>
        <v>1</v>
      </c>
      <c r="AN33" s="57">
        <f ca="1">OFFSET(TIAM15_assumptions!$G33,0,MATCH(VLOOKUP(Assumptions!AN$2,TIAM15_assumptions!$Y$3:$Z$87,2,FALSE),TIAM15_assumptions!$H$2:$V$2,0))</f>
        <v>1</v>
      </c>
      <c r="AO33" s="57">
        <f ca="1">OFFSET(TIAM15_assumptions!$G33,0,MATCH(VLOOKUP(Assumptions!AO$2,TIAM15_assumptions!$Y$3:$Z$87,2,FALSE),TIAM15_assumptions!$H$2:$V$2,0))</f>
        <v>0.5</v>
      </c>
      <c r="AP33" s="57">
        <f ca="1">OFFSET(TIAM15_assumptions!$G33,0,MATCH(VLOOKUP(Assumptions!AP$2,TIAM15_assumptions!$Y$3:$Z$87,2,FALSE),TIAM15_assumptions!$H$2:$V$2,0))</f>
        <v>1</v>
      </c>
      <c r="AQ33" s="57">
        <f ca="1">OFFSET(TIAM15_assumptions!$G33,0,MATCH(VLOOKUP(Assumptions!AQ$2,TIAM15_assumptions!$Y$3:$Z$87,2,FALSE),TIAM15_assumptions!$H$2:$V$2,0))</f>
        <v>0.5</v>
      </c>
      <c r="AR33" s="57">
        <f ca="1">OFFSET(TIAM15_assumptions!$G33,0,MATCH(VLOOKUP(Assumptions!AR$2,TIAM15_assumptions!$Y$3:$Z$87,2,FALSE),TIAM15_assumptions!$H$2:$V$2,0))</f>
        <v>0.5</v>
      </c>
      <c r="AS33" s="57">
        <f ca="1">OFFSET(TIAM15_assumptions!$G33,0,MATCH(VLOOKUP(Assumptions!AS$2,TIAM15_assumptions!$Y$3:$Z$87,2,FALSE),TIAM15_assumptions!$H$2:$V$2,0))</f>
        <v>0.5</v>
      </c>
      <c r="AT33" s="57">
        <f ca="1">OFFSET(TIAM15_assumptions!$G33,0,MATCH(VLOOKUP(Assumptions!AT$2,TIAM15_assumptions!$Y$3:$Z$87,2,FALSE),TIAM15_assumptions!$H$2:$V$2,0))</f>
        <v>0.5</v>
      </c>
      <c r="AU33" s="57">
        <f ca="1">OFFSET(TIAM15_assumptions!$G33,0,MATCH(VLOOKUP(Assumptions!AU$2,TIAM15_assumptions!$Y$3:$Z$87,2,FALSE),TIAM15_assumptions!$H$2:$V$2,0))</f>
        <v>0.5</v>
      </c>
      <c r="AV33" s="57">
        <f ca="1">OFFSET(TIAM15_assumptions!$G33,0,MATCH(VLOOKUP(Assumptions!AV$2,TIAM15_assumptions!$Y$3:$Z$87,2,FALSE),TIAM15_assumptions!$H$2:$V$2,0))</f>
        <v>0.5</v>
      </c>
      <c r="AW33" s="57">
        <f ca="1">OFFSET(TIAM15_assumptions!$G33,0,MATCH(VLOOKUP(Assumptions!AW$2,TIAM15_assumptions!$Y$3:$Z$87,2,FALSE),TIAM15_assumptions!$H$2:$V$2,0))</f>
        <v>0.5</v>
      </c>
      <c r="AX33" s="57">
        <f ca="1">OFFSET(TIAM15_assumptions!$G33,0,MATCH(VLOOKUP(Assumptions!AX$2,TIAM15_assumptions!$Y$3:$Z$87,2,FALSE),TIAM15_assumptions!$H$2:$V$2,0))</f>
        <v>0.5</v>
      </c>
      <c r="AY33" s="57">
        <f ca="1">OFFSET(TIAM15_assumptions!$G33,0,MATCH(VLOOKUP(Assumptions!AY$2,TIAM15_assumptions!$Y$3:$Z$87,2,FALSE),TIAM15_assumptions!$H$2:$V$2,0))</f>
        <v>0.5</v>
      </c>
      <c r="AZ33" s="57">
        <f ca="1">OFFSET(TIAM15_assumptions!$G33,0,MATCH(VLOOKUP(Assumptions!AZ$2,TIAM15_assumptions!$Y$3:$Z$87,2,FALSE),TIAM15_assumptions!$H$2:$V$2,0))</f>
        <v>0.5</v>
      </c>
      <c r="BA33" s="57">
        <f ca="1">OFFSET(TIAM15_assumptions!$G33,0,MATCH(VLOOKUP(Assumptions!BA$2,TIAM15_assumptions!$Y$3:$Z$87,2,FALSE),TIAM15_assumptions!$H$2:$V$2,0))</f>
        <v>0.5</v>
      </c>
      <c r="BD33" s="40">
        <f ca="1">IFERROR(SUMIFS('TRA balance'!E$5:E$40,'TRA balance'!$C$5:$C$40,Assumptions!$C33,'TRA balance'!$D$5:$D$40,Assumptions!$B33)*CY33*H33,"")</f>
        <v>0</v>
      </c>
      <c r="BE33" s="40">
        <f ca="1">IFERROR(SUMIFS('TRA balance'!F$5:F$40,'TRA balance'!$C$5:$C$40,Assumptions!$C33,'TRA balance'!$D$5:$D$40,Assumptions!$B33)*CZ33*I33,"")</f>
        <v>0</v>
      </c>
      <c r="BF33" s="40">
        <f ca="1">IFERROR(SUMIFS('TRA balance'!G$5:G$40,'TRA balance'!$C$5:$C$40,Assumptions!$C33,'TRA balance'!$D$5:$D$40,Assumptions!$B33)*DA33*J33,"")</f>
        <v>0.0222779628</v>
      </c>
      <c r="BG33" s="40">
        <f ca="1">IFERROR(SUMIFS('TRA balance'!H$5:H$40,'TRA balance'!$C$5:$C$40,Assumptions!$C33,'TRA balance'!$D$5:$D$40,Assumptions!$B33)*DB33*K33,"")</f>
        <v>0</v>
      </c>
      <c r="BH33" s="40">
        <f ca="1">IFERROR(SUMIFS('TRA balance'!I$5:I$40,'TRA balance'!$C$5:$C$40,Assumptions!$C33,'TRA balance'!$D$5:$D$40,Assumptions!$B33)*DC33*L33,"")</f>
        <v>0</v>
      </c>
      <c r="BI33" s="40">
        <f ca="1">IFERROR(SUMIFS('TRA balance'!J$5:J$40,'TRA balance'!$C$5:$C$40,Assumptions!$C33,'TRA balance'!$D$5:$D$40,Assumptions!$B33)*DD33*M33,"")</f>
        <v>0</v>
      </c>
      <c r="BJ33" s="40">
        <f ca="1">IFERROR(SUMIFS('TRA balance'!K$5:K$40,'TRA balance'!$C$5:$C$40,Assumptions!$C33,'TRA balance'!$D$5:$D$40,Assumptions!$B33)*DE33*N33,"")</f>
        <v>0</v>
      </c>
      <c r="BK33" s="40">
        <f ca="1">IFERROR(SUMIFS('TRA balance'!L$5:L$40,'TRA balance'!$C$5:$C$40,Assumptions!$C33,'TRA balance'!$D$5:$D$40,Assumptions!$B33)*DF33*O33,"")</f>
        <v>0</v>
      </c>
      <c r="BL33" s="40">
        <f ca="1">IFERROR(SUMIFS('TRA balance'!M$5:M$40,'TRA balance'!$C$5:$C$40,Assumptions!$C33,'TRA balance'!$D$5:$D$40,Assumptions!$B33)*DG33*P33,"")</f>
        <v>0</v>
      </c>
      <c r="BM33" s="40">
        <f ca="1">IFERROR(SUMIFS('TRA balance'!N$5:N$40,'TRA balance'!$C$5:$C$40,Assumptions!$C33,'TRA balance'!$D$5:$D$40,Assumptions!$B33)*DH33*Q33,"")</f>
        <v>0</v>
      </c>
      <c r="BN33" s="40">
        <f ca="1">IFERROR(SUMIFS('TRA balance'!O$5:O$40,'TRA balance'!$C$5:$C$40,Assumptions!$C33,'TRA balance'!$D$5:$D$40,Assumptions!$B33)*DI33*R33,"")</f>
        <v>0</v>
      </c>
      <c r="BO33" s="40">
        <f ca="1">IFERROR(SUMIFS('TRA balance'!P$5:P$40,'TRA balance'!$C$5:$C$40,Assumptions!$C33,'TRA balance'!$D$5:$D$40,Assumptions!$B33)*DJ33*S33,"")</f>
        <v>0</v>
      </c>
      <c r="BP33" s="40">
        <f ca="1">IFERROR(SUMIFS('TRA balance'!Q$5:Q$40,'TRA balance'!$C$5:$C$40,Assumptions!$C33,'TRA balance'!$D$5:$D$40,Assumptions!$B33)*DK33*T33,"")</f>
        <v>0.010111122</v>
      </c>
      <c r="BQ33" s="40">
        <f ca="1">IFERROR(SUMIFS('TRA balance'!R$5:R$40,'TRA balance'!$C$5:$C$40,Assumptions!$C33,'TRA balance'!$D$5:$D$40,Assumptions!$B33)*DL33*U33,"")</f>
        <v>0</v>
      </c>
      <c r="BR33" s="40">
        <f ca="1">IFERROR(SUMIFS('TRA balance'!S$5:S$40,'TRA balance'!$C$5:$C$40,Assumptions!$C33,'TRA balance'!$D$5:$D$40,Assumptions!$B33)*DM33*V33,"")</f>
        <v>0</v>
      </c>
      <c r="BS33" s="40">
        <f ca="1">IFERROR(SUMIFS('TRA balance'!T$5:T$40,'TRA balance'!$C$5:$C$40,Assumptions!$C33,'TRA balance'!$D$5:$D$40,Assumptions!$B33)*DN33*W33,"")</f>
        <v>0</v>
      </c>
      <c r="BT33" s="40">
        <f ca="1">IFERROR(SUMIFS('TRA balance'!U$5:U$40,'TRA balance'!$C$5:$C$40,Assumptions!$C33,'TRA balance'!$D$5:$D$40,Assumptions!$B33)*DO33*X33,"")</f>
        <v>0</v>
      </c>
      <c r="BU33" s="40">
        <f ca="1">IFERROR(SUMIFS('TRA balance'!V$5:V$40,'TRA balance'!$C$5:$C$40,Assumptions!$C33,'TRA balance'!$D$5:$D$40,Assumptions!$B33)*DP33*Y33,"")</f>
        <v>0</v>
      </c>
      <c r="BV33" s="40">
        <f ca="1">IFERROR(SUMIFS('TRA balance'!W$5:W$40,'TRA balance'!$C$5:$C$40,Assumptions!$C33,'TRA balance'!$D$5:$D$40,Assumptions!$B33)*DQ33*Z33,"")</f>
        <v>0</v>
      </c>
      <c r="BW33" s="40">
        <f ca="1">IFERROR(SUMIFS('TRA balance'!X$5:X$40,'TRA balance'!$C$5:$C$40,Assumptions!$C33,'TRA balance'!$D$5:$D$40,Assumptions!$B33)*DR33*AA33,"")</f>
        <v>0.0222193476</v>
      </c>
      <c r="BX33" s="40">
        <f ca="1">IFERROR(SUMIFS('TRA balance'!Y$5:Y$40,'TRA balance'!$C$5:$C$40,Assumptions!$C33,'TRA balance'!$D$5:$D$40,Assumptions!$B33)*DS33*AB33,"")</f>
        <v>0</v>
      </c>
      <c r="BY33" s="40">
        <f ca="1">IFERROR(SUMIFS('TRA balance'!Z$5:Z$40,'TRA balance'!$C$5:$C$40,Assumptions!$C33,'TRA balance'!$D$5:$D$40,Assumptions!$B33)*DT33*AC33,"")</f>
        <v>0</v>
      </c>
      <c r="BZ33" s="40">
        <f ca="1">IFERROR(SUMIFS('TRA balance'!AA$5:AA$40,'TRA balance'!$C$5:$C$40,Assumptions!$C33,'TRA balance'!$D$5:$D$40,Assumptions!$B33)*DU33*AD33,"")</f>
        <v>0</v>
      </c>
      <c r="CA33" s="40">
        <f ca="1">IFERROR(SUMIFS('TRA balance'!AB$5:AB$40,'TRA balance'!$C$5:$C$40,Assumptions!$C33,'TRA balance'!$D$5:$D$40,Assumptions!$B33)*DV33*AE33,"")</f>
        <v>0</v>
      </c>
      <c r="CB33" s="40">
        <f ca="1">IFERROR(SUMIFS('TRA balance'!AC$5:AC$40,'TRA balance'!$C$5:$C$40,Assumptions!$C33,'TRA balance'!$D$5:$D$40,Assumptions!$B33)*DW33*AF33,"")</f>
        <v>0.0413383698</v>
      </c>
      <c r="CC33" s="40">
        <f ca="1">IFERROR(SUMIFS('TRA balance'!AD$5:AD$40,'TRA balance'!$C$5:$C$40,Assumptions!$C33,'TRA balance'!$D$5:$D$40,Assumptions!$B33)*DX33*AG33,"")</f>
        <v>0.5984004834</v>
      </c>
      <c r="CD33" s="40">
        <f ca="1">IFERROR(SUMIFS('TRA balance'!AE$5:AE$40,'TRA balance'!$C$5:$C$40,Assumptions!$C33,'TRA balance'!$D$5:$D$40,Assumptions!$B33)*DY33*AH33,"")</f>
        <v>0</v>
      </c>
      <c r="CE33" s="40">
        <f ca="1">IFERROR(SUMIFS('TRA balance'!AF$5:AF$40,'TRA balance'!$C$5:$C$40,Assumptions!$C33,'TRA balance'!$D$5:$D$40,Assumptions!$B33)*DZ33*AI33,"")</f>
        <v>0.6686026524</v>
      </c>
      <c r="CF33" s="40">
        <f ca="1">IFERROR(SUMIFS('TRA balance'!AG$5:AG$40,'TRA balance'!$C$5:$C$40,Assumptions!$C33,'TRA balance'!$D$5:$D$40,Assumptions!$B33)*EA33*AJ33,"")</f>
        <v>0</v>
      </c>
      <c r="CG33" s="40">
        <f ca="1">IFERROR(SUMIFS('TRA balance'!AH$5:AH$40,'TRA balance'!$C$5:$C$40,Assumptions!$C33,'TRA balance'!$D$5:$D$40,Assumptions!$B33)*EB33*AK33,"")</f>
        <v>8.79228e-5</v>
      </c>
      <c r="CH33" s="40">
        <f ca="1">IFERROR(SUMIFS('TRA balance'!AI$5:AI$40,'TRA balance'!$C$5:$C$40,Assumptions!$C33,'TRA balance'!$D$5:$D$40,Assumptions!$B33)*EC33*AL33,"")</f>
        <v>0</v>
      </c>
      <c r="CI33" s="40">
        <f ca="1">IFERROR(SUMIFS('TRA balance'!AJ$5:AJ$40,'TRA balance'!$C$5:$C$40,Assumptions!$C33,'TRA balance'!$D$5:$D$40,Assumptions!$B33)*ED33*AM33,"")</f>
        <v>0</v>
      </c>
      <c r="CJ33" s="40">
        <f ca="1">IFERROR(SUMIFS('TRA balance'!AK$5:AK$40,'TRA balance'!$C$5:$C$40,Assumptions!$C33,'TRA balance'!$D$5:$D$40,Assumptions!$B33)*EE33*AN33,"")</f>
        <v>0</v>
      </c>
      <c r="CK33" s="40">
        <f ca="1">IFERROR(SUMIFS('TRA balance'!AL$5:AL$40,'TRA balance'!$C$5:$C$40,Assumptions!$C33,'TRA balance'!$D$5:$D$40,Assumptions!$B33)*EF33*AO33,"")</f>
        <v>0</v>
      </c>
      <c r="CL33" s="40">
        <f ca="1">IFERROR(SUMIFS('TRA balance'!AM$5:AM$40,'TRA balance'!$C$5:$C$40,Assumptions!$C33,'TRA balance'!$D$5:$D$40,Assumptions!$B33)*EG33*AP33,"")</f>
        <v>0</v>
      </c>
      <c r="CM33" s="40">
        <f ca="1">IFERROR(SUMIFS('TRA balance'!AN$5:AN$40,'TRA balance'!$C$5:$C$40,Assumptions!$C33,'TRA balance'!$D$5:$D$40,Assumptions!$B33)*EH33*AQ33,"")</f>
        <v>0</v>
      </c>
      <c r="CN33" s="40">
        <f ca="1">IFERROR(SUMIFS('TRA balance'!AO$5:AO$40,'TRA balance'!$C$5:$C$40,Assumptions!$C33,'TRA balance'!$D$5:$D$40,Assumptions!$B33)*EI33*AR33,"")</f>
        <v>0</v>
      </c>
      <c r="CO33" s="40">
        <f ca="1">IFERROR(SUMIFS('TRA balance'!AP$5:AP$40,'TRA balance'!$C$5:$C$40,Assumptions!$C33,'TRA balance'!$D$5:$D$40,Assumptions!$B33)*EJ33*AS33,"")</f>
        <v>0</v>
      </c>
      <c r="CP33" s="40">
        <f ca="1">IFERROR(SUMIFS('TRA balance'!AQ$5:AQ$40,'TRA balance'!$C$5:$C$40,Assumptions!$C33,'TRA balance'!$D$5:$D$40,Assumptions!$B33)*EK33*AT33,"")</f>
        <v>0</v>
      </c>
      <c r="CQ33" s="40">
        <f ca="1">IFERROR(SUMIFS('TRA balance'!AR$5:AR$40,'TRA balance'!$C$5:$C$40,Assumptions!$C33,'TRA balance'!$D$5:$D$40,Assumptions!$B33)*EL33*AU33,"")</f>
        <v>0</v>
      </c>
      <c r="CR33" s="40">
        <f ca="1">IFERROR(SUMIFS('TRA balance'!AS$5:AS$40,'TRA balance'!$C$5:$C$40,Assumptions!$C33,'TRA balance'!$D$5:$D$40,Assumptions!$B33)*EM33*AV33,"")</f>
        <v>0</v>
      </c>
      <c r="CS33" s="40">
        <f ca="1">IFERROR(SUMIFS('TRA balance'!AT$5:AT$40,'TRA balance'!$C$5:$C$40,Assumptions!$C33,'TRA balance'!$D$5:$D$40,Assumptions!$B33)*EN33*AW33,"")</f>
        <v>0</v>
      </c>
      <c r="CT33" s="40">
        <f ca="1">IFERROR(SUMIFS('TRA balance'!AU$5:AU$40,'TRA balance'!$C$5:$C$40,Assumptions!$C33,'TRA balance'!$D$5:$D$40,Assumptions!$B33)*EO33*AX33,"")</f>
        <v>0</v>
      </c>
      <c r="CU33" s="40">
        <f ca="1">IFERROR(SUMIFS('TRA balance'!AV$5:AV$40,'TRA balance'!$C$5:$C$40,Assumptions!$C33,'TRA balance'!$D$5:$D$40,Assumptions!$B33)*EP33*AY33,"")</f>
        <v>0</v>
      </c>
      <c r="CV33" s="40">
        <f ca="1">IFERROR(SUMIFS('TRA balance'!AW$5:AW$40,'TRA balance'!$C$5:$C$40,Assumptions!$C33,'TRA balance'!$D$5:$D$40,Assumptions!$B33)*EQ33*AZ33,"")</f>
        <v>0</v>
      </c>
      <c r="CW33" s="40">
        <f ca="1">IFERROR(SUMIFS('TRA balance'!AX$5:AX$40,'TRA balance'!$C$5:$C$40,Assumptions!$C33,'TRA balance'!$D$5:$D$40,Assumptions!$B33)*ER33*BA33,"")</f>
        <v>0</v>
      </c>
      <c r="CY33" s="39">
        <f ca="1" t="shared" si="2"/>
        <v>1</v>
      </c>
      <c r="CZ33" s="39">
        <f ca="1" t="shared" si="3"/>
        <v>1</v>
      </c>
      <c r="DA33" s="39">
        <f ca="1" t="shared" si="4"/>
        <v>1</v>
      </c>
      <c r="DB33" s="39">
        <f ca="1" t="shared" si="5"/>
        <v>1</v>
      </c>
      <c r="DC33" s="39">
        <f ca="1" t="shared" si="6"/>
        <v>1</v>
      </c>
      <c r="DD33" s="39">
        <f ca="1" t="shared" si="7"/>
        <v>1</v>
      </c>
      <c r="DE33" s="39">
        <f ca="1" t="shared" si="8"/>
        <v>1</v>
      </c>
      <c r="DF33" s="39">
        <f ca="1" t="shared" si="9"/>
        <v>1</v>
      </c>
      <c r="DG33" s="39">
        <f ca="1" t="shared" si="10"/>
        <v>1</v>
      </c>
      <c r="DH33" s="39">
        <f ca="1" t="shared" si="11"/>
        <v>1</v>
      </c>
      <c r="DI33" s="39">
        <f ca="1" t="shared" si="12"/>
        <v>1</v>
      </c>
      <c r="DJ33" s="39">
        <f ca="1" t="shared" si="13"/>
        <v>1</v>
      </c>
      <c r="DK33" s="39">
        <f ca="1" t="shared" si="14"/>
        <v>1</v>
      </c>
      <c r="DL33" s="39">
        <f ca="1" t="shared" si="15"/>
        <v>1</v>
      </c>
      <c r="DM33" s="39">
        <f ca="1" t="shared" si="16"/>
        <v>1</v>
      </c>
      <c r="DN33" s="39">
        <f ca="1" t="shared" si="17"/>
        <v>1</v>
      </c>
      <c r="DO33" s="39">
        <f ca="1" t="shared" si="18"/>
        <v>1</v>
      </c>
      <c r="DP33" s="39">
        <f ca="1" t="shared" si="19"/>
        <v>1</v>
      </c>
      <c r="DQ33" s="39">
        <f ca="1" t="shared" si="20"/>
        <v>1</v>
      </c>
      <c r="DR33" s="39">
        <f ca="1" t="shared" si="21"/>
        <v>1</v>
      </c>
      <c r="DS33" s="39">
        <f ca="1" t="shared" si="22"/>
        <v>1</v>
      </c>
      <c r="DT33" s="39">
        <f ca="1" t="shared" si="23"/>
        <v>1</v>
      </c>
      <c r="DU33" s="39">
        <f ca="1" t="shared" si="24"/>
        <v>1</v>
      </c>
      <c r="DV33" s="39">
        <f ca="1" t="shared" si="25"/>
        <v>1</v>
      </c>
      <c r="DW33" s="39">
        <f ca="1" t="shared" si="26"/>
        <v>1</v>
      </c>
      <c r="DX33" s="39">
        <f ca="1" t="shared" si="27"/>
        <v>1</v>
      </c>
      <c r="DY33" s="39">
        <f ca="1" t="shared" si="28"/>
        <v>1</v>
      </c>
      <c r="DZ33" s="39">
        <f ca="1" t="shared" si="29"/>
        <v>1</v>
      </c>
      <c r="EA33" s="39">
        <f ca="1" t="shared" si="30"/>
        <v>1</v>
      </c>
      <c r="EB33" s="39">
        <f ca="1" t="shared" si="31"/>
        <v>1</v>
      </c>
      <c r="EC33" s="39">
        <f ca="1" t="shared" si="32"/>
        <v>1</v>
      </c>
      <c r="ED33" s="39">
        <f ca="1" t="shared" si="33"/>
        <v>1</v>
      </c>
      <c r="EE33" s="39">
        <f ca="1" t="shared" si="34"/>
        <v>1</v>
      </c>
      <c r="EF33" s="39">
        <f ca="1" t="shared" si="35"/>
        <v>1</v>
      </c>
      <c r="EG33" s="39">
        <f ca="1" t="shared" si="36"/>
        <v>1</v>
      </c>
      <c r="EH33" s="39">
        <f ca="1" t="shared" si="37"/>
        <v>1</v>
      </c>
      <c r="EI33" s="39">
        <f ca="1" t="shared" si="38"/>
        <v>1</v>
      </c>
      <c r="EJ33" s="39">
        <f ca="1" t="shared" si="39"/>
        <v>1</v>
      </c>
      <c r="EK33" s="39">
        <f ca="1" t="shared" si="40"/>
        <v>1</v>
      </c>
      <c r="EL33" s="39">
        <f ca="1" t="shared" si="41"/>
        <v>1</v>
      </c>
      <c r="EM33" s="39">
        <f ca="1" t="shared" si="42"/>
        <v>1</v>
      </c>
      <c r="EN33" s="39">
        <f ca="1" t="shared" si="43"/>
        <v>1</v>
      </c>
      <c r="EO33" s="39">
        <f ca="1" t="shared" si="44"/>
        <v>1</v>
      </c>
      <c r="EP33" s="39">
        <f ca="1" t="shared" si="45"/>
        <v>1</v>
      </c>
      <c r="EQ33" s="39">
        <f ca="1" t="shared" si="46"/>
        <v>1</v>
      </c>
      <c r="ER33" s="39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4" t="str">
        <f t="shared" si="48"/>
        <v>TT</v>
      </c>
      <c r="D34" s="55" t="s">
        <v>192</v>
      </c>
      <c r="E34" s="55" t="s">
        <v>197</v>
      </c>
      <c r="F34" s="56" t="str">
        <f t="shared" si="62"/>
        <v>Gasoline</v>
      </c>
      <c r="G34" s="54" t="s">
        <v>198</v>
      </c>
      <c r="H34" s="57">
        <f ca="1">OFFSET(TIAM15_assumptions!$G34,0,MATCH(VLOOKUP(Assumptions!H$2,TIAM15_assumptions!$Y$3:$Z$87,2,FALSE),TIAM15_assumptions!$H$2:$V$2,0))</f>
        <v>0.5</v>
      </c>
      <c r="I34" s="57">
        <f ca="1">OFFSET(TIAM15_assumptions!$G34,0,MATCH(VLOOKUP(Assumptions!I$2,TIAM15_assumptions!$Y$3:$Z$87,2,FALSE),TIAM15_assumptions!$H$2:$V$2,0))</f>
        <v>0.5</v>
      </c>
      <c r="J34" s="57">
        <f ca="1">OFFSET(TIAM15_assumptions!$G34,0,MATCH(VLOOKUP(Assumptions!J$2,TIAM15_assumptions!$Y$3:$Z$87,2,FALSE),TIAM15_assumptions!$H$2:$V$2,0))</f>
        <v>0.5</v>
      </c>
      <c r="K34" s="57">
        <f ca="1">OFFSET(TIAM15_assumptions!$G34,0,MATCH(VLOOKUP(Assumptions!K$2,TIAM15_assumptions!$Y$3:$Z$87,2,FALSE),TIAM15_assumptions!$H$2:$V$2,0))</f>
        <v>0</v>
      </c>
      <c r="L34" s="57">
        <f ca="1">OFFSET(TIAM15_assumptions!$G34,0,MATCH(VLOOKUP(Assumptions!L$2,TIAM15_assumptions!$Y$3:$Z$87,2,FALSE),TIAM15_assumptions!$H$2:$V$2,0))</f>
        <v>0.5</v>
      </c>
      <c r="M34" s="57">
        <f ca="1">OFFSET(TIAM15_assumptions!$G34,0,MATCH(VLOOKUP(Assumptions!M$2,TIAM15_assumptions!$Y$3:$Z$87,2,FALSE),TIAM15_assumptions!$H$2:$V$2,0))</f>
        <v>0</v>
      </c>
      <c r="N34" s="57">
        <f ca="1">OFFSET(TIAM15_assumptions!$G34,0,MATCH(VLOOKUP(Assumptions!N$2,TIAM15_assumptions!$Y$3:$Z$87,2,FALSE),TIAM15_assumptions!$H$2:$V$2,0))</f>
        <v>0</v>
      </c>
      <c r="O34" s="57">
        <f ca="1">OFFSET(TIAM15_assumptions!$G34,0,MATCH(VLOOKUP(Assumptions!O$2,TIAM15_assumptions!$Y$3:$Z$87,2,FALSE),TIAM15_assumptions!$H$2:$V$2,0))</f>
        <v>0.5</v>
      </c>
      <c r="P34" s="57">
        <f ca="1">OFFSET(TIAM15_assumptions!$G34,0,MATCH(VLOOKUP(Assumptions!P$2,TIAM15_assumptions!$Y$3:$Z$87,2,FALSE),TIAM15_assumptions!$H$2:$V$2,0))</f>
        <v>0</v>
      </c>
      <c r="Q34" s="57">
        <f ca="1">OFFSET(TIAM15_assumptions!$G34,0,MATCH(VLOOKUP(Assumptions!Q$2,TIAM15_assumptions!$Y$3:$Z$87,2,FALSE),TIAM15_assumptions!$H$2:$V$2,0))</f>
        <v>0</v>
      </c>
      <c r="R34" s="57">
        <f ca="1">OFFSET(TIAM15_assumptions!$G34,0,MATCH(VLOOKUP(Assumptions!R$2,TIAM15_assumptions!$Y$3:$Z$87,2,FALSE),TIAM15_assumptions!$H$2:$V$2,0))</f>
        <v>0</v>
      </c>
      <c r="S34" s="57">
        <f ca="1">OFFSET(TIAM15_assumptions!$G34,0,MATCH(VLOOKUP(Assumptions!S$2,TIAM15_assumptions!$Y$3:$Z$87,2,FALSE),TIAM15_assumptions!$H$2:$V$2,0))</f>
        <v>0</v>
      </c>
      <c r="T34" s="57">
        <f ca="1">OFFSET(TIAM15_assumptions!$G34,0,MATCH(VLOOKUP(Assumptions!T$2,TIAM15_assumptions!$Y$3:$Z$87,2,FALSE),TIAM15_assumptions!$H$2:$V$2,0))</f>
        <v>0</v>
      </c>
      <c r="U34" s="57">
        <f ca="1">OFFSET(TIAM15_assumptions!$G34,0,MATCH(VLOOKUP(Assumptions!U$2,TIAM15_assumptions!$Y$3:$Z$87,2,FALSE),TIAM15_assumptions!$H$2:$V$2,0))</f>
        <v>0</v>
      </c>
      <c r="V34" s="57">
        <f ca="1">OFFSET(TIAM15_assumptions!$G34,0,MATCH(VLOOKUP(Assumptions!V$2,TIAM15_assumptions!$Y$3:$Z$87,2,FALSE),TIAM15_assumptions!$H$2:$V$2,0))</f>
        <v>0</v>
      </c>
      <c r="W34" s="57">
        <f ca="1">OFFSET(TIAM15_assumptions!$G34,0,MATCH(VLOOKUP(Assumptions!W$2,TIAM15_assumptions!$Y$3:$Z$87,2,FALSE),TIAM15_assumptions!$H$2:$V$2,0))</f>
        <v>0</v>
      </c>
      <c r="X34" s="57">
        <f ca="1">OFFSET(TIAM15_assumptions!$G34,0,MATCH(VLOOKUP(Assumptions!X$2,TIAM15_assumptions!$Y$3:$Z$87,2,FALSE),TIAM15_assumptions!$H$2:$V$2,0))</f>
        <v>0</v>
      </c>
      <c r="Y34" s="57">
        <f ca="1">OFFSET(TIAM15_assumptions!$G34,0,MATCH(VLOOKUP(Assumptions!Y$2,TIAM15_assumptions!$Y$3:$Z$87,2,FALSE),TIAM15_assumptions!$H$2:$V$2,0))</f>
        <v>0</v>
      </c>
      <c r="Z34" s="57">
        <f ca="1">OFFSET(TIAM15_assumptions!$G34,0,MATCH(VLOOKUP(Assumptions!Z$2,TIAM15_assumptions!$Y$3:$Z$87,2,FALSE),TIAM15_assumptions!$H$2:$V$2,0))</f>
        <v>0.93</v>
      </c>
      <c r="AA34" s="57">
        <f ca="1">OFFSET(TIAM15_assumptions!$G34,0,MATCH(VLOOKUP(Assumptions!AA$2,TIAM15_assumptions!$Y$3:$Z$87,2,FALSE),TIAM15_assumptions!$H$2:$V$2,0))</f>
        <v>0</v>
      </c>
      <c r="AB34" s="57">
        <f ca="1">OFFSET(TIAM15_assumptions!$G34,0,MATCH(VLOOKUP(Assumptions!AB$2,TIAM15_assumptions!$Y$3:$Z$87,2,FALSE),TIAM15_assumptions!$H$2:$V$2,0))</f>
        <v>0</v>
      </c>
      <c r="AC34" s="57">
        <f ca="1">OFFSET(TIAM15_assumptions!$G34,0,MATCH(VLOOKUP(Assumptions!AC$2,TIAM15_assumptions!$Y$3:$Z$87,2,FALSE),TIAM15_assumptions!$H$2:$V$2,0))</f>
        <v>0.5</v>
      </c>
      <c r="AD34" s="57">
        <f ca="1">OFFSET(TIAM15_assumptions!$G34,0,MATCH(VLOOKUP(Assumptions!AD$2,TIAM15_assumptions!$Y$3:$Z$87,2,FALSE),TIAM15_assumptions!$H$2:$V$2,0))</f>
        <v>0</v>
      </c>
      <c r="AE34" s="57">
        <f ca="1">OFFSET(TIAM15_assumptions!$G34,0,MATCH(VLOOKUP(Assumptions!AE$2,TIAM15_assumptions!$Y$3:$Z$87,2,FALSE),TIAM15_assumptions!$H$2:$V$2,0))</f>
        <v>0</v>
      </c>
      <c r="AF34" s="57">
        <f ca="1">OFFSET(TIAM15_assumptions!$G34,0,MATCH(VLOOKUP(Assumptions!AF$2,TIAM15_assumptions!$Y$3:$Z$87,2,FALSE),TIAM15_assumptions!$H$2:$V$2,0))</f>
        <v>0.5</v>
      </c>
      <c r="AG34" s="57">
        <f ca="1">OFFSET(TIAM15_assumptions!$G34,0,MATCH(VLOOKUP(Assumptions!AG$2,TIAM15_assumptions!$Y$3:$Z$87,2,FALSE),TIAM15_assumptions!$H$2:$V$2,0))</f>
        <v>0.5</v>
      </c>
      <c r="AH34" s="57">
        <f ca="1">OFFSET(TIAM15_assumptions!$G34,0,MATCH(VLOOKUP(Assumptions!AH$2,TIAM15_assumptions!$Y$3:$Z$87,2,FALSE),TIAM15_assumptions!$H$2:$V$2,0))</f>
        <v>0</v>
      </c>
      <c r="AI34" s="57">
        <f ca="1">OFFSET(TIAM15_assumptions!$G34,0,MATCH(VLOOKUP(Assumptions!AI$2,TIAM15_assumptions!$Y$3:$Z$87,2,FALSE),TIAM15_assumptions!$H$2:$V$2,0))</f>
        <v>0.5</v>
      </c>
      <c r="AJ34" s="57">
        <f ca="1">OFFSET(TIAM15_assumptions!$G34,0,MATCH(VLOOKUP(Assumptions!AJ$2,TIAM15_assumptions!$Y$3:$Z$87,2,FALSE),TIAM15_assumptions!$H$2:$V$2,0))</f>
        <v>0</v>
      </c>
      <c r="AK34" s="57">
        <f ca="1">OFFSET(TIAM15_assumptions!$G34,0,MATCH(VLOOKUP(Assumptions!AK$2,TIAM15_assumptions!$Y$3:$Z$87,2,FALSE),TIAM15_assumptions!$H$2:$V$2,0))</f>
        <v>0</v>
      </c>
      <c r="AL34" s="57">
        <f ca="1">OFFSET(TIAM15_assumptions!$G34,0,MATCH(VLOOKUP(Assumptions!AL$2,TIAM15_assumptions!$Y$3:$Z$87,2,FALSE),TIAM15_assumptions!$H$2:$V$2,0))</f>
        <v>0</v>
      </c>
      <c r="AM34" s="57">
        <f ca="1">OFFSET(TIAM15_assumptions!$G34,0,MATCH(VLOOKUP(Assumptions!AM$2,TIAM15_assumptions!$Y$3:$Z$87,2,FALSE),TIAM15_assumptions!$H$2:$V$2,0))</f>
        <v>0</v>
      </c>
      <c r="AN34" s="57">
        <f ca="1">OFFSET(TIAM15_assumptions!$G34,0,MATCH(VLOOKUP(Assumptions!AN$2,TIAM15_assumptions!$Y$3:$Z$87,2,FALSE),TIAM15_assumptions!$H$2:$V$2,0))</f>
        <v>0</v>
      </c>
      <c r="AO34" s="57">
        <f ca="1">OFFSET(TIAM15_assumptions!$G34,0,MATCH(VLOOKUP(Assumptions!AO$2,TIAM15_assumptions!$Y$3:$Z$87,2,FALSE),TIAM15_assumptions!$H$2:$V$2,0))</f>
        <v>0.5</v>
      </c>
      <c r="AP34" s="57">
        <f ca="1">OFFSET(TIAM15_assumptions!$G34,0,MATCH(VLOOKUP(Assumptions!AP$2,TIAM15_assumptions!$Y$3:$Z$87,2,FALSE),TIAM15_assumptions!$H$2:$V$2,0))</f>
        <v>0</v>
      </c>
      <c r="AQ34" s="57">
        <f ca="1">OFFSET(TIAM15_assumptions!$G34,0,MATCH(VLOOKUP(Assumptions!AQ$2,TIAM15_assumptions!$Y$3:$Z$87,2,FALSE),TIAM15_assumptions!$H$2:$V$2,0))</f>
        <v>0.5</v>
      </c>
      <c r="AR34" s="57">
        <f ca="1">OFFSET(TIAM15_assumptions!$G34,0,MATCH(VLOOKUP(Assumptions!AR$2,TIAM15_assumptions!$Y$3:$Z$87,2,FALSE),TIAM15_assumptions!$H$2:$V$2,0))</f>
        <v>0.5</v>
      </c>
      <c r="AS34" s="57">
        <f ca="1">OFFSET(TIAM15_assumptions!$G34,0,MATCH(VLOOKUP(Assumptions!AS$2,TIAM15_assumptions!$Y$3:$Z$87,2,FALSE),TIAM15_assumptions!$H$2:$V$2,0))</f>
        <v>0.5</v>
      </c>
      <c r="AT34" s="57">
        <f ca="1">OFFSET(TIAM15_assumptions!$G34,0,MATCH(VLOOKUP(Assumptions!AT$2,TIAM15_assumptions!$Y$3:$Z$87,2,FALSE),TIAM15_assumptions!$H$2:$V$2,0))</f>
        <v>0.5</v>
      </c>
      <c r="AU34" s="57">
        <f ca="1">OFFSET(TIAM15_assumptions!$G34,0,MATCH(VLOOKUP(Assumptions!AU$2,TIAM15_assumptions!$Y$3:$Z$87,2,FALSE),TIAM15_assumptions!$H$2:$V$2,0))</f>
        <v>0.5</v>
      </c>
      <c r="AV34" s="57">
        <f ca="1">OFFSET(TIAM15_assumptions!$G34,0,MATCH(VLOOKUP(Assumptions!AV$2,TIAM15_assumptions!$Y$3:$Z$87,2,FALSE),TIAM15_assumptions!$H$2:$V$2,0))</f>
        <v>0.5</v>
      </c>
      <c r="AW34" s="57">
        <f ca="1">OFFSET(TIAM15_assumptions!$G34,0,MATCH(VLOOKUP(Assumptions!AW$2,TIAM15_assumptions!$Y$3:$Z$87,2,FALSE),TIAM15_assumptions!$H$2:$V$2,0))</f>
        <v>0.5</v>
      </c>
      <c r="AX34" s="57">
        <f ca="1">OFFSET(TIAM15_assumptions!$G34,0,MATCH(VLOOKUP(Assumptions!AX$2,TIAM15_assumptions!$Y$3:$Z$87,2,FALSE),TIAM15_assumptions!$H$2:$V$2,0))</f>
        <v>0.5</v>
      </c>
      <c r="AY34" s="57">
        <f ca="1">OFFSET(TIAM15_assumptions!$G34,0,MATCH(VLOOKUP(Assumptions!AY$2,TIAM15_assumptions!$Y$3:$Z$87,2,FALSE),TIAM15_assumptions!$H$2:$V$2,0))</f>
        <v>0.5</v>
      </c>
      <c r="AZ34" s="57">
        <f ca="1">OFFSET(TIAM15_assumptions!$G34,0,MATCH(VLOOKUP(Assumptions!AZ$2,TIAM15_assumptions!$Y$3:$Z$87,2,FALSE),TIAM15_assumptions!$H$2:$V$2,0))</f>
        <v>0.5</v>
      </c>
      <c r="BA34" s="57">
        <f ca="1">OFFSET(TIAM15_assumptions!$G34,0,MATCH(VLOOKUP(Assumptions!BA$2,TIAM15_assumptions!$Y$3:$Z$87,2,FALSE),TIAM15_assumptions!$H$2:$V$2,0))</f>
        <v>0.5</v>
      </c>
      <c r="BD34" s="40">
        <f ca="1">IFERROR(SUMIFS('TRA balance'!E$5:E$40,'TRA balance'!$C$5:$C$40,Assumptions!$C34,'TRA balance'!$D$5:$D$40,Assumptions!$B34)*CY34*H34,"")</f>
        <v>0</v>
      </c>
      <c r="BE34" s="40">
        <f ca="1">IFERROR(SUMIFS('TRA balance'!F$5:F$40,'TRA balance'!$C$5:$C$40,Assumptions!$C34,'TRA balance'!$D$5:$D$40,Assumptions!$B34)*CZ34*I34,"")</f>
        <v>0</v>
      </c>
      <c r="BF34" s="40">
        <f ca="1">IFERROR(SUMIFS('TRA balance'!G$5:G$40,'TRA balance'!$C$5:$C$40,Assumptions!$C34,'TRA balance'!$D$5:$D$40,Assumptions!$B34)*DA34*J34,"")</f>
        <v>0.0222779628</v>
      </c>
      <c r="BG34" s="40">
        <f ca="1">IFERROR(SUMIFS('TRA balance'!H$5:H$40,'TRA balance'!$C$5:$C$40,Assumptions!$C34,'TRA balance'!$D$5:$D$40,Assumptions!$B34)*DB34*K34,"")</f>
        <v>0</v>
      </c>
      <c r="BH34" s="40">
        <f ca="1">IFERROR(SUMIFS('TRA balance'!I$5:I$40,'TRA balance'!$C$5:$C$40,Assumptions!$C34,'TRA balance'!$D$5:$D$40,Assumptions!$B34)*DC34*L34,"")</f>
        <v>0</v>
      </c>
      <c r="BI34" s="40">
        <f ca="1">IFERROR(SUMIFS('TRA balance'!J$5:J$40,'TRA balance'!$C$5:$C$40,Assumptions!$C34,'TRA balance'!$D$5:$D$40,Assumptions!$B34)*DD34*M34,"")</f>
        <v>0</v>
      </c>
      <c r="BJ34" s="40">
        <f ca="1">IFERROR(SUMIFS('TRA balance'!K$5:K$40,'TRA balance'!$C$5:$C$40,Assumptions!$C34,'TRA balance'!$D$5:$D$40,Assumptions!$B34)*DE34*N34,"")</f>
        <v>0</v>
      </c>
      <c r="BK34" s="40">
        <f ca="1">IFERROR(SUMIFS('TRA balance'!L$5:L$40,'TRA balance'!$C$5:$C$40,Assumptions!$C34,'TRA balance'!$D$5:$D$40,Assumptions!$B34)*DF34*O34,"")</f>
        <v>0</v>
      </c>
      <c r="BL34" s="40">
        <f ca="1">IFERROR(SUMIFS('TRA balance'!M$5:M$40,'TRA balance'!$C$5:$C$40,Assumptions!$C34,'TRA balance'!$D$5:$D$40,Assumptions!$B34)*DG34*P34,"")</f>
        <v>0</v>
      </c>
      <c r="BM34" s="40">
        <f ca="1">IFERROR(SUMIFS('TRA balance'!N$5:N$40,'TRA balance'!$C$5:$C$40,Assumptions!$C34,'TRA balance'!$D$5:$D$40,Assumptions!$B34)*DH34*Q34,"")</f>
        <v>0</v>
      </c>
      <c r="BN34" s="40">
        <f ca="1">IFERROR(SUMIFS('TRA balance'!O$5:O$40,'TRA balance'!$C$5:$C$40,Assumptions!$C34,'TRA balance'!$D$5:$D$40,Assumptions!$B34)*DI34*R34,"")</f>
        <v>0</v>
      </c>
      <c r="BO34" s="40">
        <f ca="1">IFERROR(SUMIFS('TRA balance'!P$5:P$40,'TRA balance'!$C$5:$C$40,Assumptions!$C34,'TRA balance'!$D$5:$D$40,Assumptions!$B34)*DJ34*S34,"")</f>
        <v>0</v>
      </c>
      <c r="BP34" s="40">
        <f ca="1">IFERROR(SUMIFS('TRA balance'!Q$5:Q$40,'TRA balance'!$C$5:$C$40,Assumptions!$C34,'TRA balance'!$D$5:$D$40,Assumptions!$B34)*DK34*T34,"")</f>
        <v>0</v>
      </c>
      <c r="BQ34" s="40">
        <f ca="1">IFERROR(SUMIFS('TRA balance'!R$5:R$40,'TRA balance'!$C$5:$C$40,Assumptions!$C34,'TRA balance'!$D$5:$D$40,Assumptions!$B34)*DL34*U34,"")</f>
        <v>0</v>
      </c>
      <c r="BR34" s="40">
        <f ca="1">IFERROR(SUMIFS('TRA balance'!S$5:S$40,'TRA balance'!$C$5:$C$40,Assumptions!$C34,'TRA balance'!$D$5:$D$40,Assumptions!$B34)*DM34*V34,"")</f>
        <v>0</v>
      </c>
      <c r="BS34" s="40">
        <f ca="1">IFERROR(SUMIFS('TRA balance'!T$5:T$40,'TRA balance'!$C$5:$C$40,Assumptions!$C34,'TRA balance'!$D$5:$D$40,Assumptions!$B34)*DN34*W34,"")</f>
        <v>0</v>
      </c>
      <c r="BT34" s="40">
        <f ca="1">IFERROR(SUMIFS('TRA balance'!U$5:U$40,'TRA balance'!$C$5:$C$40,Assumptions!$C34,'TRA balance'!$D$5:$D$40,Assumptions!$B34)*DO34*X34,"")</f>
        <v>0</v>
      </c>
      <c r="BU34" s="40">
        <f ca="1">IFERROR(SUMIFS('TRA balance'!V$5:V$40,'TRA balance'!$C$5:$C$40,Assumptions!$C34,'TRA balance'!$D$5:$D$40,Assumptions!$B34)*DP34*Y34,"")</f>
        <v>0</v>
      </c>
      <c r="BV34" s="40">
        <f ca="1">IFERROR(SUMIFS('TRA balance'!W$5:W$40,'TRA balance'!$C$5:$C$40,Assumptions!$C34,'TRA balance'!$D$5:$D$40,Assumptions!$B34)*DQ34*Z34,"")</f>
        <v>0</v>
      </c>
      <c r="BW34" s="40">
        <f ca="1">IFERROR(SUMIFS('TRA balance'!X$5:X$40,'TRA balance'!$C$5:$C$40,Assumptions!$C34,'TRA balance'!$D$5:$D$40,Assumptions!$B34)*DR34*AA34,"")</f>
        <v>0</v>
      </c>
      <c r="BX34" s="40">
        <f ca="1">IFERROR(SUMIFS('TRA balance'!Y$5:Y$40,'TRA balance'!$C$5:$C$40,Assumptions!$C34,'TRA balance'!$D$5:$D$40,Assumptions!$B34)*DS34*AB34,"")</f>
        <v>0</v>
      </c>
      <c r="BY34" s="40">
        <f ca="1">IFERROR(SUMIFS('TRA balance'!Z$5:Z$40,'TRA balance'!$C$5:$C$40,Assumptions!$C34,'TRA balance'!$D$5:$D$40,Assumptions!$B34)*DT34*AC34,"")</f>
        <v>0</v>
      </c>
      <c r="BZ34" s="40">
        <f ca="1">IFERROR(SUMIFS('TRA balance'!AA$5:AA$40,'TRA balance'!$C$5:$C$40,Assumptions!$C34,'TRA balance'!$D$5:$D$40,Assumptions!$B34)*DU34*AD34,"")</f>
        <v>0</v>
      </c>
      <c r="CA34" s="40">
        <f ca="1">IFERROR(SUMIFS('TRA balance'!AB$5:AB$40,'TRA balance'!$C$5:$C$40,Assumptions!$C34,'TRA balance'!$D$5:$D$40,Assumptions!$B34)*DV34*AE34,"")</f>
        <v>0</v>
      </c>
      <c r="CB34" s="40">
        <f ca="1">IFERROR(SUMIFS('TRA balance'!AC$5:AC$40,'TRA balance'!$C$5:$C$40,Assumptions!$C34,'TRA balance'!$D$5:$D$40,Assumptions!$B34)*DW34*AF34,"")</f>
        <v>0.0413383698</v>
      </c>
      <c r="CC34" s="40">
        <f ca="1">IFERROR(SUMIFS('TRA balance'!AD$5:AD$40,'TRA balance'!$C$5:$C$40,Assumptions!$C34,'TRA balance'!$D$5:$D$40,Assumptions!$B34)*DX34*AG34,"")</f>
        <v>0.5984004834</v>
      </c>
      <c r="CD34" s="40">
        <f ca="1">IFERROR(SUMIFS('TRA balance'!AE$5:AE$40,'TRA balance'!$C$5:$C$40,Assumptions!$C34,'TRA balance'!$D$5:$D$40,Assumptions!$B34)*DY34*AH34,"")</f>
        <v>0</v>
      </c>
      <c r="CE34" s="40">
        <f ca="1">IFERROR(SUMIFS('TRA balance'!AF$5:AF$40,'TRA balance'!$C$5:$C$40,Assumptions!$C34,'TRA balance'!$D$5:$D$40,Assumptions!$B34)*DZ34*AI34,"")</f>
        <v>0.6686026524</v>
      </c>
      <c r="CF34" s="40">
        <f ca="1">IFERROR(SUMIFS('TRA balance'!AG$5:AG$40,'TRA balance'!$C$5:$C$40,Assumptions!$C34,'TRA balance'!$D$5:$D$40,Assumptions!$B34)*EA34*AJ34,"")</f>
        <v>0</v>
      </c>
      <c r="CG34" s="40">
        <f ca="1">IFERROR(SUMIFS('TRA balance'!AH$5:AH$40,'TRA balance'!$C$5:$C$40,Assumptions!$C34,'TRA balance'!$D$5:$D$40,Assumptions!$B34)*EB34*AK34,"")</f>
        <v>0</v>
      </c>
      <c r="CH34" s="40">
        <f ca="1">IFERROR(SUMIFS('TRA balance'!AI$5:AI$40,'TRA balance'!$C$5:$C$40,Assumptions!$C34,'TRA balance'!$D$5:$D$40,Assumptions!$B34)*EC34*AL34,"")</f>
        <v>0</v>
      </c>
      <c r="CI34" s="40">
        <f ca="1">IFERROR(SUMIFS('TRA balance'!AJ$5:AJ$40,'TRA balance'!$C$5:$C$40,Assumptions!$C34,'TRA balance'!$D$5:$D$40,Assumptions!$B34)*ED34*AM34,"")</f>
        <v>0</v>
      </c>
      <c r="CJ34" s="40">
        <f ca="1">IFERROR(SUMIFS('TRA balance'!AK$5:AK$40,'TRA balance'!$C$5:$C$40,Assumptions!$C34,'TRA balance'!$D$5:$D$40,Assumptions!$B34)*EE34*AN34,"")</f>
        <v>0</v>
      </c>
      <c r="CK34" s="40">
        <f ca="1">IFERROR(SUMIFS('TRA balance'!AL$5:AL$40,'TRA balance'!$C$5:$C$40,Assumptions!$C34,'TRA balance'!$D$5:$D$40,Assumptions!$B34)*EF34*AO34,"")</f>
        <v>0</v>
      </c>
      <c r="CL34" s="40">
        <f ca="1">IFERROR(SUMIFS('TRA balance'!AM$5:AM$40,'TRA balance'!$C$5:$C$40,Assumptions!$C34,'TRA balance'!$D$5:$D$40,Assumptions!$B34)*EG34*AP34,"")</f>
        <v>0</v>
      </c>
      <c r="CM34" s="40">
        <f ca="1">IFERROR(SUMIFS('TRA balance'!AN$5:AN$40,'TRA balance'!$C$5:$C$40,Assumptions!$C34,'TRA balance'!$D$5:$D$40,Assumptions!$B34)*EH34*AQ34,"")</f>
        <v>0</v>
      </c>
      <c r="CN34" s="40">
        <f ca="1">IFERROR(SUMIFS('TRA balance'!AO$5:AO$40,'TRA balance'!$C$5:$C$40,Assumptions!$C34,'TRA balance'!$D$5:$D$40,Assumptions!$B34)*EI34*AR34,"")</f>
        <v>0</v>
      </c>
      <c r="CO34" s="40">
        <f ca="1">IFERROR(SUMIFS('TRA balance'!AP$5:AP$40,'TRA balance'!$C$5:$C$40,Assumptions!$C34,'TRA balance'!$D$5:$D$40,Assumptions!$B34)*EJ34*AS34,"")</f>
        <v>0</v>
      </c>
      <c r="CP34" s="40">
        <f ca="1">IFERROR(SUMIFS('TRA balance'!AQ$5:AQ$40,'TRA balance'!$C$5:$C$40,Assumptions!$C34,'TRA balance'!$D$5:$D$40,Assumptions!$B34)*EK34*AT34,"")</f>
        <v>0</v>
      </c>
      <c r="CQ34" s="40">
        <f ca="1">IFERROR(SUMIFS('TRA balance'!AR$5:AR$40,'TRA balance'!$C$5:$C$40,Assumptions!$C34,'TRA balance'!$D$5:$D$40,Assumptions!$B34)*EL34*AU34,"")</f>
        <v>0</v>
      </c>
      <c r="CR34" s="40">
        <f ca="1">IFERROR(SUMIFS('TRA balance'!AS$5:AS$40,'TRA balance'!$C$5:$C$40,Assumptions!$C34,'TRA balance'!$D$5:$D$40,Assumptions!$B34)*EM34*AV34,"")</f>
        <v>0</v>
      </c>
      <c r="CS34" s="40">
        <f ca="1">IFERROR(SUMIFS('TRA balance'!AT$5:AT$40,'TRA balance'!$C$5:$C$40,Assumptions!$C34,'TRA balance'!$D$5:$D$40,Assumptions!$B34)*EN34*AW34,"")</f>
        <v>0</v>
      </c>
      <c r="CT34" s="40">
        <f ca="1">IFERROR(SUMIFS('TRA balance'!AU$5:AU$40,'TRA balance'!$C$5:$C$40,Assumptions!$C34,'TRA balance'!$D$5:$D$40,Assumptions!$B34)*EO34*AX34,"")</f>
        <v>0</v>
      </c>
      <c r="CU34" s="40">
        <f ca="1">IFERROR(SUMIFS('TRA balance'!AV$5:AV$40,'TRA balance'!$C$5:$C$40,Assumptions!$C34,'TRA balance'!$D$5:$D$40,Assumptions!$B34)*EP34*AY34,"")</f>
        <v>0</v>
      </c>
      <c r="CV34" s="40">
        <f ca="1">IFERROR(SUMIFS('TRA balance'!AW$5:AW$40,'TRA balance'!$C$5:$C$40,Assumptions!$C34,'TRA balance'!$D$5:$D$40,Assumptions!$B34)*EQ34*AZ34,"")</f>
        <v>0</v>
      </c>
      <c r="CW34" s="40">
        <f ca="1">IFERROR(SUMIFS('TRA balance'!AX$5:AX$40,'TRA balance'!$C$5:$C$40,Assumptions!$C34,'TRA balance'!$D$5:$D$40,Assumptions!$B34)*ER34*BA34,"")</f>
        <v>0</v>
      </c>
      <c r="CY34" s="39">
        <f ca="1" t="shared" si="2"/>
        <v>1</v>
      </c>
      <c r="CZ34" s="39">
        <f ca="1" t="shared" si="3"/>
        <v>1</v>
      </c>
      <c r="DA34" s="39">
        <f ca="1" t="shared" si="4"/>
        <v>1</v>
      </c>
      <c r="DB34" s="39">
        <f ca="1" t="shared" si="5"/>
        <v>1</v>
      </c>
      <c r="DC34" s="39">
        <f ca="1" t="shared" si="6"/>
        <v>1</v>
      </c>
      <c r="DD34" s="39">
        <f ca="1" t="shared" si="7"/>
        <v>1</v>
      </c>
      <c r="DE34" s="39">
        <f ca="1" t="shared" si="8"/>
        <v>1</v>
      </c>
      <c r="DF34" s="39">
        <f ca="1" t="shared" si="9"/>
        <v>1</v>
      </c>
      <c r="DG34" s="39">
        <f ca="1" t="shared" si="10"/>
        <v>1</v>
      </c>
      <c r="DH34" s="39">
        <f ca="1" t="shared" si="11"/>
        <v>1</v>
      </c>
      <c r="DI34" s="39">
        <f ca="1" t="shared" si="12"/>
        <v>1</v>
      </c>
      <c r="DJ34" s="39">
        <f ca="1" t="shared" si="13"/>
        <v>1</v>
      </c>
      <c r="DK34" s="39">
        <f ca="1" t="shared" si="14"/>
        <v>1</v>
      </c>
      <c r="DL34" s="39">
        <f ca="1" t="shared" si="15"/>
        <v>1</v>
      </c>
      <c r="DM34" s="39">
        <f ca="1" t="shared" si="16"/>
        <v>1</v>
      </c>
      <c r="DN34" s="39">
        <f ca="1" t="shared" si="17"/>
        <v>1</v>
      </c>
      <c r="DO34" s="39">
        <f ca="1" t="shared" si="18"/>
        <v>1</v>
      </c>
      <c r="DP34" s="39">
        <f ca="1" t="shared" si="19"/>
        <v>1</v>
      </c>
      <c r="DQ34" s="39">
        <f ca="1" t="shared" si="20"/>
        <v>1</v>
      </c>
      <c r="DR34" s="39">
        <f ca="1" t="shared" si="21"/>
        <v>1</v>
      </c>
      <c r="DS34" s="39">
        <f ca="1" t="shared" si="22"/>
        <v>1</v>
      </c>
      <c r="DT34" s="39">
        <f ca="1" t="shared" si="23"/>
        <v>1</v>
      </c>
      <c r="DU34" s="39">
        <f ca="1" t="shared" si="24"/>
        <v>1</v>
      </c>
      <c r="DV34" s="39">
        <f ca="1" t="shared" si="25"/>
        <v>1</v>
      </c>
      <c r="DW34" s="39">
        <f ca="1" t="shared" si="26"/>
        <v>1</v>
      </c>
      <c r="DX34" s="39">
        <f ca="1" t="shared" si="27"/>
        <v>1</v>
      </c>
      <c r="DY34" s="39">
        <f ca="1" t="shared" si="28"/>
        <v>1</v>
      </c>
      <c r="DZ34" s="39">
        <f ca="1" t="shared" si="29"/>
        <v>1</v>
      </c>
      <c r="EA34" s="39">
        <f ca="1" t="shared" si="30"/>
        <v>1</v>
      </c>
      <c r="EB34" s="39">
        <f ca="1" t="shared" si="31"/>
        <v>1</v>
      </c>
      <c r="EC34" s="39">
        <f ca="1" t="shared" si="32"/>
        <v>1</v>
      </c>
      <c r="ED34" s="39">
        <f ca="1" t="shared" si="33"/>
        <v>1</v>
      </c>
      <c r="EE34" s="39">
        <f ca="1" t="shared" si="34"/>
        <v>1</v>
      </c>
      <c r="EF34" s="39">
        <f ca="1" t="shared" si="35"/>
        <v>1</v>
      </c>
      <c r="EG34" s="39">
        <f ca="1" t="shared" si="36"/>
        <v>1</v>
      </c>
      <c r="EH34" s="39">
        <f ca="1" t="shared" si="37"/>
        <v>1</v>
      </c>
      <c r="EI34" s="39">
        <f ca="1" t="shared" si="38"/>
        <v>1</v>
      </c>
      <c r="EJ34" s="39">
        <f ca="1" t="shared" si="39"/>
        <v>1</v>
      </c>
      <c r="EK34" s="39">
        <f ca="1" t="shared" si="40"/>
        <v>1</v>
      </c>
      <c r="EL34" s="39">
        <f ca="1" t="shared" si="41"/>
        <v>1</v>
      </c>
      <c r="EM34" s="39">
        <f ca="1" t="shared" si="42"/>
        <v>1</v>
      </c>
      <c r="EN34" s="39">
        <f ca="1" t="shared" si="43"/>
        <v>1</v>
      </c>
      <c r="EO34" s="39">
        <f ca="1" t="shared" si="44"/>
        <v>1</v>
      </c>
      <c r="EP34" s="39">
        <f ca="1" t="shared" si="45"/>
        <v>1</v>
      </c>
      <c r="EQ34" s="39">
        <f ca="1" t="shared" si="46"/>
        <v>1</v>
      </c>
      <c r="ER34" s="39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8"/>
      <c r="D35" s="58"/>
      <c r="E35" s="59" t="s">
        <v>199</v>
      </c>
      <c r="F35" s="60" t="str">
        <f t="shared" si="62"/>
        <v>Gasoline</v>
      </c>
      <c r="G35" s="58"/>
      <c r="H35" s="59" t="str">
        <f ca="1" t="shared" ref="H35" si="64">IF(SUM(H33:H34)=1,"-","&lt;&gt;1!!")</f>
        <v>-</v>
      </c>
      <c r="I35" s="59" t="str">
        <f ca="1" t="shared" ref="I35:BA35" si="65">IF(SUM(I33:I34)=1,"-","&lt;&gt;1!!")</f>
        <v>-</v>
      </c>
      <c r="J35" s="59" t="str">
        <f ca="1" t="shared" si="65"/>
        <v>-</v>
      </c>
      <c r="K35" s="59" t="str">
        <f ca="1" t="shared" si="65"/>
        <v>-</v>
      </c>
      <c r="L35" s="59" t="str">
        <f ca="1" t="shared" si="65"/>
        <v>-</v>
      </c>
      <c r="M35" s="59" t="str">
        <f ca="1" t="shared" si="65"/>
        <v>-</v>
      </c>
      <c r="N35" s="59" t="str">
        <f ca="1" t="shared" si="65"/>
        <v>-</v>
      </c>
      <c r="O35" s="59" t="str">
        <f ca="1" t="shared" si="65"/>
        <v>-</v>
      </c>
      <c r="P35" s="59" t="str">
        <f ca="1" t="shared" si="65"/>
        <v>-</v>
      </c>
      <c r="Q35" s="59" t="str">
        <f ca="1" t="shared" si="65"/>
        <v>-</v>
      </c>
      <c r="R35" s="59" t="str">
        <f ca="1" t="shared" si="65"/>
        <v>-</v>
      </c>
      <c r="S35" s="59" t="str">
        <f ca="1" t="shared" si="65"/>
        <v>-</v>
      </c>
      <c r="T35" s="59" t="str">
        <f ca="1" t="shared" si="65"/>
        <v>-</v>
      </c>
      <c r="U35" s="59" t="str">
        <f ca="1" t="shared" si="65"/>
        <v>-</v>
      </c>
      <c r="V35" s="59" t="str">
        <f ca="1" t="shared" si="65"/>
        <v>-</v>
      </c>
      <c r="W35" s="59" t="str">
        <f ca="1" t="shared" si="65"/>
        <v>-</v>
      </c>
      <c r="X35" s="59" t="str">
        <f ca="1" t="shared" si="65"/>
        <v>-</v>
      </c>
      <c r="Y35" s="59" t="str">
        <f ca="1" t="shared" si="65"/>
        <v>-</v>
      </c>
      <c r="Z35" s="59" t="str">
        <f ca="1" t="shared" si="65"/>
        <v>-</v>
      </c>
      <c r="AA35" s="59" t="str">
        <f ca="1" t="shared" si="65"/>
        <v>-</v>
      </c>
      <c r="AB35" s="59" t="str">
        <f ca="1" t="shared" si="65"/>
        <v>-</v>
      </c>
      <c r="AC35" s="59" t="str">
        <f ca="1" t="shared" si="65"/>
        <v>-</v>
      </c>
      <c r="AD35" s="59" t="str">
        <f ca="1" t="shared" si="65"/>
        <v>-</v>
      </c>
      <c r="AE35" s="59" t="str">
        <f ca="1" t="shared" si="65"/>
        <v>-</v>
      </c>
      <c r="AF35" s="59" t="str">
        <f ca="1" t="shared" si="65"/>
        <v>-</v>
      </c>
      <c r="AG35" s="59" t="str">
        <f ca="1" t="shared" si="65"/>
        <v>-</v>
      </c>
      <c r="AH35" s="59" t="str">
        <f ca="1" t="shared" si="65"/>
        <v>-</v>
      </c>
      <c r="AI35" s="59" t="str">
        <f ca="1" t="shared" si="65"/>
        <v>-</v>
      </c>
      <c r="AJ35" s="59" t="str">
        <f ca="1" t="shared" si="65"/>
        <v>-</v>
      </c>
      <c r="AK35" s="59" t="str">
        <f ca="1" t="shared" si="65"/>
        <v>-</v>
      </c>
      <c r="AL35" s="59" t="str">
        <f ca="1" t="shared" si="65"/>
        <v>-</v>
      </c>
      <c r="AM35" s="59" t="str">
        <f ca="1" t="shared" si="65"/>
        <v>-</v>
      </c>
      <c r="AN35" s="59" t="str">
        <f ca="1" t="shared" si="65"/>
        <v>-</v>
      </c>
      <c r="AO35" s="59" t="str">
        <f ca="1" t="shared" si="65"/>
        <v>-</v>
      </c>
      <c r="AP35" s="59" t="str">
        <f ca="1" t="shared" si="65"/>
        <v>-</v>
      </c>
      <c r="AQ35" s="59" t="str">
        <f ca="1" t="shared" si="65"/>
        <v>-</v>
      </c>
      <c r="AR35" s="59" t="str">
        <f ca="1" t="shared" si="65"/>
        <v>-</v>
      </c>
      <c r="AS35" s="59" t="str">
        <f ca="1" t="shared" si="65"/>
        <v>-</v>
      </c>
      <c r="AT35" s="59" t="str">
        <f ca="1" t="shared" si="65"/>
        <v>-</v>
      </c>
      <c r="AU35" s="59" t="str">
        <f ca="1" t="shared" si="65"/>
        <v>-</v>
      </c>
      <c r="AV35" s="59" t="str">
        <f ca="1" t="shared" si="65"/>
        <v>-</v>
      </c>
      <c r="AW35" s="59" t="str">
        <f ca="1" t="shared" si="65"/>
        <v>-</v>
      </c>
      <c r="AX35" s="59" t="str">
        <f ca="1" t="shared" si="65"/>
        <v>-</v>
      </c>
      <c r="AY35" s="59" t="str">
        <f ca="1" t="shared" si="65"/>
        <v>-</v>
      </c>
      <c r="AZ35" s="59" t="str">
        <f ca="1" t="shared" si="65"/>
        <v>-</v>
      </c>
      <c r="BA35" s="59" t="str">
        <f ca="1" t="shared" si="65"/>
        <v>-</v>
      </c>
      <c r="BD35" s="40" t="str">
        <f ca="1">IFERROR(SUMIFS('TRA balance'!E$5:E$40,'TRA balance'!$C$5:$C$40,Assumptions!$C35,'TRA balance'!$D$5:$D$40,Assumptions!$B35)*CY35*H35,"")</f>
        <v/>
      </c>
      <c r="BE35" s="40" t="str">
        <f ca="1">IFERROR(SUMIFS('TRA balance'!F$5:F$40,'TRA balance'!$C$5:$C$40,Assumptions!$C35,'TRA balance'!$D$5:$D$40,Assumptions!$B35)*CZ35*I35,"")</f>
        <v/>
      </c>
      <c r="BF35" s="40" t="str">
        <f ca="1">IFERROR(SUMIFS('TRA balance'!G$5:G$40,'TRA balance'!$C$5:$C$40,Assumptions!$C35,'TRA balance'!$D$5:$D$40,Assumptions!$B35)*DA35*J35,"")</f>
        <v/>
      </c>
      <c r="BG35" s="40" t="str">
        <f ca="1">IFERROR(SUMIFS('TRA balance'!H$5:H$40,'TRA balance'!$C$5:$C$40,Assumptions!$C35,'TRA balance'!$D$5:$D$40,Assumptions!$B35)*DB35*K35,"")</f>
        <v/>
      </c>
      <c r="BH35" s="40" t="str">
        <f ca="1">IFERROR(SUMIFS('TRA balance'!I$5:I$40,'TRA balance'!$C$5:$C$40,Assumptions!$C35,'TRA balance'!$D$5:$D$40,Assumptions!$B35)*DC35*L35,"")</f>
        <v/>
      </c>
      <c r="BI35" s="40" t="str">
        <f ca="1">IFERROR(SUMIFS('TRA balance'!J$5:J$40,'TRA balance'!$C$5:$C$40,Assumptions!$C35,'TRA balance'!$D$5:$D$40,Assumptions!$B35)*DD35*M35,"")</f>
        <v/>
      </c>
      <c r="BJ35" s="40" t="str">
        <f ca="1">IFERROR(SUMIFS('TRA balance'!K$5:K$40,'TRA balance'!$C$5:$C$40,Assumptions!$C35,'TRA balance'!$D$5:$D$40,Assumptions!$B35)*DE35*N35,"")</f>
        <v/>
      </c>
      <c r="BK35" s="40" t="str">
        <f ca="1">IFERROR(SUMIFS('TRA balance'!L$5:L$40,'TRA balance'!$C$5:$C$40,Assumptions!$C35,'TRA balance'!$D$5:$D$40,Assumptions!$B35)*DF35*O35,"")</f>
        <v/>
      </c>
      <c r="BL35" s="40" t="str">
        <f ca="1">IFERROR(SUMIFS('TRA balance'!M$5:M$40,'TRA balance'!$C$5:$C$40,Assumptions!$C35,'TRA balance'!$D$5:$D$40,Assumptions!$B35)*DG35*P35,"")</f>
        <v/>
      </c>
      <c r="BM35" s="40" t="str">
        <f ca="1">IFERROR(SUMIFS('TRA balance'!N$5:N$40,'TRA balance'!$C$5:$C$40,Assumptions!$C35,'TRA balance'!$D$5:$D$40,Assumptions!$B35)*DH35*Q35,"")</f>
        <v/>
      </c>
      <c r="BN35" s="40" t="str">
        <f ca="1">IFERROR(SUMIFS('TRA balance'!O$5:O$40,'TRA balance'!$C$5:$C$40,Assumptions!$C35,'TRA balance'!$D$5:$D$40,Assumptions!$B35)*DI35*R35,"")</f>
        <v/>
      </c>
      <c r="BO35" s="40" t="str">
        <f ca="1">IFERROR(SUMIFS('TRA balance'!P$5:P$40,'TRA balance'!$C$5:$C$40,Assumptions!$C35,'TRA balance'!$D$5:$D$40,Assumptions!$B35)*DJ35*S35,"")</f>
        <v/>
      </c>
      <c r="BP35" s="40" t="str">
        <f ca="1">IFERROR(SUMIFS('TRA balance'!Q$5:Q$40,'TRA balance'!$C$5:$C$40,Assumptions!$C35,'TRA balance'!$D$5:$D$40,Assumptions!$B35)*DK35*T35,"")</f>
        <v/>
      </c>
      <c r="BQ35" s="40" t="str">
        <f ca="1">IFERROR(SUMIFS('TRA balance'!R$5:R$40,'TRA balance'!$C$5:$C$40,Assumptions!$C35,'TRA balance'!$D$5:$D$40,Assumptions!$B35)*DL35*U35,"")</f>
        <v/>
      </c>
      <c r="BR35" s="40" t="str">
        <f ca="1">IFERROR(SUMIFS('TRA balance'!S$5:S$40,'TRA balance'!$C$5:$C$40,Assumptions!$C35,'TRA balance'!$D$5:$D$40,Assumptions!$B35)*DM35*V35,"")</f>
        <v/>
      </c>
      <c r="BS35" s="40" t="str">
        <f ca="1">IFERROR(SUMIFS('TRA balance'!T$5:T$40,'TRA balance'!$C$5:$C$40,Assumptions!$C35,'TRA balance'!$D$5:$D$40,Assumptions!$B35)*DN35*W35,"")</f>
        <v/>
      </c>
      <c r="BT35" s="40" t="str">
        <f ca="1">IFERROR(SUMIFS('TRA balance'!U$5:U$40,'TRA balance'!$C$5:$C$40,Assumptions!$C35,'TRA balance'!$D$5:$D$40,Assumptions!$B35)*DO35*X35,"")</f>
        <v/>
      </c>
      <c r="BU35" s="40" t="str">
        <f ca="1">IFERROR(SUMIFS('TRA balance'!V$5:V$40,'TRA balance'!$C$5:$C$40,Assumptions!$C35,'TRA balance'!$D$5:$D$40,Assumptions!$B35)*DP35*Y35,"")</f>
        <v/>
      </c>
      <c r="BV35" s="40" t="str">
        <f ca="1">IFERROR(SUMIFS('TRA balance'!W$5:W$40,'TRA balance'!$C$5:$C$40,Assumptions!$C35,'TRA balance'!$D$5:$D$40,Assumptions!$B35)*DQ35*Z35,"")</f>
        <v/>
      </c>
      <c r="BW35" s="40" t="str">
        <f ca="1">IFERROR(SUMIFS('TRA balance'!X$5:X$40,'TRA balance'!$C$5:$C$40,Assumptions!$C35,'TRA balance'!$D$5:$D$40,Assumptions!$B35)*DR35*AA35,"")</f>
        <v/>
      </c>
      <c r="BX35" s="40" t="str">
        <f ca="1">IFERROR(SUMIFS('TRA balance'!Y$5:Y$40,'TRA balance'!$C$5:$C$40,Assumptions!$C35,'TRA balance'!$D$5:$D$40,Assumptions!$B35)*DS35*AB35,"")</f>
        <v/>
      </c>
      <c r="BY35" s="40" t="str">
        <f ca="1">IFERROR(SUMIFS('TRA balance'!Z$5:Z$40,'TRA balance'!$C$5:$C$40,Assumptions!$C35,'TRA balance'!$D$5:$D$40,Assumptions!$B35)*DT35*AC35,"")</f>
        <v/>
      </c>
      <c r="BZ35" s="40" t="str">
        <f ca="1">IFERROR(SUMIFS('TRA balance'!AA$5:AA$40,'TRA balance'!$C$5:$C$40,Assumptions!$C35,'TRA balance'!$D$5:$D$40,Assumptions!$B35)*DU35*AD35,"")</f>
        <v/>
      </c>
      <c r="CA35" s="40" t="str">
        <f ca="1">IFERROR(SUMIFS('TRA balance'!AB$5:AB$40,'TRA balance'!$C$5:$C$40,Assumptions!$C35,'TRA balance'!$D$5:$D$40,Assumptions!$B35)*DV35*AE35,"")</f>
        <v/>
      </c>
      <c r="CB35" s="40" t="str">
        <f ca="1">IFERROR(SUMIFS('TRA balance'!AC$5:AC$40,'TRA balance'!$C$5:$C$40,Assumptions!$C35,'TRA balance'!$D$5:$D$40,Assumptions!$B35)*DW35*AF35,"")</f>
        <v/>
      </c>
      <c r="CC35" s="40" t="str">
        <f ca="1">IFERROR(SUMIFS('TRA balance'!AD$5:AD$40,'TRA balance'!$C$5:$C$40,Assumptions!$C35,'TRA balance'!$D$5:$D$40,Assumptions!$B35)*DX35*AG35,"")</f>
        <v/>
      </c>
      <c r="CD35" s="40" t="str">
        <f ca="1">IFERROR(SUMIFS('TRA balance'!AE$5:AE$40,'TRA balance'!$C$5:$C$40,Assumptions!$C35,'TRA balance'!$D$5:$D$40,Assumptions!$B35)*DY35*AH35,"")</f>
        <v/>
      </c>
      <c r="CE35" s="40" t="str">
        <f ca="1">IFERROR(SUMIFS('TRA balance'!AF$5:AF$40,'TRA balance'!$C$5:$C$40,Assumptions!$C35,'TRA balance'!$D$5:$D$40,Assumptions!$B35)*DZ35*AI35,"")</f>
        <v/>
      </c>
      <c r="CF35" s="40" t="str">
        <f ca="1">IFERROR(SUMIFS('TRA balance'!AG$5:AG$40,'TRA balance'!$C$5:$C$40,Assumptions!$C35,'TRA balance'!$D$5:$D$40,Assumptions!$B35)*EA35*AJ35,"")</f>
        <v/>
      </c>
      <c r="CG35" s="40" t="str">
        <f ca="1">IFERROR(SUMIFS('TRA balance'!AH$5:AH$40,'TRA balance'!$C$5:$C$40,Assumptions!$C35,'TRA balance'!$D$5:$D$40,Assumptions!$B35)*EB35*AK35,"")</f>
        <v/>
      </c>
      <c r="CH35" s="40" t="str">
        <f ca="1">IFERROR(SUMIFS('TRA balance'!AI$5:AI$40,'TRA balance'!$C$5:$C$40,Assumptions!$C35,'TRA balance'!$D$5:$D$40,Assumptions!$B35)*EC35*AL35,"")</f>
        <v/>
      </c>
      <c r="CI35" s="40" t="str">
        <f ca="1">IFERROR(SUMIFS('TRA balance'!AJ$5:AJ$40,'TRA balance'!$C$5:$C$40,Assumptions!$C35,'TRA balance'!$D$5:$D$40,Assumptions!$B35)*ED35*AM35,"")</f>
        <v/>
      </c>
      <c r="CJ35" s="40" t="str">
        <f ca="1">IFERROR(SUMIFS('TRA balance'!AK$5:AK$40,'TRA balance'!$C$5:$C$40,Assumptions!$C35,'TRA balance'!$D$5:$D$40,Assumptions!$B35)*EE35*AN35,"")</f>
        <v/>
      </c>
      <c r="CK35" s="40" t="str">
        <f ca="1">IFERROR(SUMIFS('TRA balance'!AL$5:AL$40,'TRA balance'!$C$5:$C$40,Assumptions!$C35,'TRA balance'!$D$5:$D$40,Assumptions!$B35)*EF35*AO35,"")</f>
        <v/>
      </c>
      <c r="CL35" s="40" t="str">
        <f ca="1">IFERROR(SUMIFS('TRA balance'!AM$5:AM$40,'TRA balance'!$C$5:$C$40,Assumptions!$C35,'TRA balance'!$D$5:$D$40,Assumptions!$B35)*EG35*AP35,"")</f>
        <v/>
      </c>
      <c r="CM35" s="40" t="str">
        <f ca="1">IFERROR(SUMIFS('TRA balance'!AN$5:AN$40,'TRA balance'!$C$5:$C$40,Assumptions!$C35,'TRA balance'!$D$5:$D$40,Assumptions!$B35)*EH35*AQ35,"")</f>
        <v/>
      </c>
      <c r="CN35" s="40" t="str">
        <f ca="1">IFERROR(SUMIFS('TRA balance'!AO$5:AO$40,'TRA balance'!$C$5:$C$40,Assumptions!$C35,'TRA balance'!$D$5:$D$40,Assumptions!$B35)*EI35*AR35,"")</f>
        <v/>
      </c>
      <c r="CO35" s="40" t="str">
        <f ca="1">IFERROR(SUMIFS('TRA balance'!AP$5:AP$40,'TRA balance'!$C$5:$C$40,Assumptions!$C35,'TRA balance'!$D$5:$D$40,Assumptions!$B35)*EJ35*AS35,"")</f>
        <v/>
      </c>
      <c r="CP35" s="40" t="str">
        <f ca="1">IFERROR(SUMIFS('TRA balance'!AQ$5:AQ$40,'TRA balance'!$C$5:$C$40,Assumptions!$C35,'TRA balance'!$D$5:$D$40,Assumptions!$B35)*EK35*AT35,"")</f>
        <v/>
      </c>
      <c r="CQ35" s="40" t="str">
        <f ca="1">IFERROR(SUMIFS('TRA balance'!AR$5:AR$40,'TRA balance'!$C$5:$C$40,Assumptions!$C35,'TRA balance'!$D$5:$D$40,Assumptions!$B35)*EL35*AU35,"")</f>
        <v/>
      </c>
      <c r="CR35" s="40" t="str">
        <f ca="1">IFERROR(SUMIFS('TRA balance'!AS$5:AS$40,'TRA balance'!$C$5:$C$40,Assumptions!$C35,'TRA balance'!$D$5:$D$40,Assumptions!$B35)*EM35*AV35,"")</f>
        <v/>
      </c>
      <c r="CS35" s="40" t="str">
        <f ca="1">IFERROR(SUMIFS('TRA balance'!AT$5:AT$40,'TRA balance'!$C$5:$C$40,Assumptions!$C35,'TRA balance'!$D$5:$D$40,Assumptions!$B35)*EN35*AW35,"")</f>
        <v/>
      </c>
      <c r="CT35" s="40" t="str">
        <f ca="1">IFERROR(SUMIFS('TRA balance'!AU$5:AU$40,'TRA balance'!$C$5:$C$40,Assumptions!$C35,'TRA balance'!$D$5:$D$40,Assumptions!$B35)*EO35*AX35,"")</f>
        <v/>
      </c>
      <c r="CU35" s="40" t="str">
        <f ca="1">IFERROR(SUMIFS('TRA balance'!AV$5:AV$40,'TRA balance'!$C$5:$C$40,Assumptions!$C35,'TRA balance'!$D$5:$D$40,Assumptions!$B35)*EP35*AY35,"")</f>
        <v/>
      </c>
      <c r="CV35" s="40" t="str">
        <f ca="1">IFERROR(SUMIFS('TRA balance'!AW$5:AW$40,'TRA balance'!$C$5:$C$40,Assumptions!$C35,'TRA balance'!$D$5:$D$40,Assumptions!$B35)*EQ35*AZ35,"")</f>
        <v/>
      </c>
      <c r="CW35" s="40" t="str">
        <f ca="1">IFERROR(SUMIFS('TRA balance'!AX$5:AX$40,'TRA balance'!$C$5:$C$40,Assumptions!$C35,'TRA balance'!$D$5:$D$40,Assumptions!$B35)*ER35*BA35,"")</f>
        <v/>
      </c>
      <c r="CY35" s="39">
        <f ca="1" t="shared" ref="CY35:CY66" si="66">IF($C35="TR",SUMIFS(H$3:H$103,$B$3:$B$103,$B35,$C$3:$C$103,$A35),1)</f>
        <v>1</v>
      </c>
      <c r="CZ35" s="39">
        <f ca="1" t="shared" si="3"/>
        <v>1</v>
      </c>
      <c r="DA35" s="39">
        <f ca="1" t="shared" si="4"/>
        <v>1</v>
      </c>
      <c r="DB35" s="39">
        <f ca="1" t="shared" si="5"/>
        <v>1</v>
      </c>
      <c r="DC35" s="39">
        <f ca="1" t="shared" si="6"/>
        <v>1</v>
      </c>
      <c r="DD35" s="39">
        <f ca="1" t="shared" si="7"/>
        <v>1</v>
      </c>
      <c r="DE35" s="39">
        <f ca="1" t="shared" si="8"/>
        <v>1</v>
      </c>
      <c r="DF35" s="39">
        <f ca="1" t="shared" si="9"/>
        <v>1</v>
      </c>
      <c r="DG35" s="39">
        <f ca="1" t="shared" si="10"/>
        <v>1</v>
      </c>
      <c r="DH35" s="39">
        <f ca="1" t="shared" si="11"/>
        <v>1</v>
      </c>
      <c r="DI35" s="39">
        <f ca="1" t="shared" si="12"/>
        <v>1</v>
      </c>
      <c r="DJ35" s="39">
        <f ca="1" t="shared" si="13"/>
        <v>1</v>
      </c>
      <c r="DK35" s="39">
        <f ca="1" t="shared" si="14"/>
        <v>1</v>
      </c>
      <c r="DL35" s="39">
        <f ca="1" t="shared" si="15"/>
        <v>1</v>
      </c>
      <c r="DM35" s="39">
        <f ca="1" t="shared" si="16"/>
        <v>1</v>
      </c>
      <c r="DN35" s="39">
        <f ca="1" t="shared" si="17"/>
        <v>1</v>
      </c>
      <c r="DO35" s="39">
        <f ca="1" t="shared" si="18"/>
        <v>1</v>
      </c>
      <c r="DP35" s="39">
        <f ca="1" t="shared" si="19"/>
        <v>1</v>
      </c>
      <c r="DQ35" s="39">
        <f ca="1" t="shared" si="20"/>
        <v>1</v>
      </c>
      <c r="DR35" s="39">
        <f ca="1" t="shared" si="21"/>
        <v>1</v>
      </c>
      <c r="DS35" s="39">
        <f ca="1" t="shared" si="22"/>
        <v>1</v>
      </c>
      <c r="DT35" s="39">
        <f ca="1" t="shared" si="23"/>
        <v>1</v>
      </c>
      <c r="DU35" s="39">
        <f ca="1" t="shared" si="24"/>
        <v>1</v>
      </c>
      <c r="DV35" s="39">
        <f ca="1" t="shared" si="25"/>
        <v>1</v>
      </c>
      <c r="DW35" s="39">
        <f ca="1" t="shared" si="26"/>
        <v>1</v>
      </c>
      <c r="DX35" s="39">
        <f ca="1" t="shared" si="27"/>
        <v>1</v>
      </c>
      <c r="DY35" s="39">
        <f ca="1" t="shared" si="28"/>
        <v>1</v>
      </c>
      <c r="DZ35" s="39">
        <f ca="1" t="shared" si="29"/>
        <v>1</v>
      </c>
      <c r="EA35" s="39">
        <f ca="1" t="shared" si="30"/>
        <v>1</v>
      </c>
      <c r="EB35" s="39">
        <f ca="1" t="shared" si="31"/>
        <v>1</v>
      </c>
      <c r="EC35" s="39">
        <f ca="1" t="shared" si="32"/>
        <v>1</v>
      </c>
      <c r="ED35" s="39">
        <f ca="1" t="shared" si="33"/>
        <v>1</v>
      </c>
      <c r="EE35" s="39">
        <f ca="1" t="shared" si="34"/>
        <v>1</v>
      </c>
      <c r="EF35" s="39">
        <f ca="1" t="shared" si="35"/>
        <v>1</v>
      </c>
      <c r="EG35" s="39">
        <f ca="1" t="shared" si="36"/>
        <v>1</v>
      </c>
      <c r="EH35" s="39">
        <f ca="1" t="shared" si="37"/>
        <v>1</v>
      </c>
      <c r="EI35" s="39">
        <f ca="1" t="shared" si="38"/>
        <v>1</v>
      </c>
      <c r="EJ35" s="39">
        <f ca="1" t="shared" si="39"/>
        <v>1</v>
      </c>
      <c r="EK35" s="39">
        <f ca="1" t="shared" si="40"/>
        <v>1</v>
      </c>
      <c r="EL35" s="39">
        <f ca="1" t="shared" si="41"/>
        <v>1</v>
      </c>
      <c r="EM35" s="39">
        <f ca="1" t="shared" si="42"/>
        <v>1</v>
      </c>
      <c r="EN35" s="39">
        <f ca="1" t="shared" si="43"/>
        <v>1</v>
      </c>
      <c r="EO35" s="39">
        <f ca="1" t="shared" si="44"/>
        <v>1</v>
      </c>
      <c r="EP35" s="39">
        <f ca="1" t="shared" si="45"/>
        <v>1</v>
      </c>
      <c r="EQ35" s="39">
        <f ca="1" t="shared" si="46"/>
        <v>1</v>
      </c>
      <c r="ER35" s="39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4" t="str">
        <f t="shared" si="48"/>
        <v>TT</v>
      </c>
      <c r="D36" s="55" t="s">
        <v>192</v>
      </c>
      <c r="E36" s="55" t="s">
        <v>193</v>
      </c>
      <c r="F36" s="56" t="s">
        <v>70</v>
      </c>
      <c r="G36" s="54" t="s">
        <v>194</v>
      </c>
      <c r="H36" s="57">
        <f ca="1">OFFSET(TIAM15_assumptions!$G36,0,MATCH(VLOOKUP(Assumptions!H$2,TIAM15_assumptions!$Y$3:$Z$87,2,FALSE),TIAM15_assumptions!$H$2:$V$2,0))</f>
        <v>0.7</v>
      </c>
      <c r="I36" s="57">
        <f ca="1">OFFSET(TIAM15_assumptions!$G36,0,MATCH(VLOOKUP(Assumptions!I$2,TIAM15_assumptions!$Y$3:$Z$87,2,FALSE),TIAM15_assumptions!$H$2:$V$2,0))</f>
        <v>0.7</v>
      </c>
      <c r="J36" s="57">
        <f ca="1">OFFSET(TIAM15_assumptions!$G36,0,MATCH(VLOOKUP(Assumptions!J$2,TIAM15_assumptions!$Y$3:$Z$87,2,FALSE),TIAM15_assumptions!$H$2:$V$2,0))</f>
        <v>1</v>
      </c>
      <c r="K36" s="57">
        <f ca="1">OFFSET(TIAM15_assumptions!$G36,0,MATCH(VLOOKUP(Assumptions!K$2,TIAM15_assumptions!$Y$3:$Z$87,2,FALSE),TIAM15_assumptions!$H$2:$V$2,0))</f>
        <v>0.9</v>
      </c>
      <c r="L36" s="57">
        <f ca="1">OFFSET(TIAM15_assumptions!$G36,0,MATCH(VLOOKUP(Assumptions!L$2,TIAM15_assumptions!$Y$3:$Z$87,2,FALSE),TIAM15_assumptions!$H$2:$V$2,0))</f>
        <v>0.9</v>
      </c>
      <c r="M36" s="57">
        <f ca="1">OFFSET(TIAM15_assumptions!$G36,0,MATCH(VLOOKUP(Assumptions!M$2,TIAM15_assumptions!$Y$3:$Z$87,2,FALSE),TIAM15_assumptions!$H$2:$V$2,0))</f>
        <v>0.9</v>
      </c>
      <c r="N36" s="57">
        <f ca="1">OFFSET(TIAM15_assumptions!$G36,0,MATCH(VLOOKUP(Assumptions!N$2,TIAM15_assumptions!$Y$3:$Z$87,2,FALSE),TIAM15_assumptions!$H$2:$V$2,0))</f>
        <v>1</v>
      </c>
      <c r="O36" s="57">
        <f ca="1">OFFSET(TIAM15_assumptions!$G36,0,MATCH(VLOOKUP(Assumptions!O$2,TIAM15_assumptions!$Y$3:$Z$87,2,FALSE),TIAM15_assumptions!$H$2:$V$2,0))</f>
        <v>0.6</v>
      </c>
      <c r="P36" s="57">
        <f ca="1">OFFSET(TIAM15_assumptions!$G36,0,MATCH(VLOOKUP(Assumptions!P$2,TIAM15_assumptions!$Y$3:$Z$87,2,FALSE),TIAM15_assumptions!$H$2:$V$2,0))</f>
        <v>0.9</v>
      </c>
      <c r="Q36" s="57">
        <f ca="1">OFFSET(TIAM15_assumptions!$G36,0,MATCH(VLOOKUP(Assumptions!Q$2,TIAM15_assumptions!$Y$3:$Z$87,2,FALSE),TIAM15_assumptions!$H$2:$V$2,0))</f>
        <v>0.9</v>
      </c>
      <c r="R36" s="57">
        <f ca="1">OFFSET(TIAM15_assumptions!$G36,0,MATCH(VLOOKUP(Assumptions!R$2,TIAM15_assumptions!$Y$3:$Z$87,2,FALSE),TIAM15_assumptions!$H$2:$V$2,0))</f>
        <v>0.9</v>
      </c>
      <c r="S36" s="57">
        <f ca="1">OFFSET(TIAM15_assumptions!$G36,0,MATCH(VLOOKUP(Assumptions!S$2,TIAM15_assumptions!$Y$3:$Z$87,2,FALSE),TIAM15_assumptions!$H$2:$V$2,0))</f>
        <v>0.9</v>
      </c>
      <c r="T36" s="57">
        <f ca="1">OFFSET(TIAM15_assumptions!$G36,0,MATCH(VLOOKUP(Assumptions!T$2,TIAM15_assumptions!$Y$3:$Z$87,2,FALSE),TIAM15_assumptions!$H$2:$V$2,0))</f>
        <v>0.9</v>
      </c>
      <c r="U36" s="57">
        <f ca="1">OFFSET(TIAM15_assumptions!$G36,0,MATCH(VLOOKUP(Assumptions!U$2,TIAM15_assumptions!$Y$3:$Z$87,2,FALSE),TIAM15_assumptions!$H$2:$V$2,0))</f>
        <v>0.9</v>
      </c>
      <c r="V36" s="57">
        <f ca="1">OFFSET(TIAM15_assumptions!$G36,0,MATCH(VLOOKUP(Assumptions!V$2,TIAM15_assumptions!$Y$3:$Z$87,2,FALSE),TIAM15_assumptions!$H$2:$V$2,0))</f>
        <v>0.9</v>
      </c>
      <c r="W36" s="57">
        <f ca="1">OFFSET(TIAM15_assumptions!$G36,0,MATCH(VLOOKUP(Assumptions!W$2,TIAM15_assumptions!$Y$3:$Z$87,2,FALSE),TIAM15_assumptions!$H$2:$V$2,0))</f>
        <v>0.5</v>
      </c>
      <c r="X36" s="57">
        <f ca="1">OFFSET(TIAM15_assumptions!$G36,0,MATCH(VLOOKUP(Assumptions!X$2,TIAM15_assumptions!$Y$3:$Z$87,2,FALSE),TIAM15_assumptions!$H$2:$V$2,0))</f>
        <v>0.9</v>
      </c>
      <c r="Y36" s="57">
        <f ca="1">OFFSET(TIAM15_assumptions!$G36,0,MATCH(VLOOKUP(Assumptions!Y$2,TIAM15_assumptions!$Y$3:$Z$87,2,FALSE),TIAM15_assumptions!$H$2:$V$2,0))</f>
        <v>0.9</v>
      </c>
      <c r="Z36" s="57">
        <f ca="1">OFFSET(TIAM15_assumptions!$G36,0,MATCH(VLOOKUP(Assumptions!Z$2,TIAM15_assumptions!$Y$3:$Z$87,2,FALSE),TIAM15_assumptions!$H$2:$V$2,0))</f>
        <v>0.9</v>
      </c>
      <c r="AA36" s="57">
        <f ca="1">OFFSET(TIAM15_assumptions!$G36,0,MATCH(VLOOKUP(Assumptions!AA$2,TIAM15_assumptions!$Y$3:$Z$87,2,FALSE),TIAM15_assumptions!$H$2:$V$2,0))</f>
        <v>1</v>
      </c>
      <c r="AB36" s="57">
        <f ca="1">OFFSET(TIAM15_assumptions!$G36,0,MATCH(VLOOKUP(Assumptions!AB$2,TIAM15_assumptions!$Y$3:$Z$87,2,FALSE),TIAM15_assumptions!$H$2:$V$2,0))</f>
        <v>0.7</v>
      </c>
      <c r="AC36" s="57">
        <f ca="1">OFFSET(TIAM15_assumptions!$G36,0,MATCH(VLOOKUP(Assumptions!AC$2,TIAM15_assumptions!$Y$3:$Z$87,2,FALSE),TIAM15_assumptions!$H$2:$V$2,0))</f>
        <v>0.9</v>
      </c>
      <c r="AD36" s="57">
        <f ca="1">OFFSET(TIAM15_assumptions!$G36,0,MATCH(VLOOKUP(Assumptions!AD$2,TIAM15_assumptions!$Y$3:$Z$87,2,FALSE),TIAM15_assumptions!$H$2:$V$2,0))</f>
        <v>0.9</v>
      </c>
      <c r="AE36" s="57">
        <f ca="1">OFFSET(TIAM15_assumptions!$G36,0,MATCH(VLOOKUP(Assumptions!AE$2,TIAM15_assumptions!$Y$3:$Z$87,2,FALSE),TIAM15_assumptions!$H$2:$V$2,0))</f>
        <v>0.9</v>
      </c>
      <c r="AF36" s="57">
        <f ca="1">OFFSET(TIAM15_assumptions!$G36,0,MATCH(VLOOKUP(Assumptions!AF$2,TIAM15_assumptions!$Y$3:$Z$87,2,FALSE),TIAM15_assumptions!$H$2:$V$2,0))</f>
        <v>0.9</v>
      </c>
      <c r="AG36" s="57">
        <f ca="1">OFFSET(TIAM15_assumptions!$G36,0,MATCH(VLOOKUP(Assumptions!AG$2,TIAM15_assumptions!$Y$3:$Z$87,2,FALSE),TIAM15_assumptions!$H$2:$V$2,0))</f>
        <v>0.9</v>
      </c>
      <c r="AH36" s="57">
        <f ca="1">OFFSET(TIAM15_assumptions!$G36,0,MATCH(VLOOKUP(Assumptions!AH$2,TIAM15_assumptions!$Y$3:$Z$87,2,FALSE),TIAM15_assumptions!$H$2:$V$2,0))</f>
        <v>0.7</v>
      </c>
      <c r="AI36" s="57">
        <f ca="1">OFFSET(TIAM15_assumptions!$G36,0,MATCH(VLOOKUP(Assumptions!AI$2,TIAM15_assumptions!$Y$3:$Z$87,2,FALSE),TIAM15_assumptions!$H$2:$V$2,0))</f>
        <v>0.7</v>
      </c>
      <c r="AJ36" s="57">
        <f ca="1">OFFSET(TIAM15_assumptions!$G36,0,MATCH(VLOOKUP(Assumptions!AJ$2,TIAM15_assumptions!$Y$3:$Z$87,2,FALSE),TIAM15_assumptions!$H$2:$V$2,0))</f>
        <v>0.9</v>
      </c>
      <c r="AK36" s="57">
        <f ca="1">OFFSET(TIAM15_assumptions!$G36,0,MATCH(VLOOKUP(Assumptions!AK$2,TIAM15_assumptions!$Y$3:$Z$87,2,FALSE),TIAM15_assumptions!$H$2:$V$2,0))</f>
        <v>0.9</v>
      </c>
      <c r="AL36" s="57">
        <f ca="1">OFFSET(TIAM15_assumptions!$G36,0,MATCH(VLOOKUP(Assumptions!AL$2,TIAM15_assumptions!$Y$3:$Z$87,2,FALSE),TIAM15_assumptions!$H$2:$V$2,0))</f>
        <v>0.9</v>
      </c>
      <c r="AM36" s="57">
        <f ca="1">OFFSET(TIAM15_assumptions!$G36,0,MATCH(VLOOKUP(Assumptions!AM$2,TIAM15_assumptions!$Y$3:$Z$87,2,FALSE),TIAM15_assumptions!$H$2:$V$2,0))</f>
        <v>0.7</v>
      </c>
      <c r="AN36" s="57">
        <f ca="1">OFFSET(TIAM15_assumptions!$G36,0,MATCH(VLOOKUP(Assumptions!AN$2,TIAM15_assumptions!$Y$3:$Z$87,2,FALSE),TIAM15_assumptions!$H$2:$V$2,0))</f>
        <v>0.9</v>
      </c>
      <c r="AO36" s="57">
        <f ca="1">OFFSET(TIAM15_assumptions!$G36,0,MATCH(VLOOKUP(Assumptions!AO$2,TIAM15_assumptions!$Y$3:$Z$87,2,FALSE),TIAM15_assumptions!$H$2:$V$2,0))</f>
        <v>0.9</v>
      </c>
      <c r="AP36" s="57">
        <f ca="1">OFFSET(TIAM15_assumptions!$G36,0,MATCH(VLOOKUP(Assumptions!AP$2,TIAM15_assumptions!$Y$3:$Z$87,2,FALSE),TIAM15_assumptions!$H$2:$V$2,0))</f>
        <v>0.9</v>
      </c>
      <c r="AQ36" s="57">
        <f ca="1">OFFSET(TIAM15_assumptions!$G36,0,MATCH(VLOOKUP(Assumptions!AQ$2,TIAM15_assumptions!$Y$3:$Z$87,2,FALSE),TIAM15_assumptions!$H$2:$V$2,0))</f>
        <v>0.9</v>
      </c>
      <c r="AR36" s="57">
        <f ca="1">OFFSET(TIAM15_assumptions!$G36,0,MATCH(VLOOKUP(Assumptions!AR$2,TIAM15_assumptions!$Y$3:$Z$87,2,FALSE),TIAM15_assumptions!$H$2:$V$2,0))</f>
        <v>0.9</v>
      </c>
      <c r="AS36" s="57">
        <f ca="1">OFFSET(TIAM15_assumptions!$G36,0,MATCH(VLOOKUP(Assumptions!AS$2,TIAM15_assumptions!$Y$3:$Z$87,2,FALSE),TIAM15_assumptions!$H$2:$V$2,0))</f>
        <v>0.9</v>
      </c>
      <c r="AT36" s="57">
        <f ca="1">OFFSET(TIAM15_assumptions!$G36,0,MATCH(VLOOKUP(Assumptions!AT$2,TIAM15_assumptions!$Y$3:$Z$87,2,FALSE),TIAM15_assumptions!$H$2:$V$2,0))</f>
        <v>0.9</v>
      </c>
      <c r="AU36" s="57">
        <f ca="1">OFFSET(TIAM15_assumptions!$G36,0,MATCH(VLOOKUP(Assumptions!AU$2,TIAM15_assumptions!$Y$3:$Z$87,2,FALSE),TIAM15_assumptions!$H$2:$V$2,0))</f>
        <v>0.9</v>
      </c>
      <c r="AV36" s="57">
        <f ca="1">OFFSET(TIAM15_assumptions!$G36,0,MATCH(VLOOKUP(Assumptions!AV$2,TIAM15_assumptions!$Y$3:$Z$87,2,FALSE),TIAM15_assumptions!$H$2:$V$2,0))</f>
        <v>0.9</v>
      </c>
      <c r="AW36" s="57">
        <f ca="1">OFFSET(TIAM15_assumptions!$G36,0,MATCH(VLOOKUP(Assumptions!AW$2,TIAM15_assumptions!$Y$3:$Z$87,2,FALSE),TIAM15_assumptions!$H$2:$V$2,0))</f>
        <v>0.9</v>
      </c>
      <c r="AX36" s="57">
        <f ca="1">OFFSET(TIAM15_assumptions!$G36,0,MATCH(VLOOKUP(Assumptions!AX$2,TIAM15_assumptions!$Y$3:$Z$87,2,FALSE),TIAM15_assumptions!$H$2:$V$2,0))</f>
        <v>0.9</v>
      </c>
      <c r="AY36" s="57">
        <f ca="1">OFFSET(TIAM15_assumptions!$G36,0,MATCH(VLOOKUP(Assumptions!AY$2,TIAM15_assumptions!$Y$3:$Z$87,2,FALSE),TIAM15_assumptions!$H$2:$V$2,0))</f>
        <v>0.9</v>
      </c>
      <c r="AZ36" s="57">
        <f ca="1">OFFSET(TIAM15_assumptions!$G36,0,MATCH(VLOOKUP(Assumptions!AZ$2,TIAM15_assumptions!$Y$3:$Z$87,2,FALSE),TIAM15_assumptions!$H$2:$V$2,0))</f>
        <v>0.9</v>
      </c>
      <c r="BA36" s="57">
        <f ca="1">OFFSET(TIAM15_assumptions!$G36,0,MATCH(VLOOKUP(Assumptions!BA$2,TIAM15_assumptions!$Y$3:$Z$87,2,FALSE),TIAM15_assumptions!$H$2:$V$2,0))</f>
        <v>0.9</v>
      </c>
      <c r="BD36" s="40">
        <f ca="1">IFERROR(SUMIFS('TRA balance'!E$5:E$40,'TRA balance'!$C$5:$C$40,Assumptions!$C36,'TRA balance'!$D$5:$D$40,Assumptions!$B36)*CY36*H36,"")</f>
        <v>2.96800116732</v>
      </c>
      <c r="BE36" s="40">
        <f ca="1">IFERROR(SUMIFS('TRA balance'!F$5:F$40,'TRA balance'!$C$5:$C$40,Assumptions!$C36,'TRA balance'!$D$5:$D$40,Assumptions!$B36)*CZ36*I36,"")</f>
        <v>0</v>
      </c>
      <c r="BF36" s="40">
        <f ca="1">IFERROR(SUMIFS('TRA balance'!G$5:G$40,'TRA balance'!$C$5:$C$40,Assumptions!$C36,'TRA balance'!$D$5:$D$40,Assumptions!$B36)*DA36*J36,"")</f>
        <v>0.0017040276</v>
      </c>
      <c r="BG36" s="40">
        <f ca="1">IFERROR(SUMIFS('TRA balance'!H$5:H$40,'TRA balance'!$C$5:$C$40,Assumptions!$C36,'TRA balance'!$D$5:$D$40,Assumptions!$B36)*DB36*K36,"")</f>
        <v>0</v>
      </c>
      <c r="BH36" s="40">
        <f ca="1">IFERROR(SUMIFS('TRA balance'!I$5:I$40,'TRA balance'!$C$5:$C$40,Assumptions!$C36,'TRA balance'!$D$5:$D$40,Assumptions!$B36)*DC36*L36,"")</f>
        <v>0</v>
      </c>
      <c r="BI36" s="40">
        <f ca="1">IFERROR(SUMIFS('TRA balance'!J$5:J$40,'TRA balance'!$C$5:$C$40,Assumptions!$C36,'TRA balance'!$D$5:$D$40,Assumptions!$B36)*DD36*M36,"")</f>
        <v>0</v>
      </c>
      <c r="BJ36" s="40">
        <f ca="1">IFERROR(SUMIFS('TRA balance'!K$5:K$40,'TRA balance'!$C$5:$C$40,Assumptions!$C36,'TRA balance'!$D$5:$D$40,Assumptions!$B36)*DE36*N36,"")</f>
        <v>0</v>
      </c>
      <c r="BK36" s="40">
        <f ca="1">IFERROR(SUMIFS('TRA balance'!L$5:L$40,'TRA balance'!$C$5:$C$40,Assumptions!$C36,'TRA balance'!$D$5:$D$40,Assumptions!$B36)*DF36*O36,"")</f>
        <v>0</v>
      </c>
      <c r="BL36" s="40">
        <f ca="1">IFERROR(SUMIFS('TRA balance'!M$5:M$40,'TRA balance'!$C$5:$C$40,Assumptions!$C36,'TRA balance'!$D$5:$D$40,Assumptions!$B36)*DG36*P36,"")</f>
        <v>0</v>
      </c>
      <c r="BM36" s="40">
        <f ca="1">IFERROR(SUMIFS('TRA balance'!N$5:N$40,'TRA balance'!$C$5:$C$40,Assumptions!$C36,'TRA balance'!$D$5:$D$40,Assumptions!$B36)*DH36*Q36,"")</f>
        <v>0</v>
      </c>
      <c r="BN36" s="40">
        <f ca="1">IFERROR(SUMIFS('TRA balance'!O$5:O$40,'TRA balance'!$C$5:$C$40,Assumptions!$C36,'TRA balance'!$D$5:$D$40,Assumptions!$B36)*DI36*R36,"")</f>
        <v>0</v>
      </c>
      <c r="BO36" s="40">
        <f ca="1">IFERROR(SUMIFS('TRA balance'!P$5:P$40,'TRA balance'!$C$5:$C$40,Assumptions!$C36,'TRA balance'!$D$5:$D$40,Assumptions!$B36)*DJ36*S36,"")</f>
        <v>0</v>
      </c>
      <c r="BP36" s="40">
        <f ca="1">IFERROR(SUMIFS('TRA balance'!Q$5:Q$40,'TRA balance'!$C$5:$C$40,Assumptions!$C36,'TRA balance'!$D$5:$D$40,Assumptions!$B36)*DK36*T36,"")</f>
        <v>0</v>
      </c>
      <c r="BQ36" s="40">
        <f ca="1">IFERROR(SUMIFS('TRA balance'!R$5:R$40,'TRA balance'!$C$5:$C$40,Assumptions!$C36,'TRA balance'!$D$5:$D$40,Assumptions!$B36)*DL36*U36,"")</f>
        <v>0</v>
      </c>
      <c r="BR36" s="40">
        <f ca="1">IFERROR(SUMIFS('TRA balance'!S$5:S$40,'TRA balance'!$C$5:$C$40,Assumptions!$C36,'TRA balance'!$D$5:$D$40,Assumptions!$B36)*DM36*V36,"")</f>
        <v>0</v>
      </c>
      <c r="BS36" s="40">
        <f ca="1">IFERROR(SUMIFS('TRA balance'!T$5:T$40,'TRA balance'!$C$5:$C$40,Assumptions!$C36,'TRA balance'!$D$5:$D$40,Assumptions!$B36)*DN36*W36,"")</f>
        <v>0</v>
      </c>
      <c r="BT36" s="40">
        <f ca="1">IFERROR(SUMIFS('TRA balance'!U$5:U$40,'TRA balance'!$C$5:$C$40,Assumptions!$C36,'TRA balance'!$D$5:$D$40,Assumptions!$B36)*DO36*X36,"")</f>
        <v>0</v>
      </c>
      <c r="BU36" s="40">
        <f ca="1">IFERROR(SUMIFS('TRA balance'!V$5:V$40,'TRA balance'!$C$5:$C$40,Assumptions!$C36,'TRA balance'!$D$5:$D$40,Assumptions!$B36)*DP36*Y36,"")</f>
        <v>0</v>
      </c>
      <c r="BV36" s="40">
        <f ca="1">IFERROR(SUMIFS('TRA balance'!W$5:W$40,'TRA balance'!$C$5:$C$40,Assumptions!$C36,'TRA balance'!$D$5:$D$40,Assumptions!$B36)*DQ36*Z36,"")</f>
        <v>0</v>
      </c>
      <c r="BW36" s="40">
        <f ca="1">IFERROR(SUMIFS('TRA balance'!X$5:X$40,'TRA balance'!$C$5:$C$40,Assumptions!$C36,'TRA balance'!$D$5:$D$40,Assumptions!$B36)*DR36*AA36,"")</f>
        <v>0</v>
      </c>
      <c r="BX36" s="40">
        <f ca="1">IFERROR(SUMIFS('TRA balance'!Y$5:Y$40,'TRA balance'!$C$5:$C$40,Assumptions!$C36,'TRA balance'!$D$5:$D$40,Assumptions!$B36)*DS36*AB36,"")</f>
        <v>0</v>
      </c>
      <c r="BY36" s="40">
        <f ca="1">IFERROR(SUMIFS('TRA balance'!Z$5:Z$40,'TRA balance'!$C$5:$C$40,Assumptions!$C36,'TRA balance'!$D$5:$D$40,Assumptions!$B36)*DT36*AC36,"")</f>
        <v>0</v>
      </c>
      <c r="BZ36" s="40">
        <f ca="1">IFERROR(SUMIFS('TRA balance'!AA$5:AA$40,'TRA balance'!$C$5:$C$40,Assumptions!$C36,'TRA balance'!$D$5:$D$40,Assumptions!$B36)*DU36*AD36,"")</f>
        <v>0</v>
      </c>
      <c r="CA36" s="40">
        <f ca="1">IFERROR(SUMIFS('TRA balance'!AB$5:AB$40,'TRA balance'!$C$5:$C$40,Assumptions!$C36,'TRA balance'!$D$5:$D$40,Assumptions!$B36)*DV36*AE36,"")</f>
        <v>0</v>
      </c>
      <c r="CB36" s="40">
        <f ca="1">IFERROR(SUMIFS('TRA balance'!AC$5:AC$40,'TRA balance'!$C$5:$C$40,Assumptions!$C36,'TRA balance'!$D$5:$D$40,Assumptions!$B36)*DW36*AF36,"")</f>
        <v>0.02007277524</v>
      </c>
      <c r="CC36" s="40">
        <f ca="1">IFERROR(SUMIFS('TRA balance'!AD$5:AD$40,'TRA balance'!$C$5:$C$40,Assumptions!$C36,'TRA balance'!$D$5:$D$40,Assumptions!$B36)*DX36*AG36,"")</f>
        <v>0.07847863524</v>
      </c>
      <c r="CD36" s="40">
        <f ca="1">IFERROR(SUMIFS('TRA balance'!AE$5:AE$40,'TRA balance'!$C$5:$C$40,Assumptions!$C36,'TRA balance'!$D$5:$D$40,Assumptions!$B36)*DY36*AH36,"")</f>
        <v>0</v>
      </c>
      <c r="CE36" s="40">
        <f ca="1">IFERROR(SUMIFS('TRA balance'!AF$5:AF$40,'TRA balance'!$C$5:$C$40,Assumptions!$C36,'TRA balance'!$D$5:$D$40,Assumptions!$B36)*DZ36*AI36,"")</f>
        <v>2.16319102524</v>
      </c>
      <c r="CF36" s="40">
        <f ca="1">IFERROR(SUMIFS('TRA balance'!AG$5:AG$40,'TRA balance'!$C$5:$C$40,Assumptions!$C36,'TRA balance'!$D$5:$D$40,Assumptions!$B36)*EA36*AJ36,"")</f>
        <v>0</v>
      </c>
      <c r="CG36" s="40">
        <f ca="1">IFERROR(SUMIFS('TRA balance'!AH$5:AH$40,'TRA balance'!$C$5:$C$40,Assumptions!$C36,'TRA balance'!$D$5:$D$40,Assumptions!$B36)*EB36*AK36,"")</f>
        <v>0</v>
      </c>
      <c r="CH36" s="40">
        <f ca="1">IFERROR(SUMIFS('TRA balance'!AI$5:AI$40,'TRA balance'!$C$5:$C$40,Assumptions!$C36,'TRA balance'!$D$5:$D$40,Assumptions!$B36)*EC36*AL36,"")</f>
        <v>0</v>
      </c>
      <c r="CI36" s="40">
        <f ca="1">IFERROR(SUMIFS('TRA balance'!AJ$5:AJ$40,'TRA balance'!$C$5:$C$40,Assumptions!$C36,'TRA balance'!$D$5:$D$40,Assumptions!$B36)*ED36*AM36,"")</f>
        <v>0</v>
      </c>
      <c r="CJ36" s="40">
        <f ca="1">IFERROR(SUMIFS('TRA balance'!AK$5:AK$40,'TRA balance'!$C$5:$C$40,Assumptions!$C36,'TRA balance'!$D$5:$D$40,Assumptions!$B36)*EE36*AN36,"")</f>
        <v>0</v>
      </c>
      <c r="CK36" s="40">
        <f ca="1">IFERROR(SUMIFS('TRA balance'!AL$5:AL$40,'TRA balance'!$C$5:$C$40,Assumptions!$C36,'TRA balance'!$D$5:$D$40,Assumptions!$B36)*EF36*AO36,"")</f>
        <v>0</v>
      </c>
      <c r="CL36" s="40">
        <f ca="1">IFERROR(SUMIFS('TRA balance'!AM$5:AM$40,'TRA balance'!$C$5:$C$40,Assumptions!$C36,'TRA balance'!$D$5:$D$40,Assumptions!$B36)*EG36*AP36,"")</f>
        <v>0</v>
      </c>
      <c r="CM36" s="40">
        <f ca="1">IFERROR(SUMIFS('TRA balance'!AN$5:AN$40,'TRA balance'!$C$5:$C$40,Assumptions!$C36,'TRA balance'!$D$5:$D$40,Assumptions!$B36)*EH36*AQ36,"")</f>
        <v>0</v>
      </c>
      <c r="CN36" s="40">
        <f ca="1">IFERROR(SUMIFS('TRA balance'!AO$5:AO$40,'TRA balance'!$C$5:$C$40,Assumptions!$C36,'TRA balance'!$D$5:$D$40,Assumptions!$B36)*EI36*AR36,"")</f>
        <v>0</v>
      </c>
      <c r="CO36" s="40">
        <f ca="1">IFERROR(SUMIFS('TRA balance'!AP$5:AP$40,'TRA balance'!$C$5:$C$40,Assumptions!$C36,'TRA balance'!$D$5:$D$40,Assumptions!$B36)*EJ36*AS36,"")</f>
        <v>0</v>
      </c>
      <c r="CP36" s="40">
        <f ca="1">IFERROR(SUMIFS('TRA balance'!AQ$5:AQ$40,'TRA balance'!$C$5:$C$40,Assumptions!$C36,'TRA balance'!$D$5:$D$40,Assumptions!$B36)*EK36*AT36,"")</f>
        <v>0</v>
      </c>
      <c r="CQ36" s="40">
        <f ca="1">IFERROR(SUMIFS('TRA balance'!AR$5:AR$40,'TRA balance'!$C$5:$C$40,Assumptions!$C36,'TRA balance'!$D$5:$D$40,Assumptions!$B36)*EL36*AU36,"")</f>
        <v>0</v>
      </c>
      <c r="CR36" s="40">
        <f ca="1">IFERROR(SUMIFS('TRA balance'!AS$5:AS$40,'TRA balance'!$C$5:$C$40,Assumptions!$C36,'TRA balance'!$D$5:$D$40,Assumptions!$B36)*EM36*AV36,"")</f>
        <v>0</v>
      </c>
      <c r="CS36" s="40">
        <f ca="1">IFERROR(SUMIFS('TRA balance'!AT$5:AT$40,'TRA balance'!$C$5:$C$40,Assumptions!$C36,'TRA balance'!$D$5:$D$40,Assumptions!$B36)*EN36*AW36,"")</f>
        <v>0</v>
      </c>
      <c r="CT36" s="40">
        <f ca="1">IFERROR(SUMIFS('TRA balance'!AU$5:AU$40,'TRA balance'!$C$5:$C$40,Assumptions!$C36,'TRA balance'!$D$5:$D$40,Assumptions!$B36)*EO36*AX36,"")</f>
        <v>0</v>
      </c>
      <c r="CU36" s="40">
        <f ca="1">IFERROR(SUMIFS('TRA balance'!AV$5:AV$40,'TRA balance'!$C$5:$C$40,Assumptions!$C36,'TRA balance'!$D$5:$D$40,Assumptions!$B36)*EP36*AY36,"")</f>
        <v>0</v>
      </c>
      <c r="CV36" s="40">
        <f ca="1">IFERROR(SUMIFS('TRA balance'!AW$5:AW$40,'TRA balance'!$C$5:$C$40,Assumptions!$C36,'TRA balance'!$D$5:$D$40,Assumptions!$B36)*EQ36*AZ36,"")</f>
        <v>0</v>
      </c>
      <c r="CW36" s="40">
        <f ca="1">IFERROR(SUMIFS('TRA balance'!AX$5:AX$40,'TRA balance'!$C$5:$C$40,Assumptions!$C36,'TRA balance'!$D$5:$D$40,Assumptions!$B36)*ER36*BA36,"")</f>
        <v>0</v>
      </c>
      <c r="CY36" s="39">
        <f ca="1" t="shared" si="66"/>
        <v>1</v>
      </c>
      <c r="CZ36" s="39">
        <f ca="1" t="shared" si="3"/>
        <v>1</v>
      </c>
      <c r="DA36" s="39">
        <f ca="1" t="shared" si="4"/>
        <v>1</v>
      </c>
      <c r="DB36" s="39">
        <f ca="1" t="shared" si="5"/>
        <v>1</v>
      </c>
      <c r="DC36" s="39">
        <f ca="1" t="shared" si="6"/>
        <v>1</v>
      </c>
      <c r="DD36" s="39">
        <f ca="1" t="shared" si="7"/>
        <v>1</v>
      </c>
      <c r="DE36" s="39">
        <f ca="1" t="shared" si="8"/>
        <v>1</v>
      </c>
      <c r="DF36" s="39">
        <f ca="1" t="shared" si="9"/>
        <v>1</v>
      </c>
      <c r="DG36" s="39">
        <f ca="1" t="shared" si="10"/>
        <v>1</v>
      </c>
      <c r="DH36" s="39">
        <f ca="1" t="shared" si="11"/>
        <v>1</v>
      </c>
      <c r="DI36" s="39">
        <f ca="1" t="shared" si="12"/>
        <v>1</v>
      </c>
      <c r="DJ36" s="39">
        <f ca="1" t="shared" si="13"/>
        <v>1</v>
      </c>
      <c r="DK36" s="39">
        <f ca="1" t="shared" si="14"/>
        <v>1</v>
      </c>
      <c r="DL36" s="39">
        <f ca="1" t="shared" si="15"/>
        <v>1</v>
      </c>
      <c r="DM36" s="39">
        <f ca="1" t="shared" si="16"/>
        <v>1</v>
      </c>
      <c r="DN36" s="39">
        <f ca="1" t="shared" si="17"/>
        <v>1</v>
      </c>
      <c r="DO36" s="39">
        <f ca="1" t="shared" si="18"/>
        <v>1</v>
      </c>
      <c r="DP36" s="39">
        <f ca="1" t="shared" si="19"/>
        <v>1</v>
      </c>
      <c r="DQ36" s="39">
        <f ca="1" t="shared" si="20"/>
        <v>1</v>
      </c>
      <c r="DR36" s="39">
        <f ca="1" t="shared" si="21"/>
        <v>1</v>
      </c>
      <c r="DS36" s="39">
        <f ca="1" t="shared" si="22"/>
        <v>1</v>
      </c>
      <c r="DT36" s="39">
        <f ca="1" t="shared" si="23"/>
        <v>1</v>
      </c>
      <c r="DU36" s="39">
        <f ca="1" t="shared" si="24"/>
        <v>1</v>
      </c>
      <c r="DV36" s="39">
        <f ca="1" t="shared" si="25"/>
        <v>1</v>
      </c>
      <c r="DW36" s="39">
        <f ca="1" t="shared" si="26"/>
        <v>1</v>
      </c>
      <c r="DX36" s="39">
        <f ca="1" t="shared" si="27"/>
        <v>1</v>
      </c>
      <c r="DY36" s="39">
        <f ca="1" t="shared" si="28"/>
        <v>1</v>
      </c>
      <c r="DZ36" s="39">
        <f ca="1" t="shared" si="29"/>
        <v>1</v>
      </c>
      <c r="EA36" s="39">
        <f ca="1" t="shared" si="30"/>
        <v>1</v>
      </c>
      <c r="EB36" s="39">
        <f ca="1" t="shared" si="31"/>
        <v>1</v>
      </c>
      <c r="EC36" s="39">
        <f ca="1" t="shared" si="32"/>
        <v>1</v>
      </c>
      <c r="ED36" s="39">
        <f ca="1" t="shared" si="33"/>
        <v>1</v>
      </c>
      <c r="EE36" s="39">
        <f ca="1" t="shared" si="34"/>
        <v>1</v>
      </c>
      <c r="EF36" s="39">
        <f ca="1" t="shared" si="35"/>
        <v>1</v>
      </c>
      <c r="EG36" s="39">
        <f ca="1" t="shared" si="36"/>
        <v>1</v>
      </c>
      <c r="EH36" s="39">
        <f ca="1" t="shared" si="37"/>
        <v>1</v>
      </c>
      <c r="EI36" s="39">
        <f ca="1" t="shared" si="38"/>
        <v>1</v>
      </c>
      <c r="EJ36" s="39">
        <f ca="1" t="shared" si="39"/>
        <v>1</v>
      </c>
      <c r="EK36" s="39">
        <f ca="1" t="shared" si="40"/>
        <v>1</v>
      </c>
      <c r="EL36" s="39">
        <f ca="1" t="shared" si="41"/>
        <v>1</v>
      </c>
      <c r="EM36" s="39">
        <f ca="1" t="shared" si="42"/>
        <v>1</v>
      </c>
      <c r="EN36" s="39">
        <f ca="1" t="shared" si="43"/>
        <v>1</v>
      </c>
      <c r="EO36" s="39">
        <f ca="1" t="shared" si="44"/>
        <v>1</v>
      </c>
      <c r="EP36" s="39">
        <f ca="1" t="shared" si="45"/>
        <v>1</v>
      </c>
      <c r="EQ36" s="39">
        <f ca="1" t="shared" si="46"/>
        <v>1</v>
      </c>
      <c r="ER36" s="39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4" t="str">
        <f t="shared" si="48"/>
        <v>TT</v>
      </c>
      <c r="D37" s="55" t="s">
        <v>192</v>
      </c>
      <c r="E37" s="55" t="s">
        <v>197</v>
      </c>
      <c r="F37" s="56" t="str">
        <f t="shared" ref="F37:F38" si="67">F36</f>
        <v>Heavy Fuel Oil</v>
      </c>
      <c r="G37" s="54" t="s">
        <v>198</v>
      </c>
      <c r="H37" s="57">
        <f ca="1">OFFSET(TIAM15_assumptions!$G37,0,MATCH(VLOOKUP(Assumptions!H$2,TIAM15_assumptions!$Y$3:$Z$87,2,FALSE),TIAM15_assumptions!$H$2:$V$2,0))</f>
        <v>0.3</v>
      </c>
      <c r="I37" s="57">
        <f ca="1">OFFSET(TIAM15_assumptions!$G37,0,MATCH(VLOOKUP(Assumptions!I$2,TIAM15_assumptions!$Y$3:$Z$87,2,FALSE),TIAM15_assumptions!$H$2:$V$2,0))</f>
        <v>0.3</v>
      </c>
      <c r="J37" s="57">
        <f ca="1">OFFSET(TIAM15_assumptions!$G37,0,MATCH(VLOOKUP(Assumptions!J$2,TIAM15_assumptions!$Y$3:$Z$87,2,FALSE),TIAM15_assumptions!$H$2:$V$2,0))</f>
        <v>0</v>
      </c>
      <c r="K37" s="57">
        <f ca="1">OFFSET(TIAM15_assumptions!$G37,0,MATCH(VLOOKUP(Assumptions!K$2,TIAM15_assumptions!$Y$3:$Z$87,2,FALSE),TIAM15_assumptions!$H$2:$V$2,0))</f>
        <v>0.1</v>
      </c>
      <c r="L37" s="57">
        <f ca="1">OFFSET(TIAM15_assumptions!$G37,0,MATCH(VLOOKUP(Assumptions!L$2,TIAM15_assumptions!$Y$3:$Z$87,2,FALSE),TIAM15_assumptions!$H$2:$V$2,0))</f>
        <v>0.1</v>
      </c>
      <c r="M37" s="57">
        <f ca="1">OFFSET(TIAM15_assumptions!$G37,0,MATCH(VLOOKUP(Assumptions!M$2,TIAM15_assumptions!$Y$3:$Z$87,2,FALSE),TIAM15_assumptions!$H$2:$V$2,0))</f>
        <v>0.1</v>
      </c>
      <c r="N37" s="57">
        <f ca="1">OFFSET(TIAM15_assumptions!$G37,0,MATCH(VLOOKUP(Assumptions!N$2,TIAM15_assumptions!$Y$3:$Z$87,2,FALSE),TIAM15_assumptions!$H$2:$V$2,0))</f>
        <v>0</v>
      </c>
      <c r="O37" s="57">
        <f ca="1">OFFSET(TIAM15_assumptions!$G37,0,MATCH(VLOOKUP(Assumptions!O$2,TIAM15_assumptions!$Y$3:$Z$87,2,FALSE),TIAM15_assumptions!$H$2:$V$2,0))</f>
        <v>0.4</v>
      </c>
      <c r="P37" s="57">
        <f ca="1">OFFSET(TIAM15_assumptions!$G37,0,MATCH(VLOOKUP(Assumptions!P$2,TIAM15_assumptions!$Y$3:$Z$87,2,FALSE),TIAM15_assumptions!$H$2:$V$2,0))</f>
        <v>0.1</v>
      </c>
      <c r="Q37" s="57">
        <f ca="1">OFFSET(TIAM15_assumptions!$G37,0,MATCH(VLOOKUP(Assumptions!Q$2,TIAM15_assumptions!$Y$3:$Z$87,2,FALSE),TIAM15_assumptions!$H$2:$V$2,0))</f>
        <v>0.1</v>
      </c>
      <c r="R37" s="57">
        <f ca="1">OFFSET(TIAM15_assumptions!$G37,0,MATCH(VLOOKUP(Assumptions!R$2,TIAM15_assumptions!$Y$3:$Z$87,2,FALSE),TIAM15_assumptions!$H$2:$V$2,0))</f>
        <v>0.1</v>
      </c>
      <c r="S37" s="57">
        <f ca="1">OFFSET(TIAM15_assumptions!$G37,0,MATCH(VLOOKUP(Assumptions!S$2,TIAM15_assumptions!$Y$3:$Z$87,2,FALSE),TIAM15_assumptions!$H$2:$V$2,0))</f>
        <v>0.1</v>
      </c>
      <c r="T37" s="57">
        <f ca="1">OFFSET(TIAM15_assumptions!$G37,0,MATCH(VLOOKUP(Assumptions!T$2,TIAM15_assumptions!$Y$3:$Z$87,2,FALSE),TIAM15_assumptions!$H$2:$V$2,0))</f>
        <v>0.1</v>
      </c>
      <c r="U37" s="57">
        <f ca="1">OFFSET(TIAM15_assumptions!$G37,0,MATCH(VLOOKUP(Assumptions!U$2,TIAM15_assumptions!$Y$3:$Z$87,2,FALSE),TIAM15_assumptions!$H$2:$V$2,0))</f>
        <v>0.1</v>
      </c>
      <c r="V37" s="57">
        <f ca="1">OFFSET(TIAM15_assumptions!$G37,0,MATCH(VLOOKUP(Assumptions!V$2,TIAM15_assumptions!$Y$3:$Z$87,2,FALSE),TIAM15_assumptions!$H$2:$V$2,0))</f>
        <v>0.1</v>
      </c>
      <c r="W37" s="57">
        <f ca="1">OFFSET(TIAM15_assumptions!$G37,0,MATCH(VLOOKUP(Assumptions!W$2,TIAM15_assumptions!$Y$3:$Z$87,2,FALSE),TIAM15_assumptions!$H$2:$V$2,0))</f>
        <v>0.5</v>
      </c>
      <c r="X37" s="57">
        <f ca="1">OFFSET(TIAM15_assumptions!$G37,0,MATCH(VLOOKUP(Assumptions!X$2,TIAM15_assumptions!$Y$3:$Z$87,2,FALSE),TIAM15_assumptions!$H$2:$V$2,0))</f>
        <v>0.1</v>
      </c>
      <c r="Y37" s="57">
        <f ca="1">OFFSET(TIAM15_assumptions!$G37,0,MATCH(VLOOKUP(Assumptions!Y$2,TIAM15_assumptions!$Y$3:$Z$87,2,FALSE),TIAM15_assumptions!$H$2:$V$2,0))</f>
        <v>0.1</v>
      </c>
      <c r="Z37" s="57">
        <f ca="1">OFFSET(TIAM15_assumptions!$G37,0,MATCH(VLOOKUP(Assumptions!Z$2,TIAM15_assumptions!$Y$3:$Z$87,2,FALSE),TIAM15_assumptions!$H$2:$V$2,0))</f>
        <v>0.1</v>
      </c>
      <c r="AA37" s="57">
        <f ca="1">OFFSET(TIAM15_assumptions!$G37,0,MATCH(VLOOKUP(Assumptions!AA$2,TIAM15_assumptions!$Y$3:$Z$87,2,FALSE),TIAM15_assumptions!$H$2:$V$2,0))</f>
        <v>0</v>
      </c>
      <c r="AB37" s="57">
        <f ca="1">OFFSET(TIAM15_assumptions!$G37,0,MATCH(VLOOKUP(Assumptions!AB$2,TIAM15_assumptions!$Y$3:$Z$87,2,FALSE),TIAM15_assumptions!$H$2:$V$2,0))</f>
        <v>0.3</v>
      </c>
      <c r="AC37" s="57">
        <f ca="1">OFFSET(TIAM15_assumptions!$G37,0,MATCH(VLOOKUP(Assumptions!AC$2,TIAM15_assumptions!$Y$3:$Z$87,2,FALSE),TIAM15_assumptions!$H$2:$V$2,0))</f>
        <v>0.1</v>
      </c>
      <c r="AD37" s="57">
        <f ca="1">OFFSET(TIAM15_assumptions!$G37,0,MATCH(VLOOKUP(Assumptions!AD$2,TIAM15_assumptions!$Y$3:$Z$87,2,FALSE),TIAM15_assumptions!$H$2:$V$2,0))</f>
        <v>0.1</v>
      </c>
      <c r="AE37" s="57">
        <f ca="1">OFFSET(TIAM15_assumptions!$G37,0,MATCH(VLOOKUP(Assumptions!AE$2,TIAM15_assumptions!$Y$3:$Z$87,2,FALSE),TIAM15_assumptions!$H$2:$V$2,0))</f>
        <v>0.1</v>
      </c>
      <c r="AF37" s="57">
        <f ca="1">OFFSET(TIAM15_assumptions!$G37,0,MATCH(VLOOKUP(Assumptions!AF$2,TIAM15_assumptions!$Y$3:$Z$87,2,FALSE),TIAM15_assumptions!$H$2:$V$2,0))</f>
        <v>0.1</v>
      </c>
      <c r="AG37" s="57">
        <f ca="1">OFFSET(TIAM15_assumptions!$G37,0,MATCH(VLOOKUP(Assumptions!AG$2,TIAM15_assumptions!$Y$3:$Z$87,2,FALSE),TIAM15_assumptions!$H$2:$V$2,0))</f>
        <v>0.1</v>
      </c>
      <c r="AH37" s="57">
        <f ca="1">OFFSET(TIAM15_assumptions!$G37,0,MATCH(VLOOKUP(Assumptions!AH$2,TIAM15_assumptions!$Y$3:$Z$87,2,FALSE),TIAM15_assumptions!$H$2:$V$2,0))</f>
        <v>0.3</v>
      </c>
      <c r="AI37" s="57">
        <f ca="1">OFFSET(TIAM15_assumptions!$G37,0,MATCH(VLOOKUP(Assumptions!AI$2,TIAM15_assumptions!$Y$3:$Z$87,2,FALSE),TIAM15_assumptions!$H$2:$V$2,0))</f>
        <v>0.3</v>
      </c>
      <c r="AJ37" s="57">
        <f ca="1">OFFSET(TIAM15_assumptions!$G37,0,MATCH(VLOOKUP(Assumptions!AJ$2,TIAM15_assumptions!$Y$3:$Z$87,2,FALSE),TIAM15_assumptions!$H$2:$V$2,0))</f>
        <v>0.1</v>
      </c>
      <c r="AK37" s="57">
        <f ca="1">OFFSET(TIAM15_assumptions!$G37,0,MATCH(VLOOKUP(Assumptions!AK$2,TIAM15_assumptions!$Y$3:$Z$87,2,FALSE),TIAM15_assumptions!$H$2:$V$2,0))</f>
        <v>0.1</v>
      </c>
      <c r="AL37" s="57">
        <f ca="1">OFFSET(TIAM15_assumptions!$G37,0,MATCH(VLOOKUP(Assumptions!AL$2,TIAM15_assumptions!$Y$3:$Z$87,2,FALSE),TIAM15_assumptions!$H$2:$V$2,0))</f>
        <v>0.1</v>
      </c>
      <c r="AM37" s="57">
        <f ca="1">OFFSET(TIAM15_assumptions!$G37,0,MATCH(VLOOKUP(Assumptions!AM$2,TIAM15_assumptions!$Y$3:$Z$87,2,FALSE),TIAM15_assumptions!$H$2:$V$2,0))</f>
        <v>0.3</v>
      </c>
      <c r="AN37" s="57">
        <f ca="1">OFFSET(TIAM15_assumptions!$G37,0,MATCH(VLOOKUP(Assumptions!AN$2,TIAM15_assumptions!$Y$3:$Z$87,2,FALSE),TIAM15_assumptions!$H$2:$V$2,0))</f>
        <v>0.1</v>
      </c>
      <c r="AO37" s="57">
        <f ca="1">OFFSET(TIAM15_assumptions!$G37,0,MATCH(VLOOKUP(Assumptions!AO$2,TIAM15_assumptions!$Y$3:$Z$87,2,FALSE),TIAM15_assumptions!$H$2:$V$2,0))</f>
        <v>0.1</v>
      </c>
      <c r="AP37" s="57">
        <f ca="1">OFFSET(TIAM15_assumptions!$G37,0,MATCH(VLOOKUP(Assumptions!AP$2,TIAM15_assumptions!$Y$3:$Z$87,2,FALSE),TIAM15_assumptions!$H$2:$V$2,0))</f>
        <v>0.1</v>
      </c>
      <c r="AQ37" s="57">
        <f ca="1">OFFSET(TIAM15_assumptions!$G37,0,MATCH(VLOOKUP(Assumptions!AQ$2,TIAM15_assumptions!$Y$3:$Z$87,2,FALSE),TIAM15_assumptions!$H$2:$V$2,0))</f>
        <v>0.1</v>
      </c>
      <c r="AR37" s="57">
        <f ca="1">OFFSET(TIAM15_assumptions!$G37,0,MATCH(VLOOKUP(Assumptions!AR$2,TIAM15_assumptions!$Y$3:$Z$87,2,FALSE),TIAM15_assumptions!$H$2:$V$2,0))</f>
        <v>0.1</v>
      </c>
      <c r="AS37" s="57">
        <f ca="1">OFFSET(TIAM15_assumptions!$G37,0,MATCH(VLOOKUP(Assumptions!AS$2,TIAM15_assumptions!$Y$3:$Z$87,2,FALSE),TIAM15_assumptions!$H$2:$V$2,0))</f>
        <v>0.1</v>
      </c>
      <c r="AT37" s="57">
        <f ca="1">OFFSET(TIAM15_assumptions!$G37,0,MATCH(VLOOKUP(Assumptions!AT$2,TIAM15_assumptions!$Y$3:$Z$87,2,FALSE),TIAM15_assumptions!$H$2:$V$2,0))</f>
        <v>0.1</v>
      </c>
      <c r="AU37" s="57">
        <f ca="1">OFFSET(TIAM15_assumptions!$G37,0,MATCH(VLOOKUP(Assumptions!AU$2,TIAM15_assumptions!$Y$3:$Z$87,2,FALSE),TIAM15_assumptions!$H$2:$V$2,0))</f>
        <v>0.1</v>
      </c>
      <c r="AV37" s="57">
        <f ca="1">OFFSET(TIAM15_assumptions!$G37,0,MATCH(VLOOKUP(Assumptions!AV$2,TIAM15_assumptions!$Y$3:$Z$87,2,FALSE),TIAM15_assumptions!$H$2:$V$2,0))</f>
        <v>0.1</v>
      </c>
      <c r="AW37" s="57">
        <f ca="1">OFFSET(TIAM15_assumptions!$G37,0,MATCH(VLOOKUP(Assumptions!AW$2,TIAM15_assumptions!$Y$3:$Z$87,2,FALSE),TIAM15_assumptions!$H$2:$V$2,0))</f>
        <v>0.1</v>
      </c>
      <c r="AX37" s="57">
        <f ca="1">OFFSET(TIAM15_assumptions!$G37,0,MATCH(VLOOKUP(Assumptions!AX$2,TIAM15_assumptions!$Y$3:$Z$87,2,FALSE),TIAM15_assumptions!$H$2:$V$2,0))</f>
        <v>0.1</v>
      </c>
      <c r="AY37" s="57">
        <f ca="1">OFFSET(TIAM15_assumptions!$G37,0,MATCH(VLOOKUP(Assumptions!AY$2,TIAM15_assumptions!$Y$3:$Z$87,2,FALSE),TIAM15_assumptions!$H$2:$V$2,0))</f>
        <v>0.1</v>
      </c>
      <c r="AZ37" s="57">
        <f ca="1">OFFSET(TIAM15_assumptions!$G37,0,MATCH(VLOOKUP(Assumptions!AZ$2,TIAM15_assumptions!$Y$3:$Z$87,2,FALSE),TIAM15_assumptions!$H$2:$V$2,0))</f>
        <v>0.1</v>
      </c>
      <c r="BA37" s="57">
        <f ca="1">OFFSET(TIAM15_assumptions!$G37,0,MATCH(VLOOKUP(Assumptions!BA$2,TIAM15_assumptions!$Y$3:$Z$87,2,FALSE),TIAM15_assumptions!$H$2:$V$2,0))</f>
        <v>0.1</v>
      </c>
      <c r="BD37" s="40">
        <f ca="1">IFERROR(SUMIFS('TRA balance'!E$5:E$40,'TRA balance'!$C$5:$C$40,Assumptions!$C37,'TRA balance'!$D$5:$D$40,Assumptions!$B37)*CY37*H37,"")</f>
        <v>1.27200050028</v>
      </c>
      <c r="BE37" s="40">
        <f ca="1">IFERROR(SUMIFS('TRA balance'!F$5:F$40,'TRA balance'!$C$5:$C$40,Assumptions!$C37,'TRA balance'!$D$5:$D$40,Assumptions!$B37)*CZ37*I37,"")</f>
        <v>0</v>
      </c>
      <c r="BF37" s="40">
        <f ca="1">IFERROR(SUMIFS('TRA balance'!G$5:G$40,'TRA balance'!$C$5:$C$40,Assumptions!$C37,'TRA balance'!$D$5:$D$40,Assumptions!$B37)*DA37*J37,"")</f>
        <v>0</v>
      </c>
      <c r="BG37" s="40">
        <f ca="1">IFERROR(SUMIFS('TRA balance'!H$5:H$40,'TRA balance'!$C$5:$C$40,Assumptions!$C37,'TRA balance'!$D$5:$D$40,Assumptions!$B37)*DB37*K37,"")</f>
        <v>0</v>
      </c>
      <c r="BH37" s="40">
        <f ca="1">IFERROR(SUMIFS('TRA balance'!I$5:I$40,'TRA balance'!$C$5:$C$40,Assumptions!$C37,'TRA balance'!$D$5:$D$40,Assumptions!$B37)*DC37*L37,"")</f>
        <v>0</v>
      </c>
      <c r="BI37" s="40">
        <f ca="1">IFERROR(SUMIFS('TRA balance'!J$5:J$40,'TRA balance'!$C$5:$C$40,Assumptions!$C37,'TRA balance'!$D$5:$D$40,Assumptions!$B37)*DD37*M37,"")</f>
        <v>0</v>
      </c>
      <c r="BJ37" s="40">
        <f ca="1">IFERROR(SUMIFS('TRA balance'!K$5:K$40,'TRA balance'!$C$5:$C$40,Assumptions!$C37,'TRA balance'!$D$5:$D$40,Assumptions!$B37)*DE37*N37,"")</f>
        <v>0</v>
      </c>
      <c r="BK37" s="40">
        <f ca="1">IFERROR(SUMIFS('TRA balance'!L$5:L$40,'TRA balance'!$C$5:$C$40,Assumptions!$C37,'TRA balance'!$D$5:$D$40,Assumptions!$B37)*DF37*O37,"")</f>
        <v>0</v>
      </c>
      <c r="BL37" s="40">
        <f ca="1">IFERROR(SUMIFS('TRA balance'!M$5:M$40,'TRA balance'!$C$5:$C$40,Assumptions!$C37,'TRA balance'!$D$5:$D$40,Assumptions!$B37)*DG37*P37,"")</f>
        <v>0</v>
      </c>
      <c r="BM37" s="40">
        <f ca="1">IFERROR(SUMIFS('TRA balance'!N$5:N$40,'TRA balance'!$C$5:$C$40,Assumptions!$C37,'TRA balance'!$D$5:$D$40,Assumptions!$B37)*DH37*Q37,"")</f>
        <v>0</v>
      </c>
      <c r="BN37" s="40">
        <f ca="1">IFERROR(SUMIFS('TRA balance'!O$5:O$40,'TRA balance'!$C$5:$C$40,Assumptions!$C37,'TRA balance'!$D$5:$D$40,Assumptions!$B37)*DI37*R37,"")</f>
        <v>0</v>
      </c>
      <c r="BO37" s="40">
        <f ca="1">IFERROR(SUMIFS('TRA balance'!P$5:P$40,'TRA balance'!$C$5:$C$40,Assumptions!$C37,'TRA balance'!$D$5:$D$40,Assumptions!$B37)*DJ37*S37,"")</f>
        <v>0</v>
      </c>
      <c r="BP37" s="40">
        <f ca="1">IFERROR(SUMIFS('TRA balance'!Q$5:Q$40,'TRA balance'!$C$5:$C$40,Assumptions!$C37,'TRA balance'!$D$5:$D$40,Assumptions!$B37)*DK37*T37,"")</f>
        <v>0</v>
      </c>
      <c r="BQ37" s="40">
        <f ca="1">IFERROR(SUMIFS('TRA balance'!R$5:R$40,'TRA balance'!$C$5:$C$40,Assumptions!$C37,'TRA balance'!$D$5:$D$40,Assumptions!$B37)*DL37*U37,"")</f>
        <v>0</v>
      </c>
      <c r="BR37" s="40">
        <f ca="1">IFERROR(SUMIFS('TRA balance'!S$5:S$40,'TRA balance'!$C$5:$C$40,Assumptions!$C37,'TRA balance'!$D$5:$D$40,Assumptions!$B37)*DM37*V37,"")</f>
        <v>0</v>
      </c>
      <c r="BS37" s="40">
        <f ca="1">IFERROR(SUMIFS('TRA balance'!T$5:T$40,'TRA balance'!$C$5:$C$40,Assumptions!$C37,'TRA balance'!$D$5:$D$40,Assumptions!$B37)*DN37*W37,"")</f>
        <v>0</v>
      </c>
      <c r="BT37" s="40">
        <f ca="1">IFERROR(SUMIFS('TRA balance'!U$5:U$40,'TRA balance'!$C$5:$C$40,Assumptions!$C37,'TRA balance'!$D$5:$D$40,Assumptions!$B37)*DO37*X37,"")</f>
        <v>0</v>
      </c>
      <c r="BU37" s="40">
        <f ca="1">IFERROR(SUMIFS('TRA balance'!V$5:V$40,'TRA balance'!$C$5:$C$40,Assumptions!$C37,'TRA balance'!$D$5:$D$40,Assumptions!$B37)*DP37*Y37,"")</f>
        <v>0</v>
      </c>
      <c r="BV37" s="40">
        <f ca="1">IFERROR(SUMIFS('TRA balance'!W$5:W$40,'TRA balance'!$C$5:$C$40,Assumptions!$C37,'TRA balance'!$D$5:$D$40,Assumptions!$B37)*DQ37*Z37,"")</f>
        <v>0</v>
      </c>
      <c r="BW37" s="40">
        <f ca="1">IFERROR(SUMIFS('TRA balance'!X$5:X$40,'TRA balance'!$C$5:$C$40,Assumptions!$C37,'TRA balance'!$D$5:$D$40,Assumptions!$B37)*DR37*AA37,"")</f>
        <v>0</v>
      </c>
      <c r="BX37" s="40">
        <f ca="1">IFERROR(SUMIFS('TRA balance'!Y$5:Y$40,'TRA balance'!$C$5:$C$40,Assumptions!$C37,'TRA balance'!$D$5:$D$40,Assumptions!$B37)*DS37*AB37,"")</f>
        <v>0</v>
      </c>
      <c r="BY37" s="40">
        <f ca="1">IFERROR(SUMIFS('TRA balance'!Z$5:Z$40,'TRA balance'!$C$5:$C$40,Assumptions!$C37,'TRA balance'!$D$5:$D$40,Assumptions!$B37)*DT37*AC37,"")</f>
        <v>0</v>
      </c>
      <c r="BZ37" s="40">
        <f ca="1">IFERROR(SUMIFS('TRA balance'!AA$5:AA$40,'TRA balance'!$C$5:$C$40,Assumptions!$C37,'TRA balance'!$D$5:$D$40,Assumptions!$B37)*DU37*AD37,"")</f>
        <v>0</v>
      </c>
      <c r="CA37" s="40">
        <f ca="1">IFERROR(SUMIFS('TRA balance'!AB$5:AB$40,'TRA balance'!$C$5:$C$40,Assumptions!$C37,'TRA balance'!$D$5:$D$40,Assumptions!$B37)*DV37*AE37,"")</f>
        <v>0</v>
      </c>
      <c r="CB37" s="40">
        <f ca="1">IFERROR(SUMIFS('TRA balance'!AC$5:AC$40,'TRA balance'!$C$5:$C$40,Assumptions!$C37,'TRA balance'!$D$5:$D$40,Assumptions!$B37)*DW37*AF37,"")</f>
        <v>0.00223030836</v>
      </c>
      <c r="CC37" s="40">
        <f ca="1">IFERROR(SUMIFS('TRA balance'!AD$5:AD$40,'TRA balance'!$C$5:$C$40,Assumptions!$C37,'TRA balance'!$D$5:$D$40,Assumptions!$B37)*DX37*AG37,"")</f>
        <v>0.00871984836</v>
      </c>
      <c r="CD37" s="40">
        <f ca="1">IFERROR(SUMIFS('TRA balance'!AE$5:AE$40,'TRA balance'!$C$5:$C$40,Assumptions!$C37,'TRA balance'!$D$5:$D$40,Assumptions!$B37)*DY37*AH37,"")</f>
        <v>0</v>
      </c>
      <c r="CE37" s="40">
        <f ca="1">IFERROR(SUMIFS('TRA balance'!AF$5:AF$40,'TRA balance'!$C$5:$C$40,Assumptions!$C37,'TRA balance'!$D$5:$D$40,Assumptions!$B37)*DZ37*AI37,"")</f>
        <v>0.92708186796</v>
      </c>
      <c r="CF37" s="40">
        <f ca="1">IFERROR(SUMIFS('TRA balance'!AG$5:AG$40,'TRA balance'!$C$5:$C$40,Assumptions!$C37,'TRA balance'!$D$5:$D$40,Assumptions!$B37)*EA37*AJ37,"")</f>
        <v>0</v>
      </c>
      <c r="CG37" s="40">
        <f ca="1">IFERROR(SUMIFS('TRA balance'!AH$5:AH$40,'TRA balance'!$C$5:$C$40,Assumptions!$C37,'TRA balance'!$D$5:$D$40,Assumptions!$B37)*EB37*AK37,"")</f>
        <v>0</v>
      </c>
      <c r="CH37" s="40">
        <f ca="1">IFERROR(SUMIFS('TRA balance'!AI$5:AI$40,'TRA balance'!$C$5:$C$40,Assumptions!$C37,'TRA balance'!$D$5:$D$40,Assumptions!$B37)*EC37*AL37,"")</f>
        <v>0</v>
      </c>
      <c r="CI37" s="40">
        <f ca="1">IFERROR(SUMIFS('TRA balance'!AJ$5:AJ$40,'TRA balance'!$C$5:$C$40,Assumptions!$C37,'TRA balance'!$D$5:$D$40,Assumptions!$B37)*ED37*AM37,"")</f>
        <v>0</v>
      </c>
      <c r="CJ37" s="40">
        <f ca="1">IFERROR(SUMIFS('TRA balance'!AK$5:AK$40,'TRA balance'!$C$5:$C$40,Assumptions!$C37,'TRA balance'!$D$5:$D$40,Assumptions!$B37)*EE37*AN37,"")</f>
        <v>0</v>
      </c>
      <c r="CK37" s="40">
        <f ca="1">IFERROR(SUMIFS('TRA balance'!AL$5:AL$40,'TRA balance'!$C$5:$C$40,Assumptions!$C37,'TRA balance'!$D$5:$D$40,Assumptions!$B37)*EF37*AO37,"")</f>
        <v>0</v>
      </c>
      <c r="CL37" s="40">
        <f ca="1">IFERROR(SUMIFS('TRA balance'!AM$5:AM$40,'TRA balance'!$C$5:$C$40,Assumptions!$C37,'TRA balance'!$D$5:$D$40,Assumptions!$B37)*EG37*AP37,"")</f>
        <v>0</v>
      </c>
      <c r="CM37" s="40">
        <f ca="1">IFERROR(SUMIFS('TRA balance'!AN$5:AN$40,'TRA balance'!$C$5:$C$40,Assumptions!$C37,'TRA balance'!$D$5:$D$40,Assumptions!$B37)*EH37*AQ37,"")</f>
        <v>0</v>
      </c>
      <c r="CN37" s="40">
        <f ca="1">IFERROR(SUMIFS('TRA balance'!AO$5:AO$40,'TRA balance'!$C$5:$C$40,Assumptions!$C37,'TRA balance'!$D$5:$D$40,Assumptions!$B37)*EI37*AR37,"")</f>
        <v>0</v>
      </c>
      <c r="CO37" s="40">
        <f ca="1">IFERROR(SUMIFS('TRA balance'!AP$5:AP$40,'TRA balance'!$C$5:$C$40,Assumptions!$C37,'TRA balance'!$D$5:$D$40,Assumptions!$B37)*EJ37*AS37,"")</f>
        <v>0</v>
      </c>
      <c r="CP37" s="40">
        <f ca="1">IFERROR(SUMIFS('TRA balance'!AQ$5:AQ$40,'TRA balance'!$C$5:$C$40,Assumptions!$C37,'TRA balance'!$D$5:$D$40,Assumptions!$B37)*EK37*AT37,"")</f>
        <v>0</v>
      </c>
      <c r="CQ37" s="40">
        <f ca="1">IFERROR(SUMIFS('TRA balance'!AR$5:AR$40,'TRA balance'!$C$5:$C$40,Assumptions!$C37,'TRA balance'!$D$5:$D$40,Assumptions!$B37)*EL37*AU37,"")</f>
        <v>0</v>
      </c>
      <c r="CR37" s="40">
        <f ca="1">IFERROR(SUMIFS('TRA balance'!AS$5:AS$40,'TRA balance'!$C$5:$C$40,Assumptions!$C37,'TRA balance'!$D$5:$D$40,Assumptions!$B37)*EM37*AV37,"")</f>
        <v>0</v>
      </c>
      <c r="CS37" s="40">
        <f ca="1">IFERROR(SUMIFS('TRA balance'!AT$5:AT$40,'TRA balance'!$C$5:$C$40,Assumptions!$C37,'TRA balance'!$D$5:$D$40,Assumptions!$B37)*EN37*AW37,"")</f>
        <v>0</v>
      </c>
      <c r="CT37" s="40">
        <f ca="1">IFERROR(SUMIFS('TRA balance'!AU$5:AU$40,'TRA balance'!$C$5:$C$40,Assumptions!$C37,'TRA balance'!$D$5:$D$40,Assumptions!$B37)*EO37*AX37,"")</f>
        <v>0</v>
      </c>
      <c r="CU37" s="40">
        <f ca="1">IFERROR(SUMIFS('TRA balance'!AV$5:AV$40,'TRA balance'!$C$5:$C$40,Assumptions!$C37,'TRA balance'!$D$5:$D$40,Assumptions!$B37)*EP37*AY37,"")</f>
        <v>0</v>
      </c>
      <c r="CV37" s="40">
        <f ca="1">IFERROR(SUMIFS('TRA balance'!AW$5:AW$40,'TRA balance'!$C$5:$C$40,Assumptions!$C37,'TRA balance'!$D$5:$D$40,Assumptions!$B37)*EQ37*AZ37,"")</f>
        <v>0</v>
      </c>
      <c r="CW37" s="40">
        <f ca="1">IFERROR(SUMIFS('TRA balance'!AX$5:AX$40,'TRA balance'!$C$5:$C$40,Assumptions!$C37,'TRA balance'!$D$5:$D$40,Assumptions!$B37)*ER37*BA37,"")</f>
        <v>0</v>
      </c>
      <c r="CY37" s="39">
        <f ca="1" t="shared" si="66"/>
        <v>1</v>
      </c>
      <c r="CZ37" s="39">
        <f ca="1" t="shared" si="3"/>
        <v>1</v>
      </c>
      <c r="DA37" s="39">
        <f ca="1" t="shared" si="4"/>
        <v>1</v>
      </c>
      <c r="DB37" s="39">
        <f ca="1" t="shared" si="5"/>
        <v>1</v>
      </c>
      <c r="DC37" s="39">
        <f ca="1" t="shared" si="6"/>
        <v>1</v>
      </c>
      <c r="DD37" s="39">
        <f ca="1" t="shared" si="7"/>
        <v>1</v>
      </c>
      <c r="DE37" s="39">
        <f ca="1" t="shared" si="8"/>
        <v>1</v>
      </c>
      <c r="DF37" s="39">
        <f ca="1" t="shared" si="9"/>
        <v>1</v>
      </c>
      <c r="DG37" s="39">
        <f ca="1" t="shared" si="10"/>
        <v>1</v>
      </c>
      <c r="DH37" s="39">
        <f ca="1" t="shared" si="11"/>
        <v>1</v>
      </c>
      <c r="DI37" s="39">
        <f ca="1" t="shared" si="12"/>
        <v>1</v>
      </c>
      <c r="DJ37" s="39">
        <f ca="1" t="shared" si="13"/>
        <v>1</v>
      </c>
      <c r="DK37" s="39">
        <f ca="1" t="shared" si="14"/>
        <v>1</v>
      </c>
      <c r="DL37" s="39">
        <f ca="1" t="shared" si="15"/>
        <v>1</v>
      </c>
      <c r="DM37" s="39">
        <f ca="1" t="shared" si="16"/>
        <v>1</v>
      </c>
      <c r="DN37" s="39">
        <f ca="1" t="shared" si="17"/>
        <v>1</v>
      </c>
      <c r="DO37" s="39">
        <f ca="1" t="shared" si="18"/>
        <v>1</v>
      </c>
      <c r="DP37" s="39">
        <f ca="1" t="shared" si="19"/>
        <v>1</v>
      </c>
      <c r="DQ37" s="39">
        <f ca="1" t="shared" si="20"/>
        <v>1</v>
      </c>
      <c r="DR37" s="39">
        <f ca="1" t="shared" si="21"/>
        <v>1</v>
      </c>
      <c r="DS37" s="39">
        <f ca="1" t="shared" si="22"/>
        <v>1</v>
      </c>
      <c r="DT37" s="39">
        <f ca="1" t="shared" si="23"/>
        <v>1</v>
      </c>
      <c r="DU37" s="39">
        <f ca="1" t="shared" si="24"/>
        <v>1</v>
      </c>
      <c r="DV37" s="39">
        <f ca="1" t="shared" si="25"/>
        <v>1</v>
      </c>
      <c r="DW37" s="39">
        <f ca="1" t="shared" si="26"/>
        <v>1</v>
      </c>
      <c r="DX37" s="39">
        <f ca="1" t="shared" si="27"/>
        <v>1</v>
      </c>
      <c r="DY37" s="39">
        <f ca="1" t="shared" si="28"/>
        <v>1</v>
      </c>
      <c r="DZ37" s="39">
        <f ca="1" t="shared" si="29"/>
        <v>1</v>
      </c>
      <c r="EA37" s="39">
        <f ca="1" t="shared" si="30"/>
        <v>1</v>
      </c>
      <c r="EB37" s="39">
        <f ca="1" t="shared" si="31"/>
        <v>1</v>
      </c>
      <c r="EC37" s="39">
        <f ca="1" t="shared" si="32"/>
        <v>1</v>
      </c>
      <c r="ED37" s="39">
        <f ca="1" t="shared" si="33"/>
        <v>1</v>
      </c>
      <c r="EE37" s="39">
        <f ca="1" t="shared" si="34"/>
        <v>1</v>
      </c>
      <c r="EF37" s="39">
        <f ca="1" t="shared" si="35"/>
        <v>1</v>
      </c>
      <c r="EG37" s="39">
        <f ca="1" t="shared" si="36"/>
        <v>1</v>
      </c>
      <c r="EH37" s="39">
        <f ca="1" t="shared" si="37"/>
        <v>1</v>
      </c>
      <c r="EI37" s="39">
        <f ca="1" t="shared" si="38"/>
        <v>1</v>
      </c>
      <c r="EJ37" s="39">
        <f ca="1" t="shared" si="39"/>
        <v>1</v>
      </c>
      <c r="EK37" s="39">
        <f ca="1" t="shared" si="40"/>
        <v>1</v>
      </c>
      <c r="EL37" s="39">
        <f ca="1" t="shared" si="41"/>
        <v>1</v>
      </c>
      <c r="EM37" s="39">
        <f ca="1" t="shared" si="42"/>
        <v>1</v>
      </c>
      <c r="EN37" s="39">
        <f ca="1" t="shared" si="43"/>
        <v>1</v>
      </c>
      <c r="EO37" s="39">
        <f ca="1" t="shared" si="44"/>
        <v>1</v>
      </c>
      <c r="EP37" s="39">
        <f ca="1" t="shared" si="45"/>
        <v>1</v>
      </c>
      <c r="EQ37" s="39">
        <f ca="1" t="shared" si="46"/>
        <v>1</v>
      </c>
      <c r="ER37" s="39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8"/>
      <c r="D38" s="58"/>
      <c r="E38" s="59" t="s">
        <v>199</v>
      </c>
      <c r="F38" s="60" t="str">
        <f t="shared" si="67"/>
        <v>Heavy Fuel Oil</v>
      </c>
      <c r="G38" s="58"/>
      <c r="H38" s="59" t="str">
        <f ca="1" t="shared" ref="H38" si="68">IF(SUM(H36:H37)=1,"-","&lt;&gt;1!!")</f>
        <v>-</v>
      </c>
      <c r="I38" s="59" t="str">
        <f ca="1" t="shared" ref="I38:BA38" si="69">IF(SUM(I36:I37)=1,"-","&lt;&gt;1!!")</f>
        <v>-</v>
      </c>
      <c r="J38" s="59" t="str">
        <f ca="1" t="shared" si="69"/>
        <v>-</v>
      </c>
      <c r="K38" s="59" t="str">
        <f ca="1" t="shared" si="69"/>
        <v>-</v>
      </c>
      <c r="L38" s="59" t="str">
        <f ca="1" t="shared" si="69"/>
        <v>-</v>
      </c>
      <c r="M38" s="59" t="str">
        <f ca="1" t="shared" si="69"/>
        <v>-</v>
      </c>
      <c r="N38" s="59" t="str">
        <f ca="1" t="shared" si="69"/>
        <v>-</v>
      </c>
      <c r="O38" s="59" t="str">
        <f ca="1" t="shared" si="69"/>
        <v>-</v>
      </c>
      <c r="P38" s="59" t="str">
        <f ca="1" t="shared" si="69"/>
        <v>-</v>
      </c>
      <c r="Q38" s="59" t="str">
        <f ca="1" t="shared" si="69"/>
        <v>-</v>
      </c>
      <c r="R38" s="59" t="str">
        <f ca="1" t="shared" si="69"/>
        <v>-</v>
      </c>
      <c r="S38" s="59" t="str">
        <f ca="1" t="shared" si="69"/>
        <v>-</v>
      </c>
      <c r="T38" s="59" t="str">
        <f ca="1" t="shared" si="69"/>
        <v>-</v>
      </c>
      <c r="U38" s="59" t="str">
        <f ca="1" t="shared" si="69"/>
        <v>-</v>
      </c>
      <c r="V38" s="59" t="str">
        <f ca="1" t="shared" si="69"/>
        <v>-</v>
      </c>
      <c r="W38" s="59" t="str">
        <f ca="1" t="shared" si="69"/>
        <v>-</v>
      </c>
      <c r="X38" s="59" t="str">
        <f ca="1" t="shared" si="69"/>
        <v>-</v>
      </c>
      <c r="Y38" s="59" t="str">
        <f ca="1" t="shared" si="69"/>
        <v>-</v>
      </c>
      <c r="Z38" s="59" t="str">
        <f ca="1" t="shared" si="69"/>
        <v>-</v>
      </c>
      <c r="AA38" s="59" t="str">
        <f ca="1" t="shared" si="69"/>
        <v>-</v>
      </c>
      <c r="AB38" s="59" t="str">
        <f ca="1" t="shared" si="69"/>
        <v>-</v>
      </c>
      <c r="AC38" s="59" t="str">
        <f ca="1" t="shared" si="69"/>
        <v>-</v>
      </c>
      <c r="AD38" s="59" t="str">
        <f ca="1" t="shared" si="69"/>
        <v>-</v>
      </c>
      <c r="AE38" s="59" t="str">
        <f ca="1" t="shared" si="69"/>
        <v>-</v>
      </c>
      <c r="AF38" s="59" t="str">
        <f ca="1" t="shared" si="69"/>
        <v>-</v>
      </c>
      <c r="AG38" s="59" t="str">
        <f ca="1" t="shared" si="69"/>
        <v>-</v>
      </c>
      <c r="AH38" s="59" t="str">
        <f ca="1" t="shared" si="69"/>
        <v>-</v>
      </c>
      <c r="AI38" s="59" t="str">
        <f ca="1" t="shared" si="69"/>
        <v>-</v>
      </c>
      <c r="AJ38" s="59" t="str">
        <f ca="1" t="shared" si="69"/>
        <v>-</v>
      </c>
      <c r="AK38" s="59" t="str">
        <f ca="1" t="shared" si="69"/>
        <v>-</v>
      </c>
      <c r="AL38" s="59" t="str">
        <f ca="1" t="shared" si="69"/>
        <v>-</v>
      </c>
      <c r="AM38" s="59" t="str">
        <f ca="1" t="shared" si="69"/>
        <v>-</v>
      </c>
      <c r="AN38" s="59" t="str">
        <f ca="1" t="shared" si="69"/>
        <v>-</v>
      </c>
      <c r="AO38" s="59" t="str">
        <f ca="1" t="shared" si="69"/>
        <v>-</v>
      </c>
      <c r="AP38" s="59" t="str">
        <f ca="1" t="shared" si="69"/>
        <v>-</v>
      </c>
      <c r="AQ38" s="59" t="str">
        <f ca="1" t="shared" si="69"/>
        <v>-</v>
      </c>
      <c r="AR38" s="59" t="str">
        <f ca="1" t="shared" si="69"/>
        <v>-</v>
      </c>
      <c r="AS38" s="59" t="str">
        <f ca="1" t="shared" si="69"/>
        <v>-</v>
      </c>
      <c r="AT38" s="59" t="str">
        <f ca="1" t="shared" si="69"/>
        <v>-</v>
      </c>
      <c r="AU38" s="59" t="str">
        <f ca="1" t="shared" si="69"/>
        <v>-</v>
      </c>
      <c r="AV38" s="59" t="str">
        <f ca="1" t="shared" si="69"/>
        <v>-</v>
      </c>
      <c r="AW38" s="59" t="str">
        <f ca="1" t="shared" si="69"/>
        <v>-</v>
      </c>
      <c r="AX38" s="59" t="str">
        <f ca="1" t="shared" si="69"/>
        <v>-</v>
      </c>
      <c r="AY38" s="59" t="str">
        <f ca="1" t="shared" si="69"/>
        <v>-</v>
      </c>
      <c r="AZ38" s="59" t="str">
        <f ca="1" t="shared" si="69"/>
        <v>-</v>
      </c>
      <c r="BA38" s="59" t="str">
        <f ca="1" t="shared" si="69"/>
        <v>-</v>
      </c>
      <c r="BD38" s="40" t="str">
        <f ca="1">IFERROR(SUMIFS('TRA balance'!E$5:E$40,'TRA balance'!$C$5:$C$40,Assumptions!$C38,'TRA balance'!$D$5:$D$40,Assumptions!$B38)*CY38*H38,"")</f>
        <v/>
      </c>
      <c r="BE38" s="40" t="str">
        <f ca="1">IFERROR(SUMIFS('TRA balance'!F$5:F$40,'TRA balance'!$C$5:$C$40,Assumptions!$C38,'TRA balance'!$D$5:$D$40,Assumptions!$B38)*CZ38*I38,"")</f>
        <v/>
      </c>
      <c r="BF38" s="40" t="str">
        <f ca="1">IFERROR(SUMIFS('TRA balance'!G$5:G$40,'TRA balance'!$C$5:$C$40,Assumptions!$C38,'TRA balance'!$D$5:$D$40,Assumptions!$B38)*DA38*J38,"")</f>
        <v/>
      </c>
      <c r="BG38" s="40" t="str">
        <f ca="1">IFERROR(SUMIFS('TRA balance'!H$5:H$40,'TRA balance'!$C$5:$C$40,Assumptions!$C38,'TRA balance'!$D$5:$D$40,Assumptions!$B38)*DB38*K38,"")</f>
        <v/>
      </c>
      <c r="BH38" s="40" t="str">
        <f ca="1">IFERROR(SUMIFS('TRA balance'!I$5:I$40,'TRA balance'!$C$5:$C$40,Assumptions!$C38,'TRA balance'!$D$5:$D$40,Assumptions!$B38)*DC38*L38,"")</f>
        <v/>
      </c>
      <c r="BI38" s="40" t="str">
        <f ca="1">IFERROR(SUMIFS('TRA balance'!J$5:J$40,'TRA balance'!$C$5:$C$40,Assumptions!$C38,'TRA balance'!$D$5:$D$40,Assumptions!$B38)*DD38*M38,"")</f>
        <v/>
      </c>
      <c r="BJ38" s="40" t="str">
        <f ca="1">IFERROR(SUMIFS('TRA balance'!K$5:K$40,'TRA balance'!$C$5:$C$40,Assumptions!$C38,'TRA balance'!$D$5:$D$40,Assumptions!$B38)*DE38*N38,"")</f>
        <v/>
      </c>
      <c r="BK38" s="40" t="str">
        <f ca="1">IFERROR(SUMIFS('TRA balance'!L$5:L$40,'TRA balance'!$C$5:$C$40,Assumptions!$C38,'TRA balance'!$D$5:$D$40,Assumptions!$B38)*DF38*O38,"")</f>
        <v/>
      </c>
      <c r="BL38" s="40" t="str">
        <f ca="1">IFERROR(SUMIFS('TRA balance'!M$5:M$40,'TRA balance'!$C$5:$C$40,Assumptions!$C38,'TRA balance'!$D$5:$D$40,Assumptions!$B38)*DG38*P38,"")</f>
        <v/>
      </c>
      <c r="BM38" s="40" t="str">
        <f ca="1">IFERROR(SUMIFS('TRA balance'!N$5:N$40,'TRA balance'!$C$5:$C$40,Assumptions!$C38,'TRA balance'!$D$5:$D$40,Assumptions!$B38)*DH38*Q38,"")</f>
        <v/>
      </c>
      <c r="BN38" s="40" t="str">
        <f ca="1">IFERROR(SUMIFS('TRA balance'!O$5:O$40,'TRA balance'!$C$5:$C$40,Assumptions!$C38,'TRA balance'!$D$5:$D$40,Assumptions!$B38)*DI38*R38,"")</f>
        <v/>
      </c>
      <c r="BO38" s="40" t="str">
        <f ca="1">IFERROR(SUMIFS('TRA balance'!P$5:P$40,'TRA balance'!$C$5:$C$40,Assumptions!$C38,'TRA balance'!$D$5:$D$40,Assumptions!$B38)*DJ38*S38,"")</f>
        <v/>
      </c>
      <c r="BP38" s="40" t="str">
        <f ca="1">IFERROR(SUMIFS('TRA balance'!Q$5:Q$40,'TRA balance'!$C$5:$C$40,Assumptions!$C38,'TRA balance'!$D$5:$D$40,Assumptions!$B38)*DK38*T38,"")</f>
        <v/>
      </c>
      <c r="BQ38" s="40" t="str">
        <f ca="1">IFERROR(SUMIFS('TRA balance'!R$5:R$40,'TRA balance'!$C$5:$C$40,Assumptions!$C38,'TRA balance'!$D$5:$D$40,Assumptions!$B38)*DL38*U38,"")</f>
        <v/>
      </c>
      <c r="BR38" s="40" t="str">
        <f ca="1">IFERROR(SUMIFS('TRA balance'!S$5:S$40,'TRA balance'!$C$5:$C$40,Assumptions!$C38,'TRA balance'!$D$5:$D$40,Assumptions!$B38)*DM38*V38,"")</f>
        <v/>
      </c>
      <c r="BS38" s="40" t="str">
        <f ca="1">IFERROR(SUMIFS('TRA balance'!T$5:T$40,'TRA balance'!$C$5:$C$40,Assumptions!$C38,'TRA balance'!$D$5:$D$40,Assumptions!$B38)*DN38*W38,"")</f>
        <v/>
      </c>
      <c r="BT38" s="40" t="str">
        <f ca="1">IFERROR(SUMIFS('TRA balance'!U$5:U$40,'TRA balance'!$C$5:$C$40,Assumptions!$C38,'TRA balance'!$D$5:$D$40,Assumptions!$B38)*DO38*X38,"")</f>
        <v/>
      </c>
      <c r="BU38" s="40" t="str">
        <f ca="1">IFERROR(SUMIFS('TRA balance'!V$5:V$40,'TRA balance'!$C$5:$C$40,Assumptions!$C38,'TRA balance'!$D$5:$D$40,Assumptions!$B38)*DP38*Y38,"")</f>
        <v/>
      </c>
      <c r="BV38" s="40" t="str">
        <f ca="1">IFERROR(SUMIFS('TRA balance'!W$5:W$40,'TRA balance'!$C$5:$C$40,Assumptions!$C38,'TRA balance'!$D$5:$D$40,Assumptions!$B38)*DQ38*Z38,"")</f>
        <v/>
      </c>
      <c r="BW38" s="40" t="str">
        <f ca="1">IFERROR(SUMIFS('TRA balance'!X$5:X$40,'TRA balance'!$C$5:$C$40,Assumptions!$C38,'TRA balance'!$D$5:$D$40,Assumptions!$B38)*DR38*AA38,"")</f>
        <v/>
      </c>
      <c r="BX38" s="40" t="str">
        <f ca="1">IFERROR(SUMIFS('TRA balance'!Y$5:Y$40,'TRA balance'!$C$5:$C$40,Assumptions!$C38,'TRA balance'!$D$5:$D$40,Assumptions!$B38)*DS38*AB38,"")</f>
        <v/>
      </c>
      <c r="BY38" s="40" t="str">
        <f ca="1">IFERROR(SUMIFS('TRA balance'!Z$5:Z$40,'TRA balance'!$C$5:$C$40,Assumptions!$C38,'TRA balance'!$D$5:$D$40,Assumptions!$B38)*DT38*AC38,"")</f>
        <v/>
      </c>
      <c r="BZ38" s="40" t="str">
        <f ca="1">IFERROR(SUMIFS('TRA balance'!AA$5:AA$40,'TRA balance'!$C$5:$C$40,Assumptions!$C38,'TRA balance'!$D$5:$D$40,Assumptions!$B38)*DU38*AD38,"")</f>
        <v/>
      </c>
      <c r="CA38" s="40" t="str">
        <f ca="1">IFERROR(SUMIFS('TRA balance'!AB$5:AB$40,'TRA balance'!$C$5:$C$40,Assumptions!$C38,'TRA balance'!$D$5:$D$40,Assumptions!$B38)*DV38*AE38,"")</f>
        <v/>
      </c>
      <c r="CB38" s="40" t="str">
        <f ca="1">IFERROR(SUMIFS('TRA balance'!AC$5:AC$40,'TRA balance'!$C$5:$C$40,Assumptions!$C38,'TRA balance'!$D$5:$D$40,Assumptions!$B38)*DW38*AF38,"")</f>
        <v/>
      </c>
      <c r="CC38" s="40" t="str">
        <f ca="1">IFERROR(SUMIFS('TRA balance'!AD$5:AD$40,'TRA balance'!$C$5:$C$40,Assumptions!$C38,'TRA balance'!$D$5:$D$40,Assumptions!$B38)*DX38*AG38,"")</f>
        <v/>
      </c>
      <c r="CD38" s="40" t="str">
        <f ca="1">IFERROR(SUMIFS('TRA balance'!AE$5:AE$40,'TRA balance'!$C$5:$C$40,Assumptions!$C38,'TRA balance'!$D$5:$D$40,Assumptions!$B38)*DY38*AH38,"")</f>
        <v/>
      </c>
      <c r="CE38" s="40" t="str">
        <f ca="1">IFERROR(SUMIFS('TRA balance'!AF$5:AF$40,'TRA balance'!$C$5:$C$40,Assumptions!$C38,'TRA balance'!$D$5:$D$40,Assumptions!$B38)*DZ38*AI38,"")</f>
        <v/>
      </c>
      <c r="CF38" s="40" t="str">
        <f ca="1">IFERROR(SUMIFS('TRA balance'!AG$5:AG$40,'TRA balance'!$C$5:$C$40,Assumptions!$C38,'TRA balance'!$D$5:$D$40,Assumptions!$B38)*EA38*AJ38,"")</f>
        <v/>
      </c>
      <c r="CG38" s="40" t="str">
        <f ca="1">IFERROR(SUMIFS('TRA balance'!AH$5:AH$40,'TRA balance'!$C$5:$C$40,Assumptions!$C38,'TRA balance'!$D$5:$D$40,Assumptions!$B38)*EB38*AK38,"")</f>
        <v/>
      </c>
      <c r="CH38" s="40" t="str">
        <f ca="1">IFERROR(SUMIFS('TRA balance'!AI$5:AI$40,'TRA balance'!$C$5:$C$40,Assumptions!$C38,'TRA balance'!$D$5:$D$40,Assumptions!$B38)*EC38*AL38,"")</f>
        <v/>
      </c>
      <c r="CI38" s="40" t="str">
        <f ca="1">IFERROR(SUMIFS('TRA balance'!AJ$5:AJ$40,'TRA balance'!$C$5:$C$40,Assumptions!$C38,'TRA balance'!$D$5:$D$40,Assumptions!$B38)*ED38*AM38,"")</f>
        <v/>
      </c>
      <c r="CJ38" s="40" t="str">
        <f ca="1">IFERROR(SUMIFS('TRA balance'!AK$5:AK$40,'TRA balance'!$C$5:$C$40,Assumptions!$C38,'TRA balance'!$D$5:$D$40,Assumptions!$B38)*EE38*AN38,"")</f>
        <v/>
      </c>
      <c r="CK38" s="40" t="str">
        <f ca="1">IFERROR(SUMIFS('TRA balance'!AL$5:AL$40,'TRA balance'!$C$5:$C$40,Assumptions!$C38,'TRA balance'!$D$5:$D$40,Assumptions!$B38)*EF38*AO38,"")</f>
        <v/>
      </c>
      <c r="CL38" s="40" t="str">
        <f ca="1">IFERROR(SUMIFS('TRA balance'!AM$5:AM$40,'TRA balance'!$C$5:$C$40,Assumptions!$C38,'TRA balance'!$D$5:$D$40,Assumptions!$B38)*EG38*AP38,"")</f>
        <v/>
      </c>
      <c r="CM38" s="40" t="str">
        <f ca="1">IFERROR(SUMIFS('TRA balance'!AN$5:AN$40,'TRA balance'!$C$5:$C$40,Assumptions!$C38,'TRA balance'!$D$5:$D$40,Assumptions!$B38)*EH38*AQ38,"")</f>
        <v/>
      </c>
      <c r="CN38" s="40" t="str">
        <f ca="1">IFERROR(SUMIFS('TRA balance'!AO$5:AO$40,'TRA balance'!$C$5:$C$40,Assumptions!$C38,'TRA balance'!$D$5:$D$40,Assumptions!$B38)*EI38*AR38,"")</f>
        <v/>
      </c>
      <c r="CO38" s="40" t="str">
        <f ca="1">IFERROR(SUMIFS('TRA balance'!AP$5:AP$40,'TRA balance'!$C$5:$C$40,Assumptions!$C38,'TRA balance'!$D$5:$D$40,Assumptions!$B38)*EJ38*AS38,"")</f>
        <v/>
      </c>
      <c r="CP38" s="40" t="str">
        <f ca="1">IFERROR(SUMIFS('TRA balance'!AQ$5:AQ$40,'TRA balance'!$C$5:$C$40,Assumptions!$C38,'TRA balance'!$D$5:$D$40,Assumptions!$B38)*EK38*AT38,"")</f>
        <v/>
      </c>
      <c r="CQ38" s="40" t="str">
        <f ca="1">IFERROR(SUMIFS('TRA balance'!AR$5:AR$40,'TRA balance'!$C$5:$C$40,Assumptions!$C38,'TRA balance'!$D$5:$D$40,Assumptions!$B38)*EL38*AU38,"")</f>
        <v/>
      </c>
      <c r="CR38" s="40" t="str">
        <f ca="1">IFERROR(SUMIFS('TRA balance'!AS$5:AS$40,'TRA balance'!$C$5:$C$40,Assumptions!$C38,'TRA balance'!$D$5:$D$40,Assumptions!$B38)*EM38*AV38,"")</f>
        <v/>
      </c>
      <c r="CS38" s="40" t="str">
        <f ca="1">IFERROR(SUMIFS('TRA balance'!AT$5:AT$40,'TRA balance'!$C$5:$C$40,Assumptions!$C38,'TRA balance'!$D$5:$D$40,Assumptions!$B38)*EN38*AW38,"")</f>
        <v/>
      </c>
      <c r="CT38" s="40" t="str">
        <f ca="1">IFERROR(SUMIFS('TRA balance'!AU$5:AU$40,'TRA balance'!$C$5:$C$40,Assumptions!$C38,'TRA balance'!$D$5:$D$40,Assumptions!$B38)*EO38*AX38,"")</f>
        <v/>
      </c>
      <c r="CU38" s="40" t="str">
        <f ca="1">IFERROR(SUMIFS('TRA balance'!AV$5:AV$40,'TRA balance'!$C$5:$C$40,Assumptions!$C38,'TRA balance'!$D$5:$D$40,Assumptions!$B38)*EP38*AY38,"")</f>
        <v/>
      </c>
      <c r="CV38" s="40" t="str">
        <f ca="1">IFERROR(SUMIFS('TRA balance'!AW$5:AW$40,'TRA balance'!$C$5:$C$40,Assumptions!$C38,'TRA balance'!$D$5:$D$40,Assumptions!$B38)*EQ38*AZ38,"")</f>
        <v/>
      </c>
      <c r="CW38" s="40" t="str">
        <f ca="1">IFERROR(SUMIFS('TRA balance'!AX$5:AX$40,'TRA balance'!$C$5:$C$40,Assumptions!$C38,'TRA balance'!$D$5:$D$40,Assumptions!$B38)*ER38*BA38,"")</f>
        <v/>
      </c>
      <c r="CY38" s="39">
        <f ca="1" t="shared" si="66"/>
        <v>1</v>
      </c>
      <c r="CZ38" s="39">
        <f ca="1" t="shared" si="3"/>
        <v>1</v>
      </c>
      <c r="DA38" s="39">
        <f ca="1" t="shared" si="4"/>
        <v>1</v>
      </c>
      <c r="DB38" s="39">
        <f ca="1" t="shared" si="5"/>
        <v>1</v>
      </c>
      <c r="DC38" s="39">
        <f ca="1" t="shared" si="6"/>
        <v>1</v>
      </c>
      <c r="DD38" s="39">
        <f ca="1" t="shared" si="7"/>
        <v>1</v>
      </c>
      <c r="DE38" s="39">
        <f ca="1" t="shared" si="8"/>
        <v>1</v>
      </c>
      <c r="DF38" s="39">
        <f ca="1" t="shared" si="9"/>
        <v>1</v>
      </c>
      <c r="DG38" s="39">
        <f ca="1" t="shared" si="10"/>
        <v>1</v>
      </c>
      <c r="DH38" s="39">
        <f ca="1" t="shared" si="11"/>
        <v>1</v>
      </c>
      <c r="DI38" s="39">
        <f ca="1" t="shared" si="12"/>
        <v>1</v>
      </c>
      <c r="DJ38" s="39">
        <f ca="1" t="shared" si="13"/>
        <v>1</v>
      </c>
      <c r="DK38" s="39">
        <f ca="1" t="shared" si="14"/>
        <v>1</v>
      </c>
      <c r="DL38" s="39">
        <f ca="1" t="shared" si="15"/>
        <v>1</v>
      </c>
      <c r="DM38" s="39">
        <f ca="1" t="shared" si="16"/>
        <v>1</v>
      </c>
      <c r="DN38" s="39">
        <f ca="1" t="shared" si="17"/>
        <v>1</v>
      </c>
      <c r="DO38" s="39">
        <f ca="1" t="shared" si="18"/>
        <v>1</v>
      </c>
      <c r="DP38" s="39">
        <f ca="1" t="shared" si="19"/>
        <v>1</v>
      </c>
      <c r="DQ38" s="39">
        <f ca="1" t="shared" si="20"/>
        <v>1</v>
      </c>
      <c r="DR38" s="39">
        <f ca="1" t="shared" si="21"/>
        <v>1</v>
      </c>
      <c r="DS38" s="39">
        <f ca="1" t="shared" si="22"/>
        <v>1</v>
      </c>
      <c r="DT38" s="39">
        <f ca="1" t="shared" si="23"/>
        <v>1</v>
      </c>
      <c r="DU38" s="39">
        <f ca="1" t="shared" si="24"/>
        <v>1</v>
      </c>
      <c r="DV38" s="39">
        <f ca="1" t="shared" si="25"/>
        <v>1</v>
      </c>
      <c r="DW38" s="39">
        <f ca="1" t="shared" si="26"/>
        <v>1</v>
      </c>
      <c r="DX38" s="39">
        <f ca="1" t="shared" si="27"/>
        <v>1</v>
      </c>
      <c r="DY38" s="39">
        <f ca="1" t="shared" si="28"/>
        <v>1</v>
      </c>
      <c r="DZ38" s="39">
        <f ca="1" t="shared" si="29"/>
        <v>1</v>
      </c>
      <c r="EA38" s="39">
        <f ca="1" t="shared" si="30"/>
        <v>1</v>
      </c>
      <c r="EB38" s="39">
        <f ca="1" t="shared" si="31"/>
        <v>1</v>
      </c>
      <c r="EC38" s="39">
        <f ca="1" t="shared" si="32"/>
        <v>1</v>
      </c>
      <c r="ED38" s="39">
        <f ca="1" t="shared" si="33"/>
        <v>1</v>
      </c>
      <c r="EE38" s="39">
        <f ca="1" t="shared" si="34"/>
        <v>1</v>
      </c>
      <c r="EF38" s="39">
        <f ca="1" t="shared" si="35"/>
        <v>1</v>
      </c>
      <c r="EG38" s="39">
        <f ca="1" t="shared" si="36"/>
        <v>1</v>
      </c>
      <c r="EH38" s="39">
        <f ca="1" t="shared" si="37"/>
        <v>1</v>
      </c>
      <c r="EI38" s="39">
        <f ca="1" t="shared" si="38"/>
        <v>1</v>
      </c>
      <c r="EJ38" s="39">
        <f ca="1" t="shared" si="39"/>
        <v>1</v>
      </c>
      <c r="EK38" s="39">
        <f ca="1" t="shared" si="40"/>
        <v>1</v>
      </c>
      <c r="EL38" s="39">
        <f ca="1" t="shared" si="41"/>
        <v>1</v>
      </c>
      <c r="EM38" s="39">
        <f ca="1" t="shared" si="42"/>
        <v>1</v>
      </c>
      <c r="EN38" s="39">
        <f ca="1" t="shared" si="43"/>
        <v>1</v>
      </c>
      <c r="EO38" s="39">
        <f ca="1" t="shared" si="44"/>
        <v>1</v>
      </c>
      <c r="EP38" s="39">
        <f ca="1" t="shared" si="45"/>
        <v>1</v>
      </c>
      <c r="EQ38" s="39">
        <f ca="1" t="shared" si="46"/>
        <v>1</v>
      </c>
      <c r="ER38" s="39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2">
        <v>1</v>
      </c>
      <c r="D39" s="63" t="s">
        <v>200</v>
      </c>
      <c r="E39" s="63" t="s">
        <v>201</v>
      </c>
      <c r="F39" s="64" t="s">
        <v>73</v>
      </c>
      <c r="G39" s="62"/>
      <c r="H39" s="57">
        <f ca="1">OFFSET(TIAM15_assumptions!$G39,0,MATCH(VLOOKUP(Assumptions!H$2,TIAM15_assumptions!$Y$3:$Z$87,2,FALSE),TIAM15_assumptions!$H$2:$V$2,0))</f>
        <v>0.6</v>
      </c>
      <c r="I39" s="57">
        <f ca="1">OFFSET(TIAM15_assumptions!$G39,0,MATCH(VLOOKUP(Assumptions!I$2,TIAM15_assumptions!$Y$3:$Z$87,2,FALSE),TIAM15_assumptions!$H$2:$V$2,0))</f>
        <v>0.6</v>
      </c>
      <c r="J39" s="57">
        <f ca="1">OFFSET(TIAM15_assumptions!$G39,0,MATCH(VLOOKUP(Assumptions!J$2,TIAM15_assumptions!$Y$3:$Z$87,2,FALSE),TIAM15_assumptions!$H$2:$V$2,0))</f>
        <v>0.25</v>
      </c>
      <c r="K39" s="57">
        <f ca="1">OFFSET(TIAM15_assumptions!$G39,0,MATCH(VLOOKUP(Assumptions!K$2,TIAM15_assumptions!$Y$3:$Z$87,2,FALSE),TIAM15_assumptions!$H$2:$V$2,0))</f>
        <v>0.75</v>
      </c>
      <c r="L39" s="57">
        <f ca="1">OFFSET(TIAM15_assumptions!$G39,0,MATCH(VLOOKUP(Assumptions!L$2,TIAM15_assumptions!$Y$3:$Z$87,2,FALSE),TIAM15_assumptions!$H$2:$V$2,0))</f>
        <v>0.57</v>
      </c>
      <c r="M39" s="57">
        <f ca="1">OFFSET(TIAM15_assumptions!$G39,0,MATCH(VLOOKUP(Assumptions!M$2,TIAM15_assumptions!$Y$3:$Z$87,2,FALSE),TIAM15_assumptions!$H$2:$V$2,0))</f>
        <v>0.75</v>
      </c>
      <c r="N39" s="57">
        <f ca="1">OFFSET(TIAM15_assumptions!$G39,0,MATCH(VLOOKUP(Assumptions!N$2,TIAM15_assumptions!$Y$3:$Z$87,2,FALSE),TIAM15_assumptions!$H$2:$V$2,0))</f>
        <v>0.5</v>
      </c>
      <c r="O39" s="57">
        <f ca="1">OFFSET(TIAM15_assumptions!$G39,0,MATCH(VLOOKUP(Assumptions!O$2,TIAM15_assumptions!$Y$3:$Z$87,2,FALSE),TIAM15_assumptions!$H$2:$V$2,0))</f>
        <v>0.4</v>
      </c>
      <c r="P39" s="57">
        <f ca="1">OFFSET(TIAM15_assumptions!$G39,0,MATCH(VLOOKUP(Assumptions!P$2,TIAM15_assumptions!$Y$3:$Z$87,2,FALSE),TIAM15_assumptions!$H$2:$V$2,0))</f>
        <v>0.57</v>
      </c>
      <c r="Q39" s="57">
        <f ca="1">OFFSET(TIAM15_assumptions!$G39,0,MATCH(VLOOKUP(Assumptions!Q$2,TIAM15_assumptions!$Y$3:$Z$87,2,FALSE),TIAM15_assumptions!$H$2:$V$2,0))</f>
        <v>0.57</v>
      </c>
      <c r="R39" s="57">
        <f ca="1">OFFSET(TIAM15_assumptions!$G39,0,MATCH(VLOOKUP(Assumptions!R$2,TIAM15_assumptions!$Y$3:$Z$87,2,FALSE),TIAM15_assumptions!$H$2:$V$2,0))</f>
        <v>0.75</v>
      </c>
      <c r="S39" s="57">
        <f ca="1">OFFSET(TIAM15_assumptions!$G39,0,MATCH(VLOOKUP(Assumptions!S$2,TIAM15_assumptions!$Y$3:$Z$87,2,FALSE),TIAM15_assumptions!$H$2:$V$2,0))</f>
        <v>0.75</v>
      </c>
      <c r="T39" s="57">
        <f ca="1">OFFSET(TIAM15_assumptions!$G39,0,MATCH(VLOOKUP(Assumptions!T$2,TIAM15_assumptions!$Y$3:$Z$87,2,FALSE),TIAM15_assumptions!$H$2:$V$2,0))</f>
        <v>0.75</v>
      </c>
      <c r="U39" s="57">
        <f ca="1">OFFSET(TIAM15_assumptions!$G39,0,MATCH(VLOOKUP(Assumptions!U$2,TIAM15_assumptions!$Y$3:$Z$87,2,FALSE),TIAM15_assumptions!$H$2:$V$2,0))</f>
        <v>0.57</v>
      </c>
      <c r="V39" s="57">
        <f ca="1">OFFSET(TIAM15_assumptions!$G39,0,MATCH(VLOOKUP(Assumptions!V$2,TIAM15_assumptions!$Y$3:$Z$87,2,FALSE),TIAM15_assumptions!$H$2:$V$2,0))</f>
        <v>0.75</v>
      </c>
      <c r="W39" s="57">
        <f ca="1">OFFSET(TIAM15_assumptions!$G39,0,MATCH(VLOOKUP(Assumptions!W$2,TIAM15_assumptions!$Y$3:$Z$87,2,FALSE),TIAM15_assumptions!$H$2:$V$2,0))</f>
        <v>0.25</v>
      </c>
      <c r="X39" s="57">
        <f ca="1">OFFSET(TIAM15_assumptions!$G39,0,MATCH(VLOOKUP(Assumptions!X$2,TIAM15_assumptions!$Y$3:$Z$87,2,FALSE),TIAM15_assumptions!$H$2:$V$2,0))</f>
        <v>0.75</v>
      </c>
      <c r="Y39" s="57">
        <f ca="1">OFFSET(TIAM15_assumptions!$G39,0,MATCH(VLOOKUP(Assumptions!Y$2,TIAM15_assumptions!$Y$3:$Z$87,2,FALSE),TIAM15_assumptions!$H$2:$V$2,0))</f>
        <v>0.75</v>
      </c>
      <c r="Z39" s="57">
        <f ca="1">OFFSET(TIAM15_assumptions!$G39,0,MATCH(VLOOKUP(Assumptions!Z$2,TIAM15_assumptions!$Y$3:$Z$87,2,FALSE),TIAM15_assumptions!$H$2:$V$2,0))</f>
        <v>0.57</v>
      </c>
      <c r="AA39" s="57">
        <f ca="1">OFFSET(TIAM15_assumptions!$G39,0,MATCH(VLOOKUP(Assumptions!AA$2,TIAM15_assumptions!$Y$3:$Z$87,2,FALSE),TIAM15_assumptions!$H$2:$V$2,0))</f>
        <v>0.5</v>
      </c>
      <c r="AB39" s="57">
        <f ca="1">OFFSET(TIAM15_assumptions!$G39,0,MATCH(VLOOKUP(Assumptions!AB$2,TIAM15_assumptions!$Y$3:$Z$87,2,FALSE),TIAM15_assumptions!$H$2:$V$2,0))</f>
        <v>0.6</v>
      </c>
      <c r="AC39" s="57">
        <f ca="1">OFFSET(TIAM15_assumptions!$G39,0,MATCH(VLOOKUP(Assumptions!AC$2,TIAM15_assumptions!$Y$3:$Z$87,2,FALSE),TIAM15_assumptions!$H$2:$V$2,0))</f>
        <v>0.719214717155623</v>
      </c>
      <c r="AD39" s="57">
        <f ca="1">OFFSET(TIAM15_assumptions!$G39,0,MATCH(VLOOKUP(Assumptions!AD$2,TIAM15_assumptions!$Y$3:$Z$87,2,FALSE),TIAM15_assumptions!$H$2:$V$2,0))</f>
        <v>0.75</v>
      </c>
      <c r="AE39" s="57">
        <f ca="1">OFFSET(TIAM15_assumptions!$G39,0,MATCH(VLOOKUP(Assumptions!AE$2,TIAM15_assumptions!$Y$3:$Z$87,2,FALSE),TIAM15_assumptions!$H$2:$V$2,0))</f>
        <v>0.57</v>
      </c>
      <c r="AF39" s="57">
        <f ca="1">OFFSET(TIAM15_assumptions!$G39,0,MATCH(VLOOKUP(Assumptions!AF$2,TIAM15_assumptions!$Y$3:$Z$87,2,FALSE),TIAM15_assumptions!$H$2:$V$2,0))</f>
        <v>0.7</v>
      </c>
      <c r="AG39" s="57">
        <f ca="1">OFFSET(TIAM15_assumptions!$G39,0,MATCH(VLOOKUP(Assumptions!AG$2,TIAM15_assumptions!$Y$3:$Z$87,2,FALSE),TIAM15_assumptions!$H$2:$V$2,0))</f>
        <v>0.57</v>
      </c>
      <c r="AH39" s="57">
        <f ca="1">OFFSET(TIAM15_assumptions!$G39,0,MATCH(VLOOKUP(Assumptions!AH$2,TIAM15_assumptions!$Y$3:$Z$87,2,FALSE),TIAM15_assumptions!$H$2:$V$2,0))</f>
        <v>0.6</v>
      </c>
      <c r="AI39" s="57">
        <f ca="1">OFFSET(TIAM15_assumptions!$G39,0,MATCH(VLOOKUP(Assumptions!AI$2,TIAM15_assumptions!$Y$3:$Z$87,2,FALSE),TIAM15_assumptions!$H$2:$V$2,0))</f>
        <v>0.6</v>
      </c>
      <c r="AJ39" s="57">
        <f ca="1">OFFSET(TIAM15_assumptions!$G39,0,MATCH(VLOOKUP(Assumptions!AJ$2,TIAM15_assumptions!$Y$3:$Z$87,2,FALSE),TIAM15_assumptions!$H$2:$V$2,0))</f>
        <v>0.75</v>
      </c>
      <c r="AK39" s="57">
        <f ca="1">OFFSET(TIAM15_assumptions!$G39,0,MATCH(VLOOKUP(Assumptions!AK$2,TIAM15_assumptions!$Y$3:$Z$87,2,FALSE),TIAM15_assumptions!$H$2:$V$2,0))</f>
        <v>0.75</v>
      </c>
      <c r="AL39" s="57">
        <f ca="1">OFFSET(TIAM15_assumptions!$G39,0,MATCH(VLOOKUP(Assumptions!AL$2,TIAM15_assumptions!$Y$3:$Z$87,2,FALSE),TIAM15_assumptions!$H$2:$V$2,0))</f>
        <v>0.75</v>
      </c>
      <c r="AM39" s="57">
        <f ca="1">OFFSET(TIAM15_assumptions!$G39,0,MATCH(VLOOKUP(Assumptions!AM$2,TIAM15_assumptions!$Y$3:$Z$87,2,FALSE),TIAM15_assumptions!$H$2:$V$2,0))</f>
        <v>0.6</v>
      </c>
      <c r="AN39" s="57">
        <f ca="1">OFFSET(TIAM15_assumptions!$G39,0,MATCH(VLOOKUP(Assumptions!AN$2,TIAM15_assumptions!$Y$3:$Z$87,2,FALSE),TIAM15_assumptions!$H$2:$V$2,0))</f>
        <v>0.75</v>
      </c>
      <c r="AO39" s="57">
        <f ca="1">OFFSET(TIAM15_assumptions!$G39,0,MATCH(VLOOKUP(Assumptions!AO$2,TIAM15_assumptions!$Y$3:$Z$87,2,FALSE),TIAM15_assumptions!$H$2:$V$2,0))</f>
        <v>0.57</v>
      </c>
      <c r="AP39" s="57">
        <f ca="1">OFFSET(TIAM15_assumptions!$G39,0,MATCH(VLOOKUP(Assumptions!AP$2,TIAM15_assumptions!$Y$3:$Z$87,2,FALSE),TIAM15_assumptions!$H$2:$V$2,0))</f>
        <v>0.57</v>
      </c>
      <c r="AQ39" s="57">
        <f ca="1">OFFSET(TIAM15_assumptions!$G39,0,MATCH(VLOOKUP(Assumptions!AQ$2,TIAM15_assumptions!$Y$3:$Z$87,2,FALSE),TIAM15_assumptions!$H$2:$V$2,0))</f>
        <v>0.719214717155623</v>
      </c>
      <c r="AR39" s="57">
        <f ca="1">OFFSET(TIAM15_assumptions!$G39,0,MATCH(VLOOKUP(Assumptions!AR$2,TIAM15_assumptions!$Y$3:$Z$87,2,FALSE),TIAM15_assumptions!$H$2:$V$2,0))</f>
        <v>0.719214717155623</v>
      </c>
      <c r="AS39" s="57">
        <f ca="1">OFFSET(TIAM15_assumptions!$G39,0,MATCH(VLOOKUP(Assumptions!AS$2,TIAM15_assumptions!$Y$3:$Z$87,2,FALSE),TIAM15_assumptions!$H$2:$V$2,0))</f>
        <v>0.719214717155623</v>
      </c>
      <c r="AT39" s="57">
        <f ca="1">OFFSET(TIAM15_assumptions!$G39,0,MATCH(VLOOKUP(Assumptions!AT$2,TIAM15_assumptions!$Y$3:$Z$87,2,FALSE),TIAM15_assumptions!$H$2:$V$2,0))</f>
        <v>0.719214717155623</v>
      </c>
      <c r="AU39" s="57">
        <f ca="1">OFFSET(TIAM15_assumptions!$G39,0,MATCH(VLOOKUP(Assumptions!AU$2,TIAM15_assumptions!$Y$3:$Z$87,2,FALSE),TIAM15_assumptions!$H$2:$V$2,0))</f>
        <v>0.719214717155623</v>
      </c>
      <c r="AV39" s="57">
        <f ca="1">OFFSET(TIAM15_assumptions!$G39,0,MATCH(VLOOKUP(Assumptions!AV$2,TIAM15_assumptions!$Y$3:$Z$87,2,FALSE),TIAM15_assumptions!$H$2:$V$2,0))</f>
        <v>0.719214717155623</v>
      </c>
      <c r="AW39" s="57">
        <f ca="1">OFFSET(TIAM15_assumptions!$G39,0,MATCH(VLOOKUP(Assumptions!AW$2,TIAM15_assumptions!$Y$3:$Z$87,2,FALSE),TIAM15_assumptions!$H$2:$V$2,0))</f>
        <v>0.719214717155623</v>
      </c>
      <c r="AX39" s="57">
        <f ca="1">OFFSET(TIAM15_assumptions!$G39,0,MATCH(VLOOKUP(Assumptions!AX$2,TIAM15_assumptions!$Y$3:$Z$87,2,FALSE),TIAM15_assumptions!$H$2:$V$2,0))</f>
        <v>0.719214717155623</v>
      </c>
      <c r="AY39" s="57">
        <f ca="1">OFFSET(TIAM15_assumptions!$G39,0,MATCH(VLOOKUP(Assumptions!AY$2,TIAM15_assumptions!$Y$3:$Z$87,2,FALSE),TIAM15_assumptions!$H$2:$V$2,0))</f>
        <v>0.719214717155623</v>
      </c>
      <c r="AZ39" s="57">
        <f ca="1">OFFSET(TIAM15_assumptions!$G39,0,MATCH(VLOOKUP(Assumptions!AZ$2,TIAM15_assumptions!$Y$3:$Z$87,2,FALSE),TIAM15_assumptions!$H$2:$V$2,0))</f>
        <v>0.719214717155623</v>
      </c>
      <c r="BA39" s="57">
        <f ca="1">OFFSET(TIAM15_assumptions!$G39,0,MATCH(VLOOKUP(Assumptions!BA$2,TIAM15_assumptions!$Y$3:$Z$87,2,FALSE),TIAM15_assumptions!$H$2:$V$2,0))</f>
        <v>0.719214717155623</v>
      </c>
      <c r="BD39" s="40">
        <f ca="1">IFERROR(SUMIFS('TRA balance'!E$5:E$40,'TRA balance'!$C$5:$C$40,Assumptions!$C39,'TRA balance'!$D$5:$D$40,Assumptions!$B39)*CY39*H39,"")</f>
        <v>0</v>
      </c>
      <c r="BE39" s="40">
        <f ca="1">IFERROR(SUMIFS('TRA balance'!F$5:F$40,'TRA balance'!$C$5:$C$40,Assumptions!$C39,'TRA balance'!$D$5:$D$40,Assumptions!$B39)*CZ39*I39,"")</f>
        <v>0</v>
      </c>
      <c r="BF39" s="40">
        <f ca="1">IFERROR(SUMIFS('TRA balance'!G$5:G$40,'TRA balance'!$C$5:$C$40,Assumptions!$C39,'TRA balance'!$D$5:$D$40,Assumptions!$B39)*DA39*J39,"")</f>
        <v>0</v>
      </c>
      <c r="BG39" s="40">
        <f ca="1">IFERROR(SUMIFS('TRA balance'!H$5:H$40,'TRA balance'!$C$5:$C$40,Assumptions!$C39,'TRA balance'!$D$5:$D$40,Assumptions!$B39)*DB39*K39,"")</f>
        <v>0</v>
      </c>
      <c r="BH39" s="40">
        <f ca="1">IFERROR(SUMIFS('TRA balance'!I$5:I$40,'TRA balance'!$C$5:$C$40,Assumptions!$C39,'TRA balance'!$D$5:$D$40,Assumptions!$B39)*DC39*L39,"")</f>
        <v>0</v>
      </c>
      <c r="BI39" s="40">
        <f ca="1">IFERROR(SUMIFS('TRA balance'!J$5:J$40,'TRA balance'!$C$5:$C$40,Assumptions!$C39,'TRA balance'!$D$5:$D$40,Assumptions!$B39)*DD39*M39,"")</f>
        <v>0</v>
      </c>
      <c r="BJ39" s="40">
        <f ca="1">IFERROR(SUMIFS('TRA balance'!K$5:K$40,'TRA balance'!$C$5:$C$40,Assumptions!$C39,'TRA balance'!$D$5:$D$40,Assumptions!$B39)*DE39*N39,"")</f>
        <v>0</v>
      </c>
      <c r="BK39" s="40">
        <f ca="1">IFERROR(SUMIFS('TRA balance'!L$5:L$40,'TRA balance'!$C$5:$C$40,Assumptions!$C39,'TRA balance'!$D$5:$D$40,Assumptions!$B39)*DF39*O39,"")</f>
        <v>0</v>
      </c>
      <c r="BL39" s="40">
        <f ca="1">IFERROR(SUMIFS('TRA balance'!M$5:M$40,'TRA balance'!$C$5:$C$40,Assumptions!$C39,'TRA balance'!$D$5:$D$40,Assumptions!$B39)*DG39*P39,"")</f>
        <v>0</v>
      </c>
      <c r="BM39" s="40">
        <f ca="1">IFERROR(SUMIFS('TRA balance'!N$5:N$40,'TRA balance'!$C$5:$C$40,Assumptions!$C39,'TRA balance'!$D$5:$D$40,Assumptions!$B39)*DH39*Q39,"")</f>
        <v>0</v>
      </c>
      <c r="BN39" s="40">
        <f ca="1">IFERROR(SUMIFS('TRA balance'!O$5:O$40,'TRA balance'!$C$5:$C$40,Assumptions!$C39,'TRA balance'!$D$5:$D$40,Assumptions!$B39)*DI39*R39,"")</f>
        <v>0</v>
      </c>
      <c r="BO39" s="40">
        <f ca="1">IFERROR(SUMIFS('TRA balance'!P$5:P$40,'TRA balance'!$C$5:$C$40,Assumptions!$C39,'TRA balance'!$D$5:$D$40,Assumptions!$B39)*DJ39*S39,"")</f>
        <v>0</v>
      </c>
      <c r="BP39" s="40">
        <f ca="1">IFERROR(SUMIFS('TRA balance'!Q$5:Q$40,'TRA balance'!$C$5:$C$40,Assumptions!$C39,'TRA balance'!$D$5:$D$40,Assumptions!$B39)*DK39*T39,"")</f>
        <v>0</v>
      </c>
      <c r="BQ39" s="40">
        <f ca="1">IFERROR(SUMIFS('TRA balance'!R$5:R$40,'TRA balance'!$C$5:$C$40,Assumptions!$C39,'TRA balance'!$D$5:$D$40,Assumptions!$B39)*DL39*U39,"")</f>
        <v>0</v>
      </c>
      <c r="BR39" s="40">
        <f ca="1">IFERROR(SUMIFS('TRA balance'!S$5:S$40,'TRA balance'!$C$5:$C$40,Assumptions!$C39,'TRA balance'!$D$5:$D$40,Assumptions!$B39)*DM39*V39,"")</f>
        <v>0</v>
      </c>
      <c r="BS39" s="40">
        <f ca="1">IFERROR(SUMIFS('TRA balance'!T$5:T$40,'TRA balance'!$C$5:$C$40,Assumptions!$C39,'TRA balance'!$D$5:$D$40,Assumptions!$B39)*DN39*W39,"")</f>
        <v>0</v>
      </c>
      <c r="BT39" s="40">
        <f ca="1">IFERROR(SUMIFS('TRA balance'!U$5:U$40,'TRA balance'!$C$5:$C$40,Assumptions!$C39,'TRA balance'!$D$5:$D$40,Assumptions!$B39)*DO39*X39,"")</f>
        <v>0</v>
      </c>
      <c r="BU39" s="40">
        <f ca="1">IFERROR(SUMIFS('TRA balance'!V$5:V$40,'TRA balance'!$C$5:$C$40,Assumptions!$C39,'TRA balance'!$D$5:$D$40,Assumptions!$B39)*DP39*Y39,"")</f>
        <v>0</v>
      </c>
      <c r="BV39" s="40">
        <f ca="1">IFERROR(SUMIFS('TRA balance'!W$5:W$40,'TRA balance'!$C$5:$C$40,Assumptions!$C39,'TRA balance'!$D$5:$D$40,Assumptions!$B39)*DQ39*Z39,"")</f>
        <v>0</v>
      </c>
      <c r="BW39" s="40">
        <f ca="1">IFERROR(SUMIFS('TRA balance'!X$5:X$40,'TRA balance'!$C$5:$C$40,Assumptions!$C39,'TRA balance'!$D$5:$D$40,Assumptions!$B39)*DR39*AA39,"")</f>
        <v>0</v>
      </c>
      <c r="BX39" s="40">
        <f ca="1">IFERROR(SUMIFS('TRA balance'!Y$5:Y$40,'TRA balance'!$C$5:$C$40,Assumptions!$C39,'TRA balance'!$D$5:$D$40,Assumptions!$B39)*DS39*AB39,"")</f>
        <v>0</v>
      </c>
      <c r="BY39" s="40">
        <f ca="1">IFERROR(SUMIFS('TRA balance'!Z$5:Z$40,'TRA balance'!$C$5:$C$40,Assumptions!$C39,'TRA balance'!$D$5:$D$40,Assumptions!$B39)*DT39*AC39,"")</f>
        <v>0</v>
      </c>
      <c r="BZ39" s="40">
        <f ca="1">IFERROR(SUMIFS('TRA balance'!AA$5:AA$40,'TRA balance'!$C$5:$C$40,Assumptions!$C39,'TRA balance'!$D$5:$D$40,Assumptions!$B39)*DU39*AD39,"")</f>
        <v>0</v>
      </c>
      <c r="CA39" s="40">
        <f ca="1">IFERROR(SUMIFS('TRA balance'!AB$5:AB$40,'TRA balance'!$C$5:$C$40,Assumptions!$C39,'TRA balance'!$D$5:$D$40,Assumptions!$B39)*DV39*AE39,"")</f>
        <v>0</v>
      </c>
      <c r="CB39" s="40">
        <f ca="1">IFERROR(SUMIFS('TRA balance'!AC$5:AC$40,'TRA balance'!$C$5:$C$40,Assumptions!$C39,'TRA balance'!$D$5:$D$40,Assumptions!$B39)*DW39*AF39,"")</f>
        <v>0</v>
      </c>
      <c r="CC39" s="40">
        <f ca="1">IFERROR(SUMIFS('TRA balance'!AD$5:AD$40,'TRA balance'!$C$5:$C$40,Assumptions!$C39,'TRA balance'!$D$5:$D$40,Assumptions!$B39)*DX39*AG39,"")</f>
        <v>0</v>
      </c>
      <c r="CD39" s="40">
        <f ca="1">IFERROR(SUMIFS('TRA balance'!AE$5:AE$40,'TRA balance'!$C$5:$C$40,Assumptions!$C39,'TRA balance'!$D$5:$D$40,Assumptions!$B39)*DY39*AH39,"")</f>
        <v>0</v>
      </c>
      <c r="CE39" s="40">
        <f ca="1">IFERROR(SUMIFS('TRA balance'!AF$5:AF$40,'TRA balance'!$C$5:$C$40,Assumptions!$C39,'TRA balance'!$D$5:$D$40,Assumptions!$B39)*DZ39*AI39,"")</f>
        <v>0</v>
      </c>
      <c r="CF39" s="40">
        <f ca="1">IFERROR(SUMIFS('TRA balance'!AG$5:AG$40,'TRA balance'!$C$5:$C$40,Assumptions!$C39,'TRA balance'!$D$5:$D$40,Assumptions!$B39)*EA39*AJ39,"")</f>
        <v>0</v>
      </c>
      <c r="CG39" s="40">
        <f ca="1">IFERROR(SUMIFS('TRA balance'!AH$5:AH$40,'TRA balance'!$C$5:$C$40,Assumptions!$C39,'TRA balance'!$D$5:$D$40,Assumptions!$B39)*EB39*AK39,"")</f>
        <v>0</v>
      </c>
      <c r="CH39" s="40">
        <f ca="1">IFERROR(SUMIFS('TRA balance'!AI$5:AI$40,'TRA balance'!$C$5:$C$40,Assumptions!$C39,'TRA balance'!$D$5:$D$40,Assumptions!$B39)*EC39*AL39,"")</f>
        <v>0</v>
      </c>
      <c r="CI39" s="40">
        <f ca="1">IFERROR(SUMIFS('TRA balance'!AJ$5:AJ$40,'TRA balance'!$C$5:$C$40,Assumptions!$C39,'TRA balance'!$D$5:$D$40,Assumptions!$B39)*ED39*AM39,"")</f>
        <v>0</v>
      </c>
      <c r="CJ39" s="40">
        <f ca="1">IFERROR(SUMIFS('TRA balance'!AK$5:AK$40,'TRA balance'!$C$5:$C$40,Assumptions!$C39,'TRA balance'!$D$5:$D$40,Assumptions!$B39)*EE39*AN39,"")</f>
        <v>0</v>
      </c>
      <c r="CK39" s="40">
        <f ca="1">IFERROR(SUMIFS('TRA balance'!AL$5:AL$40,'TRA balance'!$C$5:$C$40,Assumptions!$C39,'TRA balance'!$D$5:$D$40,Assumptions!$B39)*EF39*AO39,"")</f>
        <v>0</v>
      </c>
      <c r="CL39" s="40">
        <f ca="1">IFERROR(SUMIFS('TRA balance'!AM$5:AM$40,'TRA balance'!$C$5:$C$40,Assumptions!$C39,'TRA balance'!$D$5:$D$40,Assumptions!$B39)*EG39*AP39,"")</f>
        <v>0</v>
      </c>
      <c r="CM39" s="40">
        <f ca="1">IFERROR(SUMIFS('TRA balance'!AN$5:AN$40,'TRA balance'!$C$5:$C$40,Assumptions!$C39,'TRA balance'!$D$5:$D$40,Assumptions!$B39)*EH39*AQ39,"")</f>
        <v>0</v>
      </c>
      <c r="CN39" s="40">
        <f ca="1">IFERROR(SUMIFS('TRA balance'!AO$5:AO$40,'TRA balance'!$C$5:$C$40,Assumptions!$C39,'TRA balance'!$D$5:$D$40,Assumptions!$B39)*EI39*AR39,"")</f>
        <v>0</v>
      </c>
      <c r="CO39" s="40">
        <f ca="1">IFERROR(SUMIFS('TRA balance'!AP$5:AP$40,'TRA balance'!$C$5:$C$40,Assumptions!$C39,'TRA balance'!$D$5:$D$40,Assumptions!$B39)*EJ39*AS39,"")</f>
        <v>0</v>
      </c>
      <c r="CP39" s="40">
        <f ca="1">IFERROR(SUMIFS('TRA balance'!AQ$5:AQ$40,'TRA balance'!$C$5:$C$40,Assumptions!$C39,'TRA balance'!$D$5:$D$40,Assumptions!$B39)*EK39*AT39,"")</f>
        <v>0</v>
      </c>
      <c r="CQ39" s="40">
        <f ca="1">IFERROR(SUMIFS('TRA balance'!AR$5:AR$40,'TRA balance'!$C$5:$C$40,Assumptions!$C39,'TRA balance'!$D$5:$D$40,Assumptions!$B39)*EL39*AU39,"")</f>
        <v>0</v>
      </c>
      <c r="CR39" s="40">
        <f ca="1">IFERROR(SUMIFS('TRA balance'!AS$5:AS$40,'TRA balance'!$C$5:$C$40,Assumptions!$C39,'TRA balance'!$D$5:$D$40,Assumptions!$B39)*EM39*AV39,"")</f>
        <v>0</v>
      </c>
      <c r="CS39" s="40">
        <f ca="1">IFERROR(SUMIFS('TRA balance'!AT$5:AT$40,'TRA balance'!$C$5:$C$40,Assumptions!$C39,'TRA balance'!$D$5:$D$40,Assumptions!$B39)*EN39*AW39,"")</f>
        <v>0</v>
      </c>
      <c r="CT39" s="40">
        <f ca="1">IFERROR(SUMIFS('TRA balance'!AU$5:AU$40,'TRA balance'!$C$5:$C$40,Assumptions!$C39,'TRA balance'!$D$5:$D$40,Assumptions!$B39)*EO39*AX39,"")</f>
        <v>0</v>
      </c>
      <c r="CU39" s="40">
        <f ca="1">IFERROR(SUMIFS('TRA balance'!AV$5:AV$40,'TRA balance'!$C$5:$C$40,Assumptions!$C39,'TRA balance'!$D$5:$D$40,Assumptions!$B39)*EP39*AY39,"")</f>
        <v>0</v>
      </c>
      <c r="CV39" s="40">
        <f ca="1">IFERROR(SUMIFS('TRA balance'!AW$5:AW$40,'TRA balance'!$C$5:$C$40,Assumptions!$C39,'TRA balance'!$D$5:$D$40,Assumptions!$B39)*EQ39*AZ39,"")</f>
        <v>0</v>
      </c>
      <c r="CW39" s="40">
        <f ca="1">IFERROR(SUMIFS('TRA balance'!AX$5:AX$40,'TRA balance'!$C$5:$C$40,Assumptions!$C39,'TRA balance'!$D$5:$D$40,Assumptions!$B39)*ER39*BA39,"")</f>
        <v>0</v>
      </c>
      <c r="CY39" s="39">
        <f ca="1" t="shared" si="66"/>
        <v>1</v>
      </c>
      <c r="CZ39" s="39">
        <f ca="1" t="shared" si="3"/>
        <v>1</v>
      </c>
      <c r="DA39" s="39">
        <f ca="1" t="shared" si="4"/>
        <v>1</v>
      </c>
      <c r="DB39" s="39">
        <f ca="1" t="shared" si="5"/>
        <v>1</v>
      </c>
      <c r="DC39" s="39">
        <f ca="1" t="shared" si="6"/>
        <v>1</v>
      </c>
      <c r="DD39" s="39">
        <f ca="1" t="shared" si="7"/>
        <v>1</v>
      </c>
      <c r="DE39" s="39">
        <f ca="1" t="shared" si="8"/>
        <v>1</v>
      </c>
      <c r="DF39" s="39">
        <f ca="1" t="shared" si="9"/>
        <v>1</v>
      </c>
      <c r="DG39" s="39">
        <f ca="1" t="shared" si="10"/>
        <v>1</v>
      </c>
      <c r="DH39" s="39">
        <f ca="1" t="shared" si="11"/>
        <v>1</v>
      </c>
      <c r="DI39" s="39">
        <f ca="1" t="shared" si="12"/>
        <v>1</v>
      </c>
      <c r="DJ39" s="39">
        <f ca="1" t="shared" si="13"/>
        <v>1</v>
      </c>
      <c r="DK39" s="39">
        <f ca="1" t="shared" si="14"/>
        <v>1</v>
      </c>
      <c r="DL39" s="39">
        <f ca="1" t="shared" si="15"/>
        <v>1</v>
      </c>
      <c r="DM39" s="39">
        <f ca="1" t="shared" si="16"/>
        <v>1</v>
      </c>
      <c r="DN39" s="39">
        <f ca="1" t="shared" si="17"/>
        <v>1</v>
      </c>
      <c r="DO39" s="39">
        <f ca="1" t="shared" si="18"/>
        <v>1</v>
      </c>
      <c r="DP39" s="39">
        <f ca="1" t="shared" si="19"/>
        <v>1</v>
      </c>
      <c r="DQ39" s="39">
        <f ca="1" t="shared" si="20"/>
        <v>1</v>
      </c>
      <c r="DR39" s="39">
        <f ca="1" t="shared" si="21"/>
        <v>1</v>
      </c>
      <c r="DS39" s="39">
        <f ca="1" t="shared" si="22"/>
        <v>1</v>
      </c>
      <c r="DT39" s="39">
        <f ca="1" t="shared" si="23"/>
        <v>1</v>
      </c>
      <c r="DU39" s="39">
        <f ca="1" t="shared" si="24"/>
        <v>1</v>
      </c>
      <c r="DV39" s="39">
        <f ca="1" t="shared" si="25"/>
        <v>1</v>
      </c>
      <c r="DW39" s="39">
        <f ca="1" t="shared" si="26"/>
        <v>1</v>
      </c>
      <c r="DX39" s="39">
        <f ca="1" t="shared" si="27"/>
        <v>1</v>
      </c>
      <c r="DY39" s="39">
        <f ca="1" t="shared" si="28"/>
        <v>1</v>
      </c>
      <c r="DZ39" s="39">
        <f ca="1" t="shared" si="29"/>
        <v>1</v>
      </c>
      <c r="EA39" s="39">
        <f ca="1" t="shared" si="30"/>
        <v>1</v>
      </c>
      <c r="EB39" s="39">
        <f ca="1" t="shared" si="31"/>
        <v>1</v>
      </c>
      <c r="EC39" s="39">
        <f ca="1" t="shared" si="32"/>
        <v>1</v>
      </c>
      <c r="ED39" s="39">
        <f ca="1" t="shared" si="33"/>
        <v>1</v>
      </c>
      <c r="EE39" s="39">
        <f ca="1" t="shared" si="34"/>
        <v>1</v>
      </c>
      <c r="EF39" s="39">
        <f ca="1" t="shared" si="35"/>
        <v>1</v>
      </c>
      <c r="EG39" s="39">
        <f ca="1" t="shared" si="36"/>
        <v>1</v>
      </c>
      <c r="EH39" s="39">
        <f ca="1" t="shared" si="37"/>
        <v>1</v>
      </c>
      <c r="EI39" s="39">
        <f ca="1" t="shared" si="38"/>
        <v>1</v>
      </c>
      <c r="EJ39" s="39">
        <f ca="1" t="shared" si="39"/>
        <v>1</v>
      </c>
      <c r="EK39" s="39">
        <f ca="1" t="shared" si="40"/>
        <v>1</v>
      </c>
      <c r="EL39" s="39">
        <f ca="1" t="shared" si="41"/>
        <v>1</v>
      </c>
      <c r="EM39" s="39">
        <f ca="1" t="shared" si="42"/>
        <v>1</v>
      </c>
      <c r="EN39" s="39">
        <f ca="1" t="shared" si="43"/>
        <v>1</v>
      </c>
      <c r="EO39" s="39">
        <f ca="1" t="shared" si="44"/>
        <v>1</v>
      </c>
      <c r="EP39" s="39">
        <f ca="1" t="shared" si="45"/>
        <v>1</v>
      </c>
      <c r="EQ39" s="39">
        <f ca="1" t="shared" si="46"/>
        <v>1</v>
      </c>
      <c r="ER39" s="39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4" t="str">
        <f t="shared" si="48"/>
        <v>TR</v>
      </c>
      <c r="D40" s="55" t="s">
        <v>200</v>
      </c>
      <c r="E40" s="66" t="s">
        <v>202</v>
      </c>
      <c r="F40" s="56" t="str">
        <f>F39</f>
        <v>Liquified Petroleum Gases</v>
      </c>
      <c r="G40" s="54" t="s">
        <v>203</v>
      </c>
      <c r="H40" s="57">
        <f ca="1">OFFSET(TIAM15_assumptions!$G40,0,MATCH(VLOOKUP(Assumptions!H$2,TIAM15_assumptions!$Y$3:$Z$87,2,FALSE),TIAM15_assumptions!$H$2:$V$2,0))</f>
        <v>0.7</v>
      </c>
      <c r="I40" s="57">
        <f ca="1">OFFSET(TIAM15_assumptions!$G40,0,MATCH(VLOOKUP(Assumptions!I$2,TIAM15_assumptions!$Y$3:$Z$87,2,FALSE),TIAM15_assumptions!$H$2:$V$2,0))</f>
        <v>0.7</v>
      </c>
      <c r="J40" s="57">
        <f ca="1">OFFSET(TIAM15_assumptions!$G40,0,MATCH(VLOOKUP(Assumptions!J$2,TIAM15_assumptions!$Y$3:$Z$87,2,FALSE),TIAM15_assumptions!$H$2:$V$2,0))</f>
        <v>0.5</v>
      </c>
      <c r="K40" s="57">
        <f ca="1">OFFSET(TIAM15_assumptions!$G40,0,MATCH(VLOOKUP(Assumptions!K$2,TIAM15_assumptions!$Y$3:$Z$87,2,FALSE),TIAM15_assumptions!$H$2:$V$2,0))</f>
        <v>0.626</v>
      </c>
      <c r="L40" s="57">
        <f ca="1">OFFSET(TIAM15_assumptions!$G40,0,MATCH(VLOOKUP(Assumptions!L$2,TIAM15_assumptions!$Y$3:$Z$87,2,FALSE),TIAM15_assumptions!$H$2:$V$2,0))</f>
        <v>0.67</v>
      </c>
      <c r="M40" s="57">
        <f ca="1">OFFSET(TIAM15_assumptions!$G40,0,MATCH(VLOOKUP(Assumptions!M$2,TIAM15_assumptions!$Y$3:$Z$87,2,FALSE),TIAM15_assumptions!$H$2:$V$2,0))</f>
        <v>0.626</v>
      </c>
      <c r="N40" s="57">
        <f ca="1">OFFSET(TIAM15_assumptions!$G40,0,MATCH(VLOOKUP(Assumptions!N$2,TIAM15_assumptions!$Y$3:$Z$87,2,FALSE),TIAM15_assumptions!$H$2:$V$2,0))</f>
        <v>0.67</v>
      </c>
      <c r="O40" s="57">
        <f ca="1">OFFSET(TIAM15_assumptions!$G40,0,MATCH(VLOOKUP(Assumptions!O$2,TIAM15_assumptions!$Y$3:$Z$87,2,FALSE),TIAM15_assumptions!$H$2:$V$2,0))</f>
        <v>0.67</v>
      </c>
      <c r="P40" s="57">
        <f ca="1">OFFSET(TIAM15_assumptions!$G40,0,MATCH(VLOOKUP(Assumptions!P$2,TIAM15_assumptions!$Y$3:$Z$87,2,FALSE),TIAM15_assumptions!$H$2:$V$2,0))</f>
        <v>0.67</v>
      </c>
      <c r="Q40" s="57">
        <f ca="1">OFFSET(TIAM15_assumptions!$G40,0,MATCH(VLOOKUP(Assumptions!Q$2,TIAM15_assumptions!$Y$3:$Z$87,2,FALSE),TIAM15_assumptions!$H$2:$V$2,0))</f>
        <v>0.67</v>
      </c>
      <c r="R40" s="57">
        <f ca="1">OFFSET(TIAM15_assumptions!$G40,0,MATCH(VLOOKUP(Assumptions!R$2,TIAM15_assumptions!$Y$3:$Z$87,2,FALSE),TIAM15_assumptions!$H$2:$V$2,0))</f>
        <v>0.626</v>
      </c>
      <c r="S40" s="57">
        <f ca="1">OFFSET(TIAM15_assumptions!$G40,0,MATCH(VLOOKUP(Assumptions!S$2,TIAM15_assumptions!$Y$3:$Z$87,2,FALSE),TIAM15_assumptions!$H$2:$V$2,0))</f>
        <v>0.626</v>
      </c>
      <c r="T40" s="57">
        <f ca="1">OFFSET(TIAM15_assumptions!$G40,0,MATCH(VLOOKUP(Assumptions!T$2,TIAM15_assumptions!$Y$3:$Z$87,2,FALSE),TIAM15_assumptions!$H$2:$V$2,0))</f>
        <v>0.626</v>
      </c>
      <c r="U40" s="57">
        <f ca="1">OFFSET(TIAM15_assumptions!$G40,0,MATCH(VLOOKUP(Assumptions!U$2,TIAM15_assumptions!$Y$3:$Z$87,2,FALSE),TIAM15_assumptions!$H$2:$V$2,0))</f>
        <v>0.67</v>
      </c>
      <c r="V40" s="57">
        <f ca="1">OFFSET(TIAM15_assumptions!$G40,0,MATCH(VLOOKUP(Assumptions!V$2,TIAM15_assumptions!$Y$3:$Z$87,2,FALSE),TIAM15_assumptions!$H$2:$V$2,0))</f>
        <v>0.626</v>
      </c>
      <c r="W40" s="57">
        <f ca="1">OFFSET(TIAM15_assumptions!$G40,0,MATCH(VLOOKUP(Assumptions!W$2,TIAM15_assumptions!$Y$3:$Z$87,2,FALSE),TIAM15_assumptions!$H$2:$V$2,0))</f>
        <v>0.5</v>
      </c>
      <c r="X40" s="57">
        <f ca="1">OFFSET(TIAM15_assumptions!$G40,0,MATCH(VLOOKUP(Assumptions!X$2,TIAM15_assumptions!$Y$3:$Z$87,2,FALSE),TIAM15_assumptions!$H$2:$V$2,0))</f>
        <v>0.626</v>
      </c>
      <c r="Y40" s="57">
        <f ca="1">OFFSET(TIAM15_assumptions!$G40,0,MATCH(VLOOKUP(Assumptions!Y$2,TIAM15_assumptions!$Y$3:$Z$87,2,FALSE),TIAM15_assumptions!$H$2:$V$2,0))</f>
        <v>0.626</v>
      </c>
      <c r="Z40" s="57">
        <f ca="1">OFFSET(TIAM15_assumptions!$G40,0,MATCH(VLOOKUP(Assumptions!Z$2,TIAM15_assumptions!$Y$3:$Z$87,2,FALSE),TIAM15_assumptions!$H$2:$V$2,0))</f>
        <v>0.67</v>
      </c>
      <c r="AA40" s="57">
        <f ca="1">OFFSET(TIAM15_assumptions!$G40,0,MATCH(VLOOKUP(Assumptions!AA$2,TIAM15_assumptions!$Y$3:$Z$87,2,FALSE),TIAM15_assumptions!$H$2:$V$2,0))</f>
        <v>0.67</v>
      </c>
      <c r="AB40" s="57">
        <f ca="1">OFFSET(TIAM15_assumptions!$G40,0,MATCH(VLOOKUP(Assumptions!AB$2,TIAM15_assumptions!$Y$3:$Z$87,2,FALSE),TIAM15_assumptions!$H$2:$V$2,0))</f>
        <v>0.7</v>
      </c>
      <c r="AC40" s="57">
        <f ca="1">OFFSET(TIAM15_assumptions!$G40,0,MATCH(VLOOKUP(Assumptions!AC$2,TIAM15_assumptions!$Y$3:$Z$87,2,FALSE),TIAM15_assumptions!$H$2:$V$2,0))</f>
        <v>0.349711576769288</v>
      </c>
      <c r="AD40" s="57">
        <f ca="1">OFFSET(TIAM15_assumptions!$G40,0,MATCH(VLOOKUP(Assumptions!AD$2,TIAM15_assumptions!$Y$3:$Z$87,2,FALSE),TIAM15_assumptions!$H$2:$V$2,0))</f>
        <v>0.626</v>
      </c>
      <c r="AE40" s="57">
        <f ca="1">OFFSET(TIAM15_assumptions!$G40,0,MATCH(VLOOKUP(Assumptions!AE$2,TIAM15_assumptions!$Y$3:$Z$87,2,FALSE),TIAM15_assumptions!$H$2:$V$2,0))</f>
        <v>0.67</v>
      </c>
      <c r="AF40" s="57">
        <f ca="1">OFFSET(TIAM15_assumptions!$G40,0,MATCH(VLOOKUP(Assumptions!AF$2,TIAM15_assumptions!$Y$3:$Z$87,2,FALSE),TIAM15_assumptions!$H$2:$V$2,0))</f>
        <v>0.67</v>
      </c>
      <c r="AG40" s="57">
        <f ca="1">OFFSET(TIAM15_assumptions!$G40,0,MATCH(VLOOKUP(Assumptions!AG$2,TIAM15_assumptions!$Y$3:$Z$87,2,FALSE),TIAM15_assumptions!$H$2:$V$2,0))</f>
        <v>0.67</v>
      </c>
      <c r="AH40" s="57">
        <f ca="1">OFFSET(TIAM15_assumptions!$G40,0,MATCH(VLOOKUP(Assumptions!AH$2,TIAM15_assumptions!$Y$3:$Z$87,2,FALSE),TIAM15_assumptions!$H$2:$V$2,0))</f>
        <v>0.7</v>
      </c>
      <c r="AI40" s="57">
        <f ca="1">OFFSET(TIAM15_assumptions!$G40,0,MATCH(VLOOKUP(Assumptions!AI$2,TIAM15_assumptions!$Y$3:$Z$87,2,FALSE),TIAM15_assumptions!$H$2:$V$2,0))</f>
        <v>0.7</v>
      </c>
      <c r="AJ40" s="57">
        <f ca="1">OFFSET(TIAM15_assumptions!$G40,0,MATCH(VLOOKUP(Assumptions!AJ$2,TIAM15_assumptions!$Y$3:$Z$87,2,FALSE),TIAM15_assumptions!$H$2:$V$2,0))</f>
        <v>0.626</v>
      </c>
      <c r="AK40" s="57">
        <f ca="1">OFFSET(TIAM15_assumptions!$G40,0,MATCH(VLOOKUP(Assumptions!AK$2,TIAM15_assumptions!$Y$3:$Z$87,2,FALSE),TIAM15_assumptions!$H$2:$V$2,0))</f>
        <v>0.626</v>
      </c>
      <c r="AL40" s="57">
        <f ca="1">OFFSET(TIAM15_assumptions!$G40,0,MATCH(VLOOKUP(Assumptions!AL$2,TIAM15_assumptions!$Y$3:$Z$87,2,FALSE),TIAM15_assumptions!$H$2:$V$2,0))</f>
        <v>0.626</v>
      </c>
      <c r="AM40" s="57">
        <f ca="1">OFFSET(TIAM15_assumptions!$G40,0,MATCH(VLOOKUP(Assumptions!AM$2,TIAM15_assumptions!$Y$3:$Z$87,2,FALSE),TIAM15_assumptions!$H$2:$V$2,0))</f>
        <v>0.7</v>
      </c>
      <c r="AN40" s="57">
        <f ca="1">OFFSET(TIAM15_assumptions!$G40,0,MATCH(VLOOKUP(Assumptions!AN$2,TIAM15_assumptions!$Y$3:$Z$87,2,FALSE),TIAM15_assumptions!$H$2:$V$2,0))</f>
        <v>0.626</v>
      </c>
      <c r="AO40" s="57">
        <f ca="1">OFFSET(TIAM15_assumptions!$G40,0,MATCH(VLOOKUP(Assumptions!AO$2,TIAM15_assumptions!$Y$3:$Z$87,2,FALSE),TIAM15_assumptions!$H$2:$V$2,0))</f>
        <v>0.67</v>
      </c>
      <c r="AP40" s="57">
        <f ca="1">OFFSET(TIAM15_assumptions!$G40,0,MATCH(VLOOKUP(Assumptions!AP$2,TIAM15_assumptions!$Y$3:$Z$87,2,FALSE),TIAM15_assumptions!$H$2:$V$2,0))</f>
        <v>0.67</v>
      </c>
      <c r="AQ40" s="57">
        <f ca="1">OFFSET(TIAM15_assumptions!$G40,0,MATCH(VLOOKUP(Assumptions!AQ$2,TIAM15_assumptions!$Y$3:$Z$87,2,FALSE),TIAM15_assumptions!$H$2:$V$2,0))</f>
        <v>0.349711576769288</v>
      </c>
      <c r="AR40" s="57">
        <f ca="1">OFFSET(TIAM15_assumptions!$G40,0,MATCH(VLOOKUP(Assumptions!AR$2,TIAM15_assumptions!$Y$3:$Z$87,2,FALSE),TIAM15_assumptions!$H$2:$V$2,0))</f>
        <v>0.349711576769288</v>
      </c>
      <c r="AS40" s="57">
        <f ca="1">OFFSET(TIAM15_assumptions!$G40,0,MATCH(VLOOKUP(Assumptions!AS$2,TIAM15_assumptions!$Y$3:$Z$87,2,FALSE),TIAM15_assumptions!$H$2:$V$2,0))</f>
        <v>0.349711576769288</v>
      </c>
      <c r="AT40" s="57">
        <f ca="1">OFFSET(TIAM15_assumptions!$G40,0,MATCH(VLOOKUP(Assumptions!AT$2,TIAM15_assumptions!$Y$3:$Z$87,2,FALSE),TIAM15_assumptions!$H$2:$V$2,0))</f>
        <v>0.349711576769288</v>
      </c>
      <c r="AU40" s="57">
        <f ca="1">OFFSET(TIAM15_assumptions!$G40,0,MATCH(VLOOKUP(Assumptions!AU$2,TIAM15_assumptions!$Y$3:$Z$87,2,FALSE),TIAM15_assumptions!$H$2:$V$2,0))</f>
        <v>0.349711576769288</v>
      </c>
      <c r="AV40" s="57">
        <f ca="1">OFFSET(TIAM15_assumptions!$G40,0,MATCH(VLOOKUP(Assumptions!AV$2,TIAM15_assumptions!$Y$3:$Z$87,2,FALSE),TIAM15_assumptions!$H$2:$V$2,0))</f>
        <v>0.349711576769288</v>
      </c>
      <c r="AW40" s="57">
        <f ca="1">OFFSET(TIAM15_assumptions!$G40,0,MATCH(VLOOKUP(Assumptions!AW$2,TIAM15_assumptions!$Y$3:$Z$87,2,FALSE),TIAM15_assumptions!$H$2:$V$2,0))</f>
        <v>0.349711576769288</v>
      </c>
      <c r="AX40" s="57">
        <f ca="1">OFFSET(TIAM15_assumptions!$G40,0,MATCH(VLOOKUP(Assumptions!AX$2,TIAM15_assumptions!$Y$3:$Z$87,2,FALSE),TIAM15_assumptions!$H$2:$V$2,0))</f>
        <v>0.349711576769288</v>
      </c>
      <c r="AY40" s="57">
        <f ca="1">OFFSET(TIAM15_assumptions!$G40,0,MATCH(VLOOKUP(Assumptions!AY$2,TIAM15_assumptions!$Y$3:$Z$87,2,FALSE),TIAM15_assumptions!$H$2:$V$2,0))</f>
        <v>0.349711576769288</v>
      </c>
      <c r="AZ40" s="57">
        <f ca="1">OFFSET(TIAM15_assumptions!$G40,0,MATCH(VLOOKUP(Assumptions!AZ$2,TIAM15_assumptions!$Y$3:$Z$87,2,FALSE),TIAM15_assumptions!$H$2:$V$2,0))</f>
        <v>0.349711576769288</v>
      </c>
      <c r="BA40" s="57">
        <f ca="1">OFFSET(TIAM15_assumptions!$G40,0,MATCH(VLOOKUP(Assumptions!BA$2,TIAM15_assumptions!$Y$3:$Z$87,2,FALSE),TIAM15_assumptions!$H$2:$V$2,0))</f>
        <v>0.349711576769288</v>
      </c>
      <c r="BD40" s="40">
        <f ca="1">IFERROR(SUMIFS('TRA balance'!E$5:E$40,'TRA balance'!$C$5:$C$40,Assumptions!$C40,'TRA balance'!$D$5:$D$40,Assumptions!$B40)*CY40*H40,"")</f>
        <v>18.034796832696</v>
      </c>
      <c r="BE40" s="40">
        <f ca="1">IFERROR(SUMIFS('TRA balance'!F$5:F$40,'TRA balance'!$C$5:$C$40,Assumptions!$C40,'TRA balance'!$D$5:$D$40,Assumptions!$B40)*CZ40*I40,"")</f>
        <v>0.010350272016</v>
      </c>
      <c r="BF40" s="40">
        <f ca="1">IFERROR(SUMIFS('TRA balance'!G$5:G$40,'TRA balance'!$C$5:$C$40,Assumptions!$C40,'TRA balance'!$D$5:$D$40,Assumptions!$B40)*DA40*J40,"")</f>
        <v>1.90096996185</v>
      </c>
      <c r="BG40" s="40">
        <f ca="1">IFERROR(SUMIFS('TRA balance'!H$5:H$40,'TRA balance'!$C$5:$C$40,Assumptions!$C40,'TRA balance'!$D$5:$D$40,Assumptions!$B40)*DB40*K40,"")</f>
        <v>0.1029969191322</v>
      </c>
      <c r="BH40" s="40">
        <f ca="1">IFERROR(SUMIFS('TRA balance'!I$5:I$40,'TRA balance'!$C$5:$C$40,Assumptions!$C40,'TRA balance'!$D$5:$D$40,Assumptions!$B40)*DC40*L40,"")</f>
        <v>2.64208347353016</v>
      </c>
      <c r="BI40" s="40">
        <f ca="1">IFERROR(SUMIFS('TRA balance'!J$5:J$40,'TRA balance'!$C$5:$C$40,Assumptions!$C40,'TRA balance'!$D$5:$D$40,Assumptions!$B40)*DD40*M40,"")</f>
        <v>3.8447196810426</v>
      </c>
      <c r="BJ40" s="40">
        <f ca="1">IFERROR(SUMIFS('TRA balance'!K$5:K$40,'TRA balance'!$C$5:$C$40,Assumptions!$C40,'TRA balance'!$D$5:$D$40,Assumptions!$B40)*DE40*N40,"")</f>
        <v>0</v>
      </c>
      <c r="BK40" s="40">
        <f ca="1">IFERROR(SUMIFS('TRA balance'!L$5:L$40,'TRA balance'!$C$5:$C$40,Assumptions!$C40,'TRA balance'!$D$5:$D$40,Assumptions!$B40)*DF40*O40,"")</f>
        <v>20.9849781920976</v>
      </c>
      <c r="BL40" s="40">
        <f ca="1">IFERROR(SUMIFS('TRA balance'!M$5:M$40,'TRA balance'!$C$5:$C$40,Assumptions!$C40,'TRA balance'!$D$5:$D$40,Assumptions!$B40)*DG40*P40,"")</f>
        <v>1.40918644260792</v>
      </c>
      <c r="BM40" s="40">
        <f ca="1">IFERROR(SUMIFS('TRA balance'!N$5:N$40,'TRA balance'!$C$5:$C$40,Assumptions!$C40,'TRA balance'!$D$5:$D$40,Assumptions!$B40)*DH40*Q40,"")</f>
        <v>1.54593089692416</v>
      </c>
      <c r="BN40" s="40">
        <f ca="1">IFERROR(SUMIFS('TRA balance'!O$5:O$40,'TRA balance'!$C$5:$C$40,Assumptions!$C40,'TRA balance'!$D$5:$D$40,Assumptions!$B40)*DI40*R40,"")</f>
        <v>1.1364552325692</v>
      </c>
      <c r="BO40" s="40">
        <f ca="1">IFERROR(SUMIFS('TRA balance'!P$5:P$40,'TRA balance'!$C$5:$C$40,Assumptions!$C40,'TRA balance'!$D$5:$D$40,Assumptions!$B40)*DJ40*S40,"")</f>
        <v>7.3213831729638</v>
      </c>
      <c r="BP40" s="40">
        <f ca="1">IFERROR(SUMIFS('TRA balance'!Q$5:Q$40,'TRA balance'!$C$5:$C$40,Assumptions!$C40,'TRA balance'!$D$5:$D$40,Assumptions!$B40)*DK40*T40,"")</f>
        <v>4.7347210187316</v>
      </c>
      <c r="BQ40" s="40">
        <f ca="1">IFERROR(SUMIFS('TRA balance'!R$5:R$40,'TRA balance'!$C$5:$C$40,Assumptions!$C40,'TRA balance'!$D$5:$D$40,Assumptions!$B40)*DL40*U40,"")</f>
        <v>8.90467792133364</v>
      </c>
      <c r="BR40" s="40">
        <f ca="1">IFERROR(SUMIFS('TRA balance'!S$5:S$40,'TRA balance'!$C$5:$C$40,Assumptions!$C40,'TRA balance'!$D$5:$D$40,Assumptions!$B40)*DM40*V40,"")</f>
        <v>0</v>
      </c>
      <c r="BS40" s="40">
        <f ca="1">IFERROR(SUMIFS('TRA balance'!T$5:T$40,'TRA balance'!$C$5:$C$40,Assumptions!$C40,'TRA balance'!$D$5:$D$40,Assumptions!$B40)*DN40*W40,"")</f>
        <v>1.01635878375</v>
      </c>
      <c r="BT40" s="40">
        <f ca="1">IFERROR(SUMIFS('TRA balance'!U$5:U$40,'TRA balance'!$C$5:$C$40,Assumptions!$C40,'TRA balance'!$D$5:$D$40,Assumptions!$B40)*DO40*X40,"")</f>
        <v>0.0312291172062</v>
      </c>
      <c r="BU40" s="40">
        <f ca="1">IFERROR(SUMIFS('TRA balance'!V$5:V$40,'TRA balance'!$C$5:$C$40,Assumptions!$C40,'TRA balance'!$D$5:$D$40,Assumptions!$B40)*DP40*Y40,"")</f>
        <v>35.7156938258154</v>
      </c>
      <c r="BV40" s="40">
        <f ca="1">IFERROR(SUMIFS('TRA balance'!W$5:W$40,'TRA balance'!$C$5:$C$40,Assumptions!$C40,'TRA balance'!$D$5:$D$40,Assumptions!$B40)*DQ40*Z40,"")</f>
        <v>11.399056214251</v>
      </c>
      <c r="BW40" s="40">
        <f ca="1">IFERROR(SUMIFS('TRA balance'!X$5:X$40,'TRA balance'!$C$5:$C$40,Assumptions!$C40,'TRA balance'!$D$5:$D$40,Assumptions!$B40)*DR40*AA40,"")</f>
        <v>11.59004200653</v>
      </c>
      <c r="BX40" s="40">
        <f ca="1">IFERROR(SUMIFS('TRA balance'!Y$5:Y$40,'TRA balance'!$C$5:$C$40,Assumptions!$C40,'TRA balance'!$D$5:$D$40,Assumptions!$B40)*DS40*AB40,"")</f>
        <v>1.179584593992</v>
      </c>
      <c r="BY40" s="40">
        <f ca="1">IFERROR(SUMIFS('TRA balance'!Z$5:Z$40,'TRA balance'!$C$5:$C$40,Assumptions!$C40,'TRA balance'!$D$5:$D$40,Assumptions!$B40)*DT40*AC40,"")</f>
        <v>18.568673909551</v>
      </c>
      <c r="BZ40" s="40">
        <f ca="1">IFERROR(SUMIFS('TRA balance'!AA$5:AA$40,'TRA balance'!$C$5:$C$40,Assumptions!$C40,'TRA balance'!$D$5:$D$40,Assumptions!$B40)*DU40*AD40,"")</f>
        <v>0.1008149892462</v>
      </c>
      <c r="CA40" s="40">
        <f ca="1">IFERROR(SUMIFS('TRA balance'!AB$5:AB$40,'TRA balance'!$C$5:$C$40,Assumptions!$C40,'TRA balance'!$D$5:$D$40,Assumptions!$B40)*DV40*AE40,"")</f>
        <v>33.9929185861732</v>
      </c>
      <c r="CB40" s="40">
        <f ca="1">IFERROR(SUMIFS('TRA balance'!AC$5:AC$40,'TRA balance'!$C$5:$C$40,Assumptions!$C40,'TRA balance'!$D$5:$D$40,Assumptions!$B40)*DW40*AF40,"")</f>
        <v>108.916691625529</v>
      </c>
      <c r="CC40" s="40">
        <f ca="1">IFERROR(SUMIFS('TRA balance'!AD$5:AD$40,'TRA balance'!$C$5:$C$40,Assumptions!$C40,'TRA balance'!$D$5:$D$40,Assumptions!$B40)*DX40*AG40,"")</f>
        <v>22.7318651911685</v>
      </c>
      <c r="CD40" s="40">
        <f ca="1">IFERROR(SUMIFS('TRA balance'!AE$5:AE$40,'TRA balance'!$C$5:$C$40,Assumptions!$C40,'TRA balance'!$D$5:$D$40,Assumptions!$B40)*DY40*AH40,"")</f>
        <v>0</v>
      </c>
      <c r="CE40" s="40">
        <f ca="1">IFERROR(SUMIFS('TRA balance'!AF$5:AF$40,'TRA balance'!$C$5:$C$40,Assumptions!$C40,'TRA balance'!$D$5:$D$40,Assumptions!$B40)*DZ40*AI40,"")</f>
        <v>0.2747147886</v>
      </c>
      <c r="CF40" s="40">
        <f ca="1">IFERROR(SUMIFS('TRA balance'!AG$5:AG$40,'TRA balance'!$C$5:$C$40,Assumptions!$C40,'TRA balance'!$D$5:$D$40,Assumptions!$B40)*EA40*AJ40,"")</f>
        <v>2.6601224260968</v>
      </c>
      <c r="CG40" s="40">
        <f ca="1">IFERROR(SUMIFS('TRA balance'!AH$5:AH$40,'TRA balance'!$C$5:$C$40,Assumptions!$C40,'TRA balance'!$D$5:$D$40,Assumptions!$B40)*EB40*AK40,"")</f>
        <v>0</v>
      </c>
      <c r="CH40" s="40">
        <f ca="1">IFERROR(SUMIFS('TRA balance'!AI$5:AI$40,'TRA balance'!$C$5:$C$40,Assumptions!$C40,'TRA balance'!$D$5:$D$40,Assumptions!$B40)*EC40*AL40,"")</f>
        <v>0.0332164425348</v>
      </c>
      <c r="CI40" s="40">
        <f ca="1">IFERROR(SUMIFS('TRA balance'!AJ$5:AJ$40,'TRA balance'!$C$5:$C$40,Assumptions!$C40,'TRA balance'!$D$5:$D$40,Assumptions!$B40)*ED40*AM40,"")</f>
        <v>64.7992794456</v>
      </c>
      <c r="CJ40" s="40">
        <f ca="1">IFERROR(SUMIFS('TRA balance'!AK$5:AK$40,'TRA balance'!$C$5:$C$40,Assumptions!$C40,'TRA balance'!$D$5:$D$40,Assumptions!$B40)*EE40*AN40,"")</f>
        <v>1.360610197155</v>
      </c>
      <c r="CK40" s="40">
        <f ca="1">IFERROR(SUMIFS('TRA balance'!AL$5:AL$40,'TRA balance'!$C$5:$C$40,Assumptions!$C40,'TRA balance'!$D$5:$D$40,Assumptions!$B40)*EF40*AO40,"")</f>
        <v>31.8253841947098</v>
      </c>
      <c r="CL40" s="40">
        <f ca="1">IFERROR(SUMIFS('TRA balance'!AM$5:AM$40,'TRA balance'!$C$5:$C$40,Assumptions!$C40,'TRA balance'!$D$5:$D$40,Assumptions!$B40)*EG40*AP40,"")</f>
        <v>4.002823665801</v>
      </c>
      <c r="CM40" s="40">
        <f ca="1">IFERROR(SUMIFS('TRA balance'!AN$5:AN$40,'TRA balance'!$C$5:$C$40,Assumptions!$C40,'TRA balance'!$D$5:$D$40,Assumptions!$B40)*EH40*AQ40,"")</f>
        <v>0</v>
      </c>
      <c r="CN40" s="40">
        <f ca="1">IFERROR(SUMIFS('TRA balance'!AO$5:AO$40,'TRA balance'!$C$5:$C$40,Assumptions!$C40,'TRA balance'!$D$5:$D$40,Assumptions!$B40)*EI40*AR40,"")</f>
        <v>0</v>
      </c>
      <c r="CO40" s="40">
        <f ca="1">IFERROR(SUMIFS('TRA balance'!AP$5:AP$40,'TRA balance'!$C$5:$C$40,Assumptions!$C40,'TRA balance'!$D$5:$D$40,Assumptions!$B40)*EJ40*AS40,"")</f>
        <v>0</v>
      </c>
      <c r="CP40" s="40">
        <f ca="1">IFERROR(SUMIFS('TRA balance'!AQ$5:AQ$40,'TRA balance'!$C$5:$C$40,Assumptions!$C40,'TRA balance'!$D$5:$D$40,Assumptions!$B40)*EK40*AT40,"")</f>
        <v>0</v>
      </c>
      <c r="CQ40" s="40">
        <f ca="1">IFERROR(SUMIFS('TRA balance'!AR$5:AR$40,'TRA balance'!$C$5:$C$40,Assumptions!$C40,'TRA balance'!$D$5:$D$40,Assumptions!$B40)*EL40*AU40,"")</f>
        <v>0</v>
      </c>
      <c r="CR40" s="40">
        <f ca="1">IFERROR(SUMIFS('TRA balance'!AS$5:AS$40,'TRA balance'!$C$5:$C$40,Assumptions!$C40,'TRA balance'!$D$5:$D$40,Assumptions!$B40)*EM40*AV40,"")</f>
        <v>0</v>
      </c>
      <c r="CS40" s="40">
        <f ca="1">IFERROR(SUMIFS('TRA balance'!AT$5:AT$40,'TRA balance'!$C$5:$C$40,Assumptions!$C40,'TRA balance'!$D$5:$D$40,Assumptions!$B40)*EN40*AW40,"")</f>
        <v>0</v>
      </c>
      <c r="CT40" s="40">
        <f ca="1">IFERROR(SUMIFS('TRA balance'!AU$5:AU$40,'TRA balance'!$C$5:$C$40,Assumptions!$C40,'TRA balance'!$D$5:$D$40,Assumptions!$B40)*EO40*AX40,"")</f>
        <v>0</v>
      </c>
      <c r="CU40" s="40">
        <f ca="1">IFERROR(SUMIFS('TRA balance'!AV$5:AV$40,'TRA balance'!$C$5:$C$40,Assumptions!$C40,'TRA balance'!$D$5:$D$40,Assumptions!$B40)*EP40*AY40,"")</f>
        <v>0</v>
      </c>
      <c r="CV40" s="40">
        <f ca="1">IFERROR(SUMIFS('TRA balance'!AW$5:AW$40,'TRA balance'!$C$5:$C$40,Assumptions!$C40,'TRA balance'!$D$5:$D$40,Assumptions!$B40)*EQ40*AZ40,"")</f>
        <v>0</v>
      </c>
      <c r="CW40" s="40">
        <f ca="1">IFERROR(SUMIFS('TRA balance'!AX$5:AX$40,'TRA balance'!$C$5:$C$40,Assumptions!$C40,'TRA balance'!$D$5:$D$40,Assumptions!$B40)*ER40*BA40,"")</f>
        <v>0</v>
      </c>
      <c r="CY40" s="39">
        <f ca="1" t="shared" si="66"/>
        <v>0.6</v>
      </c>
      <c r="CZ40" s="39">
        <f ca="1" t="shared" si="3"/>
        <v>0.6</v>
      </c>
      <c r="DA40" s="39">
        <f ca="1" t="shared" si="4"/>
        <v>0.25</v>
      </c>
      <c r="DB40" s="39">
        <f ca="1" t="shared" si="5"/>
        <v>0.75</v>
      </c>
      <c r="DC40" s="39">
        <f ca="1" t="shared" si="6"/>
        <v>0.57</v>
      </c>
      <c r="DD40" s="39">
        <f ca="1" t="shared" si="7"/>
        <v>0.75</v>
      </c>
      <c r="DE40" s="39">
        <f ca="1" t="shared" si="8"/>
        <v>0.5</v>
      </c>
      <c r="DF40" s="39">
        <f ca="1" t="shared" si="9"/>
        <v>0.4</v>
      </c>
      <c r="DG40" s="39">
        <f ca="1" t="shared" si="10"/>
        <v>0.57</v>
      </c>
      <c r="DH40" s="39">
        <f ca="1" t="shared" si="11"/>
        <v>0.57</v>
      </c>
      <c r="DI40" s="39">
        <f ca="1" t="shared" si="12"/>
        <v>0.75</v>
      </c>
      <c r="DJ40" s="39">
        <f ca="1" t="shared" si="13"/>
        <v>0.75</v>
      </c>
      <c r="DK40" s="39">
        <f ca="1" t="shared" si="14"/>
        <v>0.75</v>
      </c>
      <c r="DL40" s="39">
        <f ca="1" t="shared" si="15"/>
        <v>0.57</v>
      </c>
      <c r="DM40" s="39">
        <f ca="1" t="shared" si="16"/>
        <v>0.75</v>
      </c>
      <c r="DN40" s="39">
        <f ca="1" t="shared" si="17"/>
        <v>0.25</v>
      </c>
      <c r="DO40" s="39">
        <f ca="1" t="shared" si="18"/>
        <v>0.75</v>
      </c>
      <c r="DP40" s="39">
        <f ca="1" t="shared" si="19"/>
        <v>0.75</v>
      </c>
      <c r="DQ40" s="39">
        <f ca="1" t="shared" si="20"/>
        <v>0.57</v>
      </c>
      <c r="DR40" s="39">
        <f ca="1" t="shared" si="21"/>
        <v>0.5</v>
      </c>
      <c r="DS40" s="39">
        <f ca="1" t="shared" si="22"/>
        <v>0.6</v>
      </c>
      <c r="DT40" s="39">
        <f ca="1" t="shared" si="23"/>
        <v>0.719214717155623</v>
      </c>
      <c r="DU40" s="39">
        <f ca="1" t="shared" si="24"/>
        <v>0.75</v>
      </c>
      <c r="DV40" s="39">
        <f ca="1" t="shared" si="25"/>
        <v>0.57</v>
      </c>
      <c r="DW40" s="39">
        <f ca="1" t="shared" si="26"/>
        <v>0.7</v>
      </c>
      <c r="DX40" s="39">
        <f ca="1" t="shared" si="27"/>
        <v>0.57</v>
      </c>
      <c r="DY40" s="39">
        <f ca="1" t="shared" si="28"/>
        <v>0.6</v>
      </c>
      <c r="DZ40" s="39">
        <f ca="1" t="shared" si="29"/>
        <v>0.6</v>
      </c>
      <c r="EA40" s="39">
        <f ca="1" t="shared" si="30"/>
        <v>0.75</v>
      </c>
      <c r="EB40" s="39">
        <f ca="1" t="shared" si="31"/>
        <v>0.75</v>
      </c>
      <c r="EC40" s="39">
        <f ca="1" t="shared" si="32"/>
        <v>0.75</v>
      </c>
      <c r="ED40" s="39">
        <f ca="1" t="shared" si="33"/>
        <v>0.6</v>
      </c>
      <c r="EE40" s="39">
        <f ca="1" t="shared" si="34"/>
        <v>0.75</v>
      </c>
      <c r="EF40" s="39">
        <f ca="1" t="shared" si="35"/>
        <v>0.57</v>
      </c>
      <c r="EG40" s="39">
        <f ca="1" t="shared" si="36"/>
        <v>0.57</v>
      </c>
      <c r="EH40" s="39">
        <f ca="1" t="shared" si="37"/>
        <v>0.719214717155623</v>
      </c>
      <c r="EI40" s="39">
        <f ca="1" t="shared" si="38"/>
        <v>0.719214717155623</v>
      </c>
      <c r="EJ40" s="39">
        <f ca="1" t="shared" si="39"/>
        <v>0.719214717155623</v>
      </c>
      <c r="EK40" s="39">
        <f ca="1" t="shared" si="40"/>
        <v>0.719214717155623</v>
      </c>
      <c r="EL40" s="39">
        <f ca="1" t="shared" si="41"/>
        <v>0.719214717155623</v>
      </c>
      <c r="EM40" s="39">
        <f ca="1" t="shared" si="42"/>
        <v>0.719214717155623</v>
      </c>
      <c r="EN40" s="39">
        <f ca="1" t="shared" si="43"/>
        <v>0.719214717155623</v>
      </c>
      <c r="EO40" s="39">
        <f ca="1" t="shared" si="44"/>
        <v>0.719214717155623</v>
      </c>
      <c r="EP40" s="39">
        <f ca="1" t="shared" si="45"/>
        <v>0.719214717155623</v>
      </c>
      <c r="EQ40" s="39">
        <f ca="1" t="shared" si="46"/>
        <v>0.719214717155623</v>
      </c>
      <c r="ER40" s="39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4" t="str">
        <f t="shared" si="48"/>
        <v>TR</v>
      </c>
      <c r="D41" s="55" t="s">
        <v>200</v>
      </c>
      <c r="E41" s="66" t="s">
        <v>204</v>
      </c>
      <c r="F41" s="56" t="str">
        <f t="shared" ref="F41:F44" si="70">F40</f>
        <v>Liquified Petroleum Gases</v>
      </c>
      <c r="G41" s="54" t="s">
        <v>205</v>
      </c>
      <c r="H41" s="57">
        <f ca="1">OFFSET(TIAM15_assumptions!$G41,0,MATCH(VLOOKUP(Assumptions!H$2,TIAM15_assumptions!$Y$3:$Z$87,2,FALSE),TIAM15_assumptions!$H$2:$V$2,0))</f>
        <v>0.3</v>
      </c>
      <c r="I41" s="57">
        <f ca="1">OFFSET(TIAM15_assumptions!$G41,0,MATCH(VLOOKUP(Assumptions!I$2,TIAM15_assumptions!$Y$3:$Z$87,2,FALSE),TIAM15_assumptions!$H$2:$V$2,0))</f>
        <v>0.3</v>
      </c>
      <c r="J41" s="57">
        <f ca="1">OFFSET(TIAM15_assumptions!$G41,0,MATCH(VLOOKUP(Assumptions!J$2,TIAM15_assumptions!$Y$3:$Z$87,2,FALSE),TIAM15_assumptions!$H$2:$V$2,0))</f>
        <v>0.5</v>
      </c>
      <c r="K41" s="57">
        <f ca="1">OFFSET(TIAM15_assumptions!$G41,0,MATCH(VLOOKUP(Assumptions!K$2,TIAM15_assumptions!$Y$3:$Z$87,2,FALSE),TIAM15_assumptions!$H$2:$V$2,0))</f>
        <v>0.374</v>
      </c>
      <c r="L41" s="57">
        <f ca="1">OFFSET(TIAM15_assumptions!$G41,0,MATCH(VLOOKUP(Assumptions!L$2,TIAM15_assumptions!$Y$3:$Z$87,2,FALSE),TIAM15_assumptions!$H$2:$V$2,0))</f>
        <v>0.33</v>
      </c>
      <c r="M41" s="57">
        <f ca="1">OFFSET(TIAM15_assumptions!$G41,0,MATCH(VLOOKUP(Assumptions!M$2,TIAM15_assumptions!$Y$3:$Z$87,2,FALSE),TIAM15_assumptions!$H$2:$V$2,0))</f>
        <v>0.374</v>
      </c>
      <c r="N41" s="57">
        <f ca="1">OFFSET(TIAM15_assumptions!$G41,0,MATCH(VLOOKUP(Assumptions!N$2,TIAM15_assumptions!$Y$3:$Z$87,2,FALSE),TIAM15_assumptions!$H$2:$V$2,0))</f>
        <v>0.33</v>
      </c>
      <c r="O41" s="57">
        <f ca="1">OFFSET(TIAM15_assumptions!$G41,0,MATCH(VLOOKUP(Assumptions!O$2,TIAM15_assumptions!$Y$3:$Z$87,2,FALSE),TIAM15_assumptions!$H$2:$V$2,0))</f>
        <v>0.33</v>
      </c>
      <c r="P41" s="57">
        <f ca="1">OFFSET(TIAM15_assumptions!$G41,0,MATCH(VLOOKUP(Assumptions!P$2,TIAM15_assumptions!$Y$3:$Z$87,2,FALSE),TIAM15_assumptions!$H$2:$V$2,0))</f>
        <v>0.33</v>
      </c>
      <c r="Q41" s="57">
        <f ca="1">OFFSET(TIAM15_assumptions!$G41,0,MATCH(VLOOKUP(Assumptions!Q$2,TIAM15_assumptions!$Y$3:$Z$87,2,FALSE),TIAM15_assumptions!$H$2:$V$2,0))</f>
        <v>0.33</v>
      </c>
      <c r="R41" s="57">
        <f ca="1">OFFSET(TIAM15_assumptions!$G41,0,MATCH(VLOOKUP(Assumptions!R$2,TIAM15_assumptions!$Y$3:$Z$87,2,FALSE),TIAM15_assumptions!$H$2:$V$2,0))</f>
        <v>0.374</v>
      </c>
      <c r="S41" s="57">
        <f ca="1">OFFSET(TIAM15_assumptions!$G41,0,MATCH(VLOOKUP(Assumptions!S$2,TIAM15_assumptions!$Y$3:$Z$87,2,FALSE),TIAM15_assumptions!$H$2:$V$2,0))</f>
        <v>0.374</v>
      </c>
      <c r="T41" s="57">
        <f ca="1">OFFSET(TIAM15_assumptions!$G41,0,MATCH(VLOOKUP(Assumptions!T$2,TIAM15_assumptions!$Y$3:$Z$87,2,FALSE),TIAM15_assumptions!$H$2:$V$2,0))</f>
        <v>0.374</v>
      </c>
      <c r="U41" s="57">
        <f ca="1">OFFSET(TIAM15_assumptions!$G41,0,MATCH(VLOOKUP(Assumptions!U$2,TIAM15_assumptions!$Y$3:$Z$87,2,FALSE),TIAM15_assumptions!$H$2:$V$2,0))</f>
        <v>0.33</v>
      </c>
      <c r="V41" s="57">
        <f ca="1">OFFSET(TIAM15_assumptions!$G41,0,MATCH(VLOOKUP(Assumptions!V$2,TIAM15_assumptions!$Y$3:$Z$87,2,FALSE),TIAM15_assumptions!$H$2:$V$2,0))</f>
        <v>0.374</v>
      </c>
      <c r="W41" s="57">
        <f ca="1">OFFSET(TIAM15_assumptions!$G41,0,MATCH(VLOOKUP(Assumptions!W$2,TIAM15_assumptions!$Y$3:$Z$87,2,FALSE),TIAM15_assumptions!$H$2:$V$2,0))</f>
        <v>0.5</v>
      </c>
      <c r="X41" s="57">
        <f ca="1">OFFSET(TIAM15_assumptions!$G41,0,MATCH(VLOOKUP(Assumptions!X$2,TIAM15_assumptions!$Y$3:$Z$87,2,FALSE),TIAM15_assumptions!$H$2:$V$2,0))</f>
        <v>0.374</v>
      </c>
      <c r="Y41" s="57">
        <f ca="1">OFFSET(TIAM15_assumptions!$G41,0,MATCH(VLOOKUP(Assumptions!Y$2,TIAM15_assumptions!$Y$3:$Z$87,2,FALSE),TIAM15_assumptions!$H$2:$V$2,0))</f>
        <v>0.374</v>
      </c>
      <c r="Z41" s="57">
        <f ca="1">OFFSET(TIAM15_assumptions!$G41,0,MATCH(VLOOKUP(Assumptions!Z$2,TIAM15_assumptions!$Y$3:$Z$87,2,FALSE),TIAM15_assumptions!$H$2:$V$2,0))</f>
        <v>0.33</v>
      </c>
      <c r="AA41" s="57">
        <f ca="1">OFFSET(TIAM15_assumptions!$G41,0,MATCH(VLOOKUP(Assumptions!AA$2,TIAM15_assumptions!$Y$3:$Z$87,2,FALSE),TIAM15_assumptions!$H$2:$V$2,0))</f>
        <v>0.33</v>
      </c>
      <c r="AB41" s="57">
        <f ca="1">OFFSET(TIAM15_assumptions!$G41,0,MATCH(VLOOKUP(Assumptions!AB$2,TIAM15_assumptions!$Y$3:$Z$87,2,FALSE),TIAM15_assumptions!$H$2:$V$2,0))</f>
        <v>0.3</v>
      </c>
      <c r="AC41" s="57">
        <f ca="1">OFFSET(TIAM15_assumptions!$G41,0,MATCH(VLOOKUP(Assumptions!AC$2,TIAM15_assumptions!$Y$3:$Z$87,2,FALSE),TIAM15_assumptions!$H$2:$V$2,0))</f>
        <v>0.650288423230712</v>
      </c>
      <c r="AD41" s="57">
        <f ca="1">OFFSET(TIAM15_assumptions!$G41,0,MATCH(VLOOKUP(Assumptions!AD$2,TIAM15_assumptions!$Y$3:$Z$87,2,FALSE),TIAM15_assumptions!$H$2:$V$2,0))</f>
        <v>0.374</v>
      </c>
      <c r="AE41" s="57">
        <f ca="1">OFFSET(TIAM15_assumptions!$G41,0,MATCH(VLOOKUP(Assumptions!AE$2,TIAM15_assumptions!$Y$3:$Z$87,2,FALSE),TIAM15_assumptions!$H$2:$V$2,0))</f>
        <v>0.33</v>
      </c>
      <c r="AF41" s="57">
        <f ca="1">OFFSET(TIAM15_assumptions!$G41,0,MATCH(VLOOKUP(Assumptions!AF$2,TIAM15_assumptions!$Y$3:$Z$87,2,FALSE),TIAM15_assumptions!$H$2:$V$2,0))</f>
        <v>0.33</v>
      </c>
      <c r="AG41" s="57">
        <f ca="1">OFFSET(TIAM15_assumptions!$G41,0,MATCH(VLOOKUP(Assumptions!AG$2,TIAM15_assumptions!$Y$3:$Z$87,2,FALSE),TIAM15_assumptions!$H$2:$V$2,0))</f>
        <v>0.33</v>
      </c>
      <c r="AH41" s="57">
        <f ca="1">OFFSET(TIAM15_assumptions!$G41,0,MATCH(VLOOKUP(Assumptions!AH$2,TIAM15_assumptions!$Y$3:$Z$87,2,FALSE),TIAM15_assumptions!$H$2:$V$2,0))</f>
        <v>0.3</v>
      </c>
      <c r="AI41" s="57">
        <f ca="1">OFFSET(TIAM15_assumptions!$G41,0,MATCH(VLOOKUP(Assumptions!AI$2,TIAM15_assumptions!$Y$3:$Z$87,2,FALSE),TIAM15_assumptions!$H$2:$V$2,0))</f>
        <v>0.3</v>
      </c>
      <c r="AJ41" s="57">
        <f ca="1">OFFSET(TIAM15_assumptions!$G41,0,MATCH(VLOOKUP(Assumptions!AJ$2,TIAM15_assumptions!$Y$3:$Z$87,2,FALSE),TIAM15_assumptions!$H$2:$V$2,0))</f>
        <v>0.374</v>
      </c>
      <c r="AK41" s="57">
        <f ca="1">OFFSET(TIAM15_assumptions!$G41,0,MATCH(VLOOKUP(Assumptions!AK$2,TIAM15_assumptions!$Y$3:$Z$87,2,FALSE),TIAM15_assumptions!$H$2:$V$2,0))</f>
        <v>0.374</v>
      </c>
      <c r="AL41" s="57">
        <f ca="1">OFFSET(TIAM15_assumptions!$G41,0,MATCH(VLOOKUP(Assumptions!AL$2,TIAM15_assumptions!$Y$3:$Z$87,2,FALSE),TIAM15_assumptions!$H$2:$V$2,0))</f>
        <v>0.374</v>
      </c>
      <c r="AM41" s="57">
        <f ca="1">OFFSET(TIAM15_assumptions!$G41,0,MATCH(VLOOKUP(Assumptions!AM$2,TIAM15_assumptions!$Y$3:$Z$87,2,FALSE),TIAM15_assumptions!$H$2:$V$2,0))</f>
        <v>0.3</v>
      </c>
      <c r="AN41" s="57">
        <f ca="1">OFFSET(TIAM15_assumptions!$G41,0,MATCH(VLOOKUP(Assumptions!AN$2,TIAM15_assumptions!$Y$3:$Z$87,2,FALSE),TIAM15_assumptions!$H$2:$V$2,0))</f>
        <v>0.374</v>
      </c>
      <c r="AO41" s="57">
        <f ca="1">OFFSET(TIAM15_assumptions!$G41,0,MATCH(VLOOKUP(Assumptions!AO$2,TIAM15_assumptions!$Y$3:$Z$87,2,FALSE),TIAM15_assumptions!$H$2:$V$2,0))</f>
        <v>0.33</v>
      </c>
      <c r="AP41" s="57">
        <f ca="1">OFFSET(TIAM15_assumptions!$G41,0,MATCH(VLOOKUP(Assumptions!AP$2,TIAM15_assumptions!$Y$3:$Z$87,2,FALSE),TIAM15_assumptions!$H$2:$V$2,0))</f>
        <v>0.33</v>
      </c>
      <c r="AQ41" s="57">
        <f ca="1">OFFSET(TIAM15_assumptions!$G41,0,MATCH(VLOOKUP(Assumptions!AQ$2,TIAM15_assumptions!$Y$3:$Z$87,2,FALSE),TIAM15_assumptions!$H$2:$V$2,0))</f>
        <v>0.650288423230712</v>
      </c>
      <c r="AR41" s="57">
        <f ca="1">OFFSET(TIAM15_assumptions!$G41,0,MATCH(VLOOKUP(Assumptions!AR$2,TIAM15_assumptions!$Y$3:$Z$87,2,FALSE),TIAM15_assumptions!$H$2:$V$2,0))</f>
        <v>0.650288423230712</v>
      </c>
      <c r="AS41" s="57">
        <f ca="1">OFFSET(TIAM15_assumptions!$G41,0,MATCH(VLOOKUP(Assumptions!AS$2,TIAM15_assumptions!$Y$3:$Z$87,2,FALSE),TIAM15_assumptions!$H$2:$V$2,0))</f>
        <v>0.650288423230712</v>
      </c>
      <c r="AT41" s="57">
        <f ca="1">OFFSET(TIAM15_assumptions!$G41,0,MATCH(VLOOKUP(Assumptions!AT$2,TIAM15_assumptions!$Y$3:$Z$87,2,FALSE),TIAM15_assumptions!$H$2:$V$2,0))</f>
        <v>0.650288423230712</v>
      </c>
      <c r="AU41" s="57">
        <f ca="1">OFFSET(TIAM15_assumptions!$G41,0,MATCH(VLOOKUP(Assumptions!AU$2,TIAM15_assumptions!$Y$3:$Z$87,2,FALSE),TIAM15_assumptions!$H$2:$V$2,0))</f>
        <v>0.650288423230712</v>
      </c>
      <c r="AV41" s="57">
        <f ca="1">OFFSET(TIAM15_assumptions!$G41,0,MATCH(VLOOKUP(Assumptions!AV$2,TIAM15_assumptions!$Y$3:$Z$87,2,FALSE),TIAM15_assumptions!$H$2:$V$2,0))</f>
        <v>0.650288423230712</v>
      </c>
      <c r="AW41" s="57">
        <f ca="1">OFFSET(TIAM15_assumptions!$G41,0,MATCH(VLOOKUP(Assumptions!AW$2,TIAM15_assumptions!$Y$3:$Z$87,2,FALSE),TIAM15_assumptions!$H$2:$V$2,0))</f>
        <v>0.650288423230712</v>
      </c>
      <c r="AX41" s="57">
        <f ca="1">OFFSET(TIAM15_assumptions!$G41,0,MATCH(VLOOKUP(Assumptions!AX$2,TIAM15_assumptions!$Y$3:$Z$87,2,FALSE),TIAM15_assumptions!$H$2:$V$2,0))</f>
        <v>0.650288423230712</v>
      </c>
      <c r="AY41" s="57">
        <f ca="1">OFFSET(TIAM15_assumptions!$G41,0,MATCH(VLOOKUP(Assumptions!AY$2,TIAM15_assumptions!$Y$3:$Z$87,2,FALSE),TIAM15_assumptions!$H$2:$V$2,0))</f>
        <v>0.650288423230712</v>
      </c>
      <c r="AZ41" s="57">
        <f ca="1">OFFSET(TIAM15_assumptions!$G41,0,MATCH(VLOOKUP(Assumptions!AZ$2,TIAM15_assumptions!$Y$3:$Z$87,2,FALSE),TIAM15_assumptions!$H$2:$V$2,0))</f>
        <v>0.650288423230712</v>
      </c>
      <c r="BA41" s="57">
        <f ca="1">OFFSET(TIAM15_assumptions!$G41,0,MATCH(VLOOKUP(Assumptions!BA$2,TIAM15_assumptions!$Y$3:$Z$87,2,FALSE),TIAM15_assumptions!$H$2:$V$2,0))</f>
        <v>0.650288423230712</v>
      </c>
      <c r="BD41" s="40">
        <f ca="1">IFERROR(SUMIFS('TRA balance'!E$5:E$40,'TRA balance'!$C$5:$C$40,Assumptions!$C41,'TRA balance'!$D$5:$D$40,Assumptions!$B41)*CY41*H41,"")</f>
        <v>7.729198642584</v>
      </c>
      <c r="BE41" s="40">
        <f ca="1">IFERROR(SUMIFS('TRA balance'!F$5:F$40,'TRA balance'!$C$5:$C$40,Assumptions!$C41,'TRA balance'!$D$5:$D$40,Assumptions!$B41)*CZ41*I41,"")</f>
        <v>0.004435830864</v>
      </c>
      <c r="BF41" s="40">
        <f ca="1">IFERROR(SUMIFS('TRA balance'!G$5:G$40,'TRA balance'!$C$5:$C$40,Assumptions!$C41,'TRA balance'!$D$5:$D$40,Assumptions!$B41)*DA41*J41,"")</f>
        <v>1.90096996185</v>
      </c>
      <c r="BG41" s="40">
        <f ca="1">IFERROR(SUMIFS('TRA balance'!H$5:H$40,'TRA balance'!$C$5:$C$40,Assumptions!$C41,'TRA balance'!$D$5:$D$40,Assumptions!$B41)*DB41*K41,"")</f>
        <v>0.0615349005678</v>
      </c>
      <c r="BH41" s="40">
        <f ca="1">IFERROR(SUMIFS('TRA balance'!I$5:I$40,'TRA balance'!$C$5:$C$40,Assumptions!$C41,'TRA balance'!$D$5:$D$40,Assumptions!$B41)*DC41*L41,"")</f>
        <v>1.30132469591784</v>
      </c>
      <c r="BI41" s="40">
        <f ca="1">IFERROR(SUMIFS('TRA balance'!J$5:J$40,'TRA balance'!$C$5:$C$40,Assumptions!$C41,'TRA balance'!$D$5:$D$40,Assumptions!$B41)*DD41*M41,"")</f>
        <v>2.2970050490574</v>
      </c>
      <c r="BJ41" s="40">
        <f ca="1">IFERROR(SUMIFS('TRA balance'!K$5:K$40,'TRA balance'!$C$5:$C$40,Assumptions!$C41,'TRA balance'!$D$5:$D$40,Assumptions!$B41)*DE41*N41,"")</f>
        <v>0</v>
      </c>
      <c r="BK41" s="40">
        <f ca="1">IFERROR(SUMIFS('TRA balance'!L$5:L$40,'TRA balance'!$C$5:$C$40,Assumptions!$C41,'TRA balance'!$D$5:$D$40,Assumptions!$B41)*DF41*O41,"")</f>
        <v>10.3358847811824</v>
      </c>
      <c r="BL41" s="40">
        <f ca="1">IFERROR(SUMIFS('TRA balance'!M$5:M$40,'TRA balance'!$C$5:$C$40,Assumptions!$C41,'TRA balance'!$D$5:$D$40,Assumptions!$B41)*DG41*P41,"")</f>
        <v>0.69407690456808</v>
      </c>
      <c r="BM41" s="40">
        <f ca="1">IFERROR(SUMIFS('TRA balance'!N$5:N$40,'TRA balance'!$C$5:$C$40,Assumptions!$C41,'TRA balance'!$D$5:$D$40,Assumptions!$B41)*DH41*Q41,"")</f>
        <v>0.76142865072384</v>
      </c>
      <c r="BN41" s="40">
        <f ca="1">IFERROR(SUMIFS('TRA balance'!O$5:O$40,'TRA balance'!$C$5:$C$40,Assumptions!$C41,'TRA balance'!$D$5:$D$40,Assumptions!$B41)*DI41*R41,"")</f>
        <v>0.6789684616308</v>
      </c>
      <c r="BO41" s="40">
        <f ca="1">IFERROR(SUMIFS('TRA balance'!P$5:P$40,'TRA balance'!$C$5:$C$40,Assumptions!$C41,'TRA balance'!$D$5:$D$40,Assumptions!$B41)*DJ41*S41,"")</f>
        <v>4.3741171033362</v>
      </c>
      <c r="BP41" s="40">
        <f ca="1">IFERROR(SUMIFS('TRA balance'!Q$5:Q$40,'TRA balance'!$C$5:$C$40,Assumptions!$C41,'TRA balance'!$D$5:$D$40,Assumptions!$B41)*DK41*T41,"")</f>
        <v>2.8287310878684</v>
      </c>
      <c r="BQ41" s="40">
        <f ca="1">IFERROR(SUMIFS('TRA balance'!R$5:R$40,'TRA balance'!$C$5:$C$40,Assumptions!$C41,'TRA balance'!$D$5:$D$40,Assumptions!$B41)*DL41*U41,"")</f>
        <v>4.38588614035836</v>
      </c>
      <c r="BR41" s="40">
        <f ca="1">IFERROR(SUMIFS('TRA balance'!S$5:S$40,'TRA balance'!$C$5:$C$40,Assumptions!$C41,'TRA balance'!$D$5:$D$40,Assumptions!$B41)*DM41*V41,"")</f>
        <v>0</v>
      </c>
      <c r="BS41" s="40">
        <f ca="1">IFERROR(SUMIFS('TRA balance'!T$5:T$40,'TRA balance'!$C$5:$C$40,Assumptions!$C41,'TRA balance'!$D$5:$D$40,Assumptions!$B41)*DN41*W41,"")</f>
        <v>1.01635878375</v>
      </c>
      <c r="BT41" s="40">
        <f ca="1">IFERROR(SUMIFS('TRA balance'!U$5:U$40,'TRA balance'!$C$5:$C$40,Assumptions!$C41,'TRA balance'!$D$5:$D$40,Assumptions!$B41)*DO41*X41,"")</f>
        <v>0.0186576514938</v>
      </c>
      <c r="BU41" s="40">
        <f ca="1">IFERROR(SUMIFS('TRA balance'!V$5:V$40,'TRA balance'!$C$5:$C$40,Assumptions!$C41,'TRA balance'!$D$5:$D$40,Assumptions!$B41)*DP41*Y41,"")</f>
        <v>21.3381301770846</v>
      </c>
      <c r="BV41" s="40">
        <f ca="1">IFERROR(SUMIFS('TRA balance'!W$5:W$40,'TRA balance'!$C$5:$C$40,Assumptions!$C41,'TRA balance'!$D$5:$D$40,Assumptions!$B41)*DQ41*Z41,"")</f>
        <v>5.61446052343704</v>
      </c>
      <c r="BW41" s="40">
        <f ca="1">IFERROR(SUMIFS('TRA balance'!X$5:X$40,'TRA balance'!$C$5:$C$40,Assumptions!$C41,'TRA balance'!$D$5:$D$40,Assumptions!$B41)*DR41*AA41,"")</f>
        <v>5.70852815247</v>
      </c>
      <c r="BX41" s="40">
        <f ca="1">IFERROR(SUMIFS('TRA balance'!Y$5:Y$40,'TRA balance'!$C$5:$C$40,Assumptions!$C41,'TRA balance'!$D$5:$D$40,Assumptions!$B41)*DS41*AB41,"")</f>
        <v>0.505536254568</v>
      </c>
      <c r="BY41" s="40">
        <f ca="1">IFERROR(SUMIFS('TRA balance'!Z$5:Z$40,'TRA balance'!$C$5:$C$40,Assumptions!$C41,'TRA balance'!$D$5:$D$40,Assumptions!$B41)*DT41*AC41,"")</f>
        <v>34.5284356602621</v>
      </c>
      <c r="BZ41" s="40">
        <f ca="1">IFERROR(SUMIFS('TRA balance'!AA$5:AA$40,'TRA balance'!$C$5:$C$40,Assumptions!$C41,'TRA balance'!$D$5:$D$40,Assumptions!$B41)*DU41*AD41,"")</f>
        <v>0.0602313194538</v>
      </c>
      <c r="CA41" s="40">
        <f ca="1">IFERROR(SUMIFS('TRA balance'!AB$5:AB$40,'TRA balance'!$C$5:$C$40,Assumptions!$C41,'TRA balance'!$D$5:$D$40,Assumptions!$B41)*DV41*AE41,"")</f>
        <v>16.7427807961748</v>
      </c>
      <c r="CB41" s="40">
        <f ca="1">IFERROR(SUMIFS('TRA balance'!AC$5:AC$40,'TRA balance'!$C$5:$C$40,Assumptions!$C41,'TRA balance'!$D$5:$D$40,Assumptions!$B41)*DW41*AF41,"")</f>
        <v>53.6455346812308</v>
      </c>
      <c r="CC41" s="40">
        <f ca="1">IFERROR(SUMIFS('TRA balance'!AD$5:AD$40,'TRA balance'!$C$5:$C$40,Assumptions!$C41,'TRA balance'!$D$5:$D$40,Assumptions!$B41)*DX41*AG41,"")</f>
        <v>11.1962918105755</v>
      </c>
      <c r="CD41" s="40">
        <f ca="1">IFERROR(SUMIFS('TRA balance'!AE$5:AE$40,'TRA balance'!$C$5:$C$40,Assumptions!$C41,'TRA balance'!$D$5:$D$40,Assumptions!$B41)*DY41*AH41,"")</f>
        <v>0</v>
      </c>
      <c r="CE41" s="40">
        <f ca="1">IFERROR(SUMIFS('TRA balance'!AF$5:AF$40,'TRA balance'!$C$5:$C$40,Assumptions!$C41,'TRA balance'!$D$5:$D$40,Assumptions!$B41)*DZ41*AI41,"")</f>
        <v>0.1177349094</v>
      </c>
      <c r="CF41" s="40">
        <f ca="1">IFERROR(SUMIFS('TRA balance'!AG$5:AG$40,'TRA balance'!$C$5:$C$40,Assumptions!$C41,'TRA balance'!$D$5:$D$40,Assumptions!$B41)*EA41*AJ41,"")</f>
        <v>1.5892744207032</v>
      </c>
      <c r="CG41" s="40">
        <f ca="1">IFERROR(SUMIFS('TRA balance'!AH$5:AH$40,'TRA balance'!$C$5:$C$40,Assumptions!$C41,'TRA balance'!$D$5:$D$40,Assumptions!$B41)*EB41*AK41,"")</f>
        <v>0</v>
      </c>
      <c r="CH41" s="40">
        <f ca="1">IFERROR(SUMIFS('TRA balance'!AI$5:AI$40,'TRA balance'!$C$5:$C$40,Assumptions!$C41,'TRA balance'!$D$5:$D$40,Assumptions!$B41)*EC41*AL41,"")</f>
        <v>0.0198449672652</v>
      </c>
      <c r="CI41" s="40">
        <f ca="1">IFERROR(SUMIFS('TRA balance'!AJ$5:AJ$40,'TRA balance'!$C$5:$C$40,Assumptions!$C41,'TRA balance'!$D$5:$D$40,Assumptions!$B41)*ED41*AM41,"")</f>
        <v>27.7711197624</v>
      </c>
      <c r="CJ41" s="40">
        <f ca="1">IFERROR(SUMIFS('TRA balance'!AK$5:AK$40,'TRA balance'!$C$5:$C$40,Assumptions!$C41,'TRA balance'!$D$5:$D$40,Assumptions!$B41)*EE41*AN41,"")</f>
        <v>0.812888520345</v>
      </c>
      <c r="CK41" s="40">
        <f ca="1">IFERROR(SUMIFS('TRA balance'!AL$5:AL$40,'TRA balance'!$C$5:$C$40,Assumptions!$C41,'TRA balance'!$D$5:$D$40,Assumptions!$B41)*EF41*AO41,"")</f>
        <v>15.6751892302302</v>
      </c>
      <c r="CL41" s="40">
        <f ca="1">IFERROR(SUMIFS('TRA balance'!AM$5:AM$40,'TRA balance'!$C$5:$C$40,Assumptions!$C41,'TRA balance'!$D$5:$D$40,Assumptions!$B41)*EG41*AP41,"")</f>
        <v>1.971540014499</v>
      </c>
      <c r="CM41" s="40">
        <f ca="1">IFERROR(SUMIFS('TRA balance'!AN$5:AN$40,'TRA balance'!$C$5:$C$40,Assumptions!$C41,'TRA balance'!$D$5:$D$40,Assumptions!$B41)*EH41*AQ41,"")</f>
        <v>0</v>
      </c>
      <c r="CN41" s="40">
        <f ca="1">IFERROR(SUMIFS('TRA balance'!AO$5:AO$40,'TRA balance'!$C$5:$C$40,Assumptions!$C41,'TRA balance'!$D$5:$D$40,Assumptions!$B41)*EI41*AR41,"")</f>
        <v>0</v>
      </c>
      <c r="CO41" s="40">
        <f ca="1">IFERROR(SUMIFS('TRA balance'!AP$5:AP$40,'TRA balance'!$C$5:$C$40,Assumptions!$C41,'TRA balance'!$D$5:$D$40,Assumptions!$B41)*EJ41*AS41,"")</f>
        <v>0</v>
      </c>
      <c r="CP41" s="40">
        <f ca="1">IFERROR(SUMIFS('TRA balance'!AQ$5:AQ$40,'TRA balance'!$C$5:$C$40,Assumptions!$C41,'TRA balance'!$D$5:$D$40,Assumptions!$B41)*EK41*AT41,"")</f>
        <v>0</v>
      </c>
      <c r="CQ41" s="40">
        <f ca="1">IFERROR(SUMIFS('TRA balance'!AR$5:AR$40,'TRA balance'!$C$5:$C$40,Assumptions!$C41,'TRA balance'!$D$5:$D$40,Assumptions!$B41)*EL41*AU41,"")</f>
        <v>0</v>
      </c>
      <c r="CR41" s="40">
        <f ca="1">IFERROR(SUMIFS('TRA balance'!AS$5:AS$40,'TRA balance'!$C$5:$C$40,Assumptions!$C41,'TRA balance'!$D$5:$D$40,Assumptions!$B41)*EM41*AV41,"")</f>
        <v>0</v>
      </c>
      <c r="CS41" s="40">
        <f ca="1">IFERROR(SUMIFS('TRA balance'!AT$5:AT$40,'TRA balance'!$C$5:$C$40,Assumptions!$C41,'TRA balance'!$D$5:$D$40,Assumptions!$B41)*EN41*AW41,"")</f>
        <v>0</v>
      </c>
      <c r="CT41" s="40">
        <f ca="1">IFERROR(SUMIFS('TRA balance'!AU$5:AU$40,'TRA balance'!$C$5:$C$40,Assumptions!$C41,'TRA balance'!$D$5:$D$40,Assumptions!$B41)*EO41*AX41,"")</f>
        <v>0</v>
      </c>
      <c r="CU41" s="40">
        <f ca="1">IFERROR(SUMIFS('TRA balance'!AV$5:AV$40,'TRA balance'!$C$5:$C$40,Assumptions!$C41,'TRA balance'!$D$5:$D$40,Assumptions!$B41)*EP41*AY41,"")</f>
        <v>0</v>
      </c>
      <c r="CV41" s="40">
        <f ca="1">IFERROR(SUMIFS('TRA balance'!AW$5:AW$40,'TRA balance'!$C$5:$C$40,Assumptions!$C41,'TRA balance'!$D$5:$D$40,Assumptions!$B41)*EQ41*AZ41,"")</f>
        <v>0</v>
      </c>
      <c r="CW41" s="40">
        <f ca="1">IFERROR(SUMIFS('TRA balance'!AX$5:AX$40,'TRA balance'!$C$5:$C$40,Assumptions!$C41,'TRA balance'!$D$5:$D$40,Assumptions!$B41)*ER41*BA41,"")</f>
        <v>0</v>
      </c>
      <c r="CY41" s="39">
        <f ca="1" t="shared" si="66"/>
        <v>0.6</v>
      </c>
      <c r="CZ41" s="39">
        <f ca="1" t="shared" si="3"/>
        <v>0.6</v>
      </c>
      <c r="DA41" s="39">
        <f ca="1" t="shared" si="4"/>
        <v>0.25</v>
      </c>
      <c r="DB41" s="39">
        <f ca="1" t="shared" si="5"/>
        <v>0.75</v>
      </c>
      <c r="DC41" s="39">
        <f ca="1" t="shared" si="6"/>
        <v>0.57</v>
      </c>
      <c r="DD41" s="39">
        <f ca="1" t="shared" si="7"/>
        <v>0.75</v>
      </c>
      <c r="DE41" s="39">
        <f ca="1" t="shared" si="8"/>
        <v>0.5</v>
      </c>
      <c r="DF41" s="39">
        <f ca="1" t="shared" si="9"/>
        <v>0.4</v>
      </c>
      <c r="DG41" s="39">
        <f ca="1" t="shared" si="10"/>
        <v>0.57</v>
      </c>
      <c r="DH41" s="39">
        <f ca="1" t="shared" si="11"/>
        <v>0.57</v>
      </c>
      <c r="DI41" s="39">
        <f ca="1" t="shared" si="12"/>
        <v>0.75</v>
      </c>
      <c r="DJ41" s="39">
        <f ca="1" t="shared" si="13"/>
        <v>0.75</v>
      </c>
      <c r="DK41" s="39">
        <f ca="1" t="shared" si="14"/>
        <v>0.75</v>
      </c>
      <c r="DL41" s="39">
        <f ca="1" t="shared" si="15"/>
        <v>0.57</v>
      </c>
      <c r="DM41" s="39">
        <f ca="1" t="shared" si="16"/>
        <v>0.75</v>
      </c>
      <c r="DN41" s="39">
        <f ca="1" t="shared" si="17"/>
        <v>0.25</v>
      </c>
      <c r="DO41" s="39">
        <f ca="1" t="shared" si="18"/>
        <v>0.75</v>
      </c>
      <c r="DP41" s="39">
        <f ca="1" t="shared" si="19"/>
        <v>0.75</v>
      </c>
      <c r="DQ41" s="39">
        <f ca="1" t="shared" si="20"/>
        <v>0.57</v>
      </c>
      <c r="DR41" s="39">
        <f ca="1" t="shared" si="21"/>
        <v>0.5</v>
      </c>
      <c r="DS41" s="39">
        <f ca="1" t="shared" si="22"/>
        <v>0.6</v>
      </c>
      <c r="DT41" s="39">
        <f ca="1" t="shared" si="23"/>
        <v>0.719214717155623</v>
      </c>
      <c r="DU41" s="39">
        <f ca="1" t="shared" si="24"/>
        <v>0.75</v>
      </c>
      <c r="DV41" s="39">
        <f ca="1" t="shared" si="25"/>
        <v>0.57</v>
      </c>
      <c r="DW41" s="39">
        <f ca="1" t="shared" si="26"/>
        <v>0.7</v>
      </c>
      <c r="DX41" s="39">
        <f ca="1" t="shared" si="27"/>
        <v>0.57</v>
      </c>
      <c r="DY41" s="39">
        <f ca="1" t="shared" si="28"/>
        <v>0.6</v>
      </c>
      <c r="DZ41" s="39">
        <f ca="1" t="shared" si="29"/>
        <v>0.6</v>
      </c>
      <c r="EA41" s="39">
        <f ca="1" t="shared" si="30"/>
        <v>0.75</v>
      </c>
      <c r="EB41" s="39">
        <f ca="1" t="shared" si="31"/>
        <v>0.75</v>
      </c>
      <c r="EC41" s="39">
        <f ca="1" t="shared" si="32"/>
        <v>0.75</v>
      </c>
      <c r="ED41" s="39">
        <f ca="1" t="shared" si="33"/>
        <v>0.6</v>
      </c>
      <c r="EE41" s="39">
        <f ca="1" t="shared" si="34"/>
        <v>0.75</v>
      </c>
      <c r="EF41" s="39">
        <f ca="1" t="shared" si="35"/>
        <v>0.57</v>
      </c>
      <c r="EG41" s="39">
        <f ca="1" t="shared" si="36"/>
        <v>0.57</v>
      </c>
      <c r="EH41" s="39">
        <f ca="1" t="shared" si="37"/>
        <v>0.719214717155623</v>
      </c>
      <c r="EI41" s="39">
        <f ca="1" t="shared" si="38"/>
        <v>0.719214717155623</v>
      </c>
      <c r="EJ41" s="39">
        <f ca="1" t="shared" si="39"/>
        <v>0.719214717155623</v>
      </c>
      <c r="EK41" s="39">
        <f ca="1" t="shared" si="40"/>
        <v>0.719214717155623</v>
      </c>
      <c r="EL41" s="39">
        <f ca="1" t="shared" si="41"/>
        <v>0.719214717155623</v>
      </c>
      <c r="EM41" s="39">
        <f ca="1" t="shared" si="42"/>
        <v>0.719214717155623</v>
      </c>
      <c r="EN41" s="39">
        <f ca="1" t="shared" si="43"/>
        <v>0.719214717155623</v>
      </c>
      <c r="EO41" s="39">
        <f ca="1" t="shared" si="44"/>
        <v>0.719214717155623</v>
      </c>
      <c r="EP41" s="39">
        <f ca="1" t="shared" si="45"/>
        <v>0.719214717155623</v>
      </c>
      <c r="EQ41" s="39">
        <f ca="1" t="shared" si="46"/>
        <v>0.719214717155623</v>
      </c>
      <c r="ER41" s="39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4" t="str">
        <f t="shared" si="48"/>
        <v/>
      </c>
      <c r="D42" s="55"/>
      <c r="E42" s="67" t="s">
        <v>210</v>
      </c>
      <c r="F42" s="56" t="str">
        <f t="shared" si="70"/>
        <v>Liquified Petroleum Gases</v>
      </c>
      <c r="G42" s="54"/>
      <c r="H42" s="67" t="str">
        <f ca="1">IF(SUM(H40:H41)=1,"-","&lt;&gt;1!!")</f>
        <v>-</v>
      </c>
      <c r="I42" s="67" t="str">
        <f ca="1" t="shared" ref="I42:BA42" si="71">IF(SUM(I40:I41)=1,"-","&lt;&gt;1!!")</f>
        <v>-</v>
      </c>
      <c r="J42" s="67" t="str">
        <f ca="1" t="shared" si="71"/>
        <v>-</v>
      </c>
      <c r="K42" s="67" t="str">
        <f ca="1" t="shared" si="71"/>
        <v>-</v>
      </c>
      <c r="L42" s="67" t="str">
        <f ca="1" t="shared" si="71"/>
        <v>-</v>
      </c>
      <c r="M42" s="67" t="str">
        <f ca="1" t="shared" si="71"/>
        <v>-</v>
      </c>
      <c r="N42" s="67" t="str">
        <f ca="1" t="shared" si="71"/>
        <v>-</v>
      </c>
      <c r="O42" s="67" t="str">
        <f ca="1" t="shared" si="71"/>
        <v>-</v>
      </c>
      <c r="P42" s="67" t="str">
        <f ca="1" t="shared" si="71"/>
        <v>-</v>
      </c>
      <c r="Q42" s="67" t="str">
        <f ca="1" t="shared" si="71"/>
        <v>-</v>
      </c>
      <c r="R42" s="67" t="str">
        <f ca="1" t="shared" si="71"/>
        <v>-</v>
      </c>
      <c r="S42" s="67" t="str">
        <f ca="1" t="shared" si="71"/>
        <v>-</v>
      </c>
      <c r="T42" s="67" t="str">
        <f ca="1" t="shared" si="71"/>
        <v>-</v>
      </c>
      <c r="U42" s="67" t="str">
        <f ca="1" t="shared" si="71"/>
        <v>-</v>
      </c>
      <c r="V42" s="67" t="str">
        <f ca="1" t="shared" si="71"/>
        <v>-</v>
      </c>
      <c r="W42" s="67" t="str">
        <f ca="1" t="shared" si="71"/>
        <v>-</v>
      </c>
      <c r="X42" s="67" t="str">
        <f ca="1" t="shared" si="71"/>
        <v>-</v>
      </c>
      <c r="Y42" s="67" t="str">
        <f ca="1" t="shared" si="71"/>
        <v>-</v>
      </c>
      <c r="Z42" s="67" t="str">
        <f ca="1" t="shared" si="71"/>
        <v>-</v>
      </c>
      <c r="AA42" s="67" t="str">
        <f ca="1" t="shared" si="71"/>
        <v>-</v>
      </c>
      <c r="AB42" s="67" t="str">
        <f ca="1" t="shared" si="71"/>
        <v>-</v>
      </c>
      <c r="AC42" s="67" t="str">
        <f ca="1" t="shared" si="71"/>
        <v>-</v>
      </c>
      <c r="AD42" s="67" t="str">
        <f ca="1" t="shared" si="71"/>
        <v>-</v>
      </c>
      <c r="AE42" s="67" t="str">
        <f ca="1" t="shared" si="71"/>
        <v>-</v>
      </c>
      <c r="AF42" s="67" t="str">
        <f ca="1" t="shared" si="71"/>
        <v>-</v>
      </c>
      <c r="AG42" s="67" t="str">
        <f ca="1" t="shared" si="71"/>
        <v>-</v>
      </c>
      <c r="AH42" s="67" t="str">
        <f ca="1" t="shared" si="71"/>
        <v>-</v>
      </c>
      <c r="AI42" s="67" t="str">
        <f ca="1" t="shared" si="71"/>
        <v>-</v>
      </c>
      <c r="AJ42" s="67" t="str">
        <f ca="1" t="shared" si="71"/>
        <v>-</v>
      </c>
      <c r="AK42" s="67" t="str">
        <f ca="1" t="shared" si="71"/>
        <v>-</v>
      </c>
      <c r="AL42" s="67" t="str">
        <f ca="1" t="shared" si="71"/>
        <v>-</v>
      </c>
      <c r="AM42" s="67" t="str">
        <f ca="1" t="shared" si="71"/>
        <v>-</v>
      </c>
      <c r="AN42" s="67" t="str">
        <f ca="1" t="shared" si="71"/>
        <v>-</v>
      </c>
      <c r="AO42" s="67" t="str">
        <f ca="1" t="shared" si="71"/>
        <v>-</v>
      </c>
      <c r="AP42" s="67" t="str">
        <f ca="1" t="shared" si="71"/>
        <v>-</v>
      </c>
      <c r="AQ42" s="67" t="str">
        <f ca="1" t="shared" si="71"/>
        <v>-</v>
      </c>
      <c r="AR42" s="67" t="str">
        <f ca="1" t="shared" si="71"/>
        <v>-</v>
      </c>
      <c r="AS42" s="67" t="str">
        <f ca="1" t="shared" si="71"/>
        <v>-</v>
      </c>
      <c r="AT42" s="67" t="str">
        <f ca="1" t="shared" si="71"/>
        <v>-</v>
      </c>
      <c r="AU42" s="67" t="str">
        <f ca="1" t="shared" si="71"/>
        <v>-</v>
      </c>
      <c r="AV42" s="67" t="str">
        <f ca="1" t="shared" si="71"/>
        <v>-</v>
      </c>
      <c r="AW42" s="67" t="str">
        <f ca="1" t="shared" si="71"/>
        <v>-</v>
      </c>
      <c r="AX42" s="67" t="str">
        <f ca="1" t="shared" si="71"/>
        <v>-</v>
      </c>
      <c r="AY42" s="67" t="str">
        <f ca="1" t="shared" si="71"/>
        <v>-</v>
      </c>
      <c r="AZ42" s="67" t="str">
        <f ca="1" t="shared" si="71"/>
        <v>-</v>
      </c>
      <c r="BA42" s="67" t="str">
        <f ca="1" t="shared" si="71"/>
        <v>-</v>
      </c>
      <c r="BD42" s="40" t="str">
        <f ca="1">IFERROR(SUMIFS('TRA balance'!E$5:E$40,'TRA balance'!$C$5:$C$40,Assumptions!$C42,'TRA balance'!$D$5:$D$40,Assumptions!$B42)*CY42*H42,"")</f>
        <v/>
      </c>
      <c r="BE42" s="40" t="str">
        <f ca="1">IFERROR(SUMIFS('TRA balance'!F$5:F$40,'TRA balance'!$C$5:$C$40,Assumptions!$C42,'TRA balance'!$D$5:$D$40,Assumptions!$B42)*CZ42*I42,"")</f>
        <v/>
      </c>
      <c r="BF42" s="40" t="str">
        <f ca="1">IFERROR(SUMIFS('TRA balance'!G$5:G$40,'TRA balance'!$C$5:$C$40,Assumptions!$C42,'TRA balance'!$D$5:$D$40,Assumptions!$B42)*DA42*J42,"")</f>
        <v/>
      </c>
      <c r="BG42" s="40" t="str">
        <f ca="1">IFERROR(SUMIFS('TRA balance'!H$5:H$40,'TRA balance'!$C$5:$C$40,Assumptions!$C42,'TRA balance'!$D$5:$D$40,Assumptions!$B42)*DB42*K42,"")</f>
        <v/>
      </c>
      <c r="BH42" s="40" t="str">
        <f ca="1">IFERROR(SUMIFS('TRA balance'!I$5:I$40,'TRA balance'!$C$5:$C$40,Assumptions!$C42,'TRA balance'!$D$5:$D$40,Assumptions!$B42)*DC42*L42,"")</f>
        <v/>
      </c>
      <c r="BI42" s="40" t="str">
        <f ca="1">IFERROR(SUMIFS('TRA balance'!J$5:J$40,'TRA balance'!$C$5:$C$40,Assumptions!$C42,'TRA balance'!$D$5:$D$40,Assumptions!$B42)*DD42*M42,"")</f>
        <v/>
      </c>
      <c r="BJ42" s="40" t="str">
        <f ca="1">IFERROR(SUMIFS('TRA balance'!K$5:K$40,'TRA balance'!$C$5:$C$40,Assumptions!$C42,'TRA balance'!$D$5:$D$40,Assumptions!$B42)*DE42*N42,"")</f>
        <v/>
      </c>
      <c r="BK42" s="40" t="str">
        <f ca="1">IFERROR(SUMIFS('TRA balance'!L$5:L$40,'TRA balance'!$C$5:$C$40,Assumptions!$C42,'TRA balance'!$D$5:$D$40,Assumptions!$B42)*DF42*O42,"")</f>
        <v/>
      </c>
      <c r="BL42" s="40" t="str">
        <f ca="1">IFERROR(SUMIFS('TRA balance'!M$5:M$40,'TRA balance'!$C$5:$C$40,Assumptions!$C42,'TRA balance'!$D$5:$D$40,Assumptions!$B42)*DG42*P42,"")</f>
        <v/>
      </c>
      <c r="BM42" s="40" t="str">
        <f ca="1">IFERROR(SUMIFS('TRA balance'!N$5:N$40,'TRA balance'!$C$5:$C$40,Assumptions!$C42,'TRA balance'!$D$5:$D$40,Assumptions!$B42)*DH42*Q42,"")</f>
        <v/>
      </c>
      <c r="BN42" s="40" t="str">
        <f ca="1">IFERROR(SUMIFS('TRA balance'!O$5:O$40,'TRA balance'!$C$5:$C$40,Assumptions!$C42,'TRA balance'!$D$5:$D$40,Assumptions!$B42)*DI42*R42,"")</f>
        <v/>
      </c>
      <c r="BO42" s="40" t="str">
        <f ca="1">IFERROR(SUMIFS('TRA balance'!P$5:P$40,'TRA balance'!$C$5:$C$40,Assumptions!$C42,'TRA balance'!$D$5:$D$40,Assumptions!$B42)*DJ42*S42,"")</f>
        <v/>
      </c>
      <c r="BP42" s="40" t="str">
        <f ca="1">IFERROR(SUMIFS('TRA balance'!Q$5:Q$40,'TRA balance'!$C$5:$C$40,Assumptions!$C42,'TRA balance'!$D$5:$D$40,Assumptions!$B42)*DK42*T42,"")</f>
        <v/>
      </c>
      <c r="BQ42" s="40" t="str">
        <f ca="1">IFERROR(SUMIFS('TRA balance'!R$5:R$40,'TRA balance'!$C$5:$C$40,Assumptions!$C42,'TRA balance'!$D$5:$D$40,Assumptions!$B42)*DL42*U42,"")</f>
        <v/>
      </c>
      <c r="BR42" s="40" t="str">
        <f ca="1">IFERROR(SUMIFS('TRA balance'!S$5:S$40,'TRA balance'!$C$5:$C$40,Assumptions!$C42,'TRA balance'!$D$5:$D$40,Assumptions!$B42)*DM42*V42,"")</f>
        <v/>
      </c>
      <c r="BS42" s="40" t="str">
        <f ca="1">IFERROR(SUMIFS('TRA balance'!T$5:T$40,'TRA balance'!$C$5:$C$40,Assumptions!$C42,'TRA balance'!$D$5:$D$40,Assumptions!$B42)*DN42*W42,"")</f>
        <v/>
      </c>
      <c r="BT42" s="40" t="str">
        <f ca="1">IFERROR(SUMIFS('TRA balance'!U$5:U$40,'TRA balance'!$C$5:$C$40,Assumptions!$C42,'TRA balance'!$D$5:$D$40,Assumptions!$B42)*DO42*X42,"")</f>
        <v/>
      </c>
      <c r="BU42" s="40" t="str">
        <f ca="1">IFERROR(SUMIFS('TRA balance'!V$5:V$40,'TRA balance'!$C$5:$C$40,Assumptions!$C42,'TRA balance'!$D$5:$D$40,Assumptions!$B42)*DP42*Y42,"")</f>
        <v/>
      </c>
      <c r="BV42" s="40" t="str">
        <f ca="1">IFERROR(SUMIFS('TRA balance'!W$5:W$40,'TRA balance'!$C$5:$C$40,Assumptions!$C42,'TRA balance'!$D$5:$D$40,Assumptions!$B42)*DQ42*Z42,"")</f>
        <v/>
      </c>
      <c r="BW42" s="40" t="str">
        <f ca="1">IFERROR(SUMIFS('TRA balance'!X$5:X$40,'TRA balance'!$C$5:$C$40,Assumptions!$C42,'TRA balance'!$D$5:$D$40,Assumptions!$B42)*DR42*AA42,"")</f>
        <v/>
      </c>
      <c r="BX42" s="40" t="str">
        <f ca="1">IFERROR(SUMIFS('TRA balance'!Y$5:Y$40,'TRA balance'!$C$5:$C$40,Assumptions!$C42,'TRA balance'!$D$5:$D$40,Assumptions!$B42)*DS42*AB42,"")</f>
        <v/>
      </c>
      <c r="BY42" s="40" t="str">
        <f ca="1">IFERROR(SUMIFS('TRA balance'!Z$5:Z$40,'TRA balance'!$C$5:$C$40,Assumptions!$C42,'TRA balance'!$D$5:$D$40,Assumptions!$B42)*DT42*AC42,"")</f>
        <v/>
      </c>
      <c r="BZ42" s="40" t="str">
        <f ca="1">IFERROR(SUMIFS('TRA balance'!AA$5:AA$40,'TRA balance'!$C$5:$C$40,Assumptions!$C42,'TRA balance'!$D$5:$D$40,Assumptions!$B42)*DU42*AD42,"")</f>
        <v/>
      </c>
      <c r="CA42" s="40" t="str">
        <f ca="1">IFERROR(SUMIFS('TRA balance'!AB$5:AB$40,'TRA balance'!$C$5:$C$40,Assumptions!$C42,'TRA balance'!$D$5:$D$40,Assumptions!$B42)*DV42*AE42,"")</f>
        <v/>
      </c>
      <c r="CB42" s="40" t="str">
        <f ca="1">IFERROR(SUMIFS('TRA balance'!AC$5:AC$40,'TRA balance'!$C$5:$C$40,Assumptions!$C42,'TRA balance'!$D$5:$D$40,Assumptions!$B42)*DW42*AF42,"")</f>
        <v/>
      </c>
      <c r="CC42" s="40" t="str">
        <f ca="1">IFERROR(SUMIFS('TRA balance'!AD$5:AD$40,'TRA balance'!$C$5:$C$40,Assumptions!$C42,'TRA balance'!$D$5:$D$40,Assumptions!$B42)*DX42*AG42,"")</f>
        <v/>
      </c>
      <c r="CD42" s="40" t="str">
        <f ca="1">IFERROR(SUMIFS('TRA balance'!AE$5:AE$40,'TRA balance'!$C$5:$C$40,Assumptions!$C42,'TRA balance'!$D$5:$D$40,Assumptions!$B42)*DY42*AH42,"")</f>
        <v/>
      </c>
      <c r="CE42" s="40" t="str">
        <f ca="1">IFERROR(SUMIFS('TRA balance'!AF$5:AF$40,'TRA balance'!$C$5:$C$40,Assumptions!$C42,'TRA balance'!$D$5:$D$40,Assumptions!$B42)*DZ42*AI42,"")</f>
        <v/>
      </c>
      <c r="CF42" s="40" t="str">
        <f ca="1">IFERROR(SUMIFS('TRA balance'!AG$5:AG$40,'TRA balance'!$C$5:$C$40,Assumptions!$C42,'TRA balance'!$D$5:$D$40,Assumptions!$B42)*EA42*AJ42,"")</f>
        <v/>
      </c>
      <c r="CG42" s="40" t="str">
        <f ca="1">IFERROR(SUMIFS('TRA balance'!AH$5:AH$40,'TRA balance'!$C$5:$C$40,Assumptions!$C42,'TRA balance'!$D$5:$D$40,Assumptions!$B42)*EB42*AK42,"")</f>
        <v/>
      </c>
      <c r="CH42" s="40" t="str">
        <f ca="1">IFERROR(SUMIFS('TRA balance'!AI$5:AI$40,'TRA balance'!$C$5:$C$40,Assumptions!$C42,'TRA balance'!$D$5:$D$40,Assumptions!$B42)*EC42*AL42,"")</f>
        <v/>
      </c>
      <c r="CI42" s="40" t="str">
        <f ca="1">IFERROR(SUMIFS('TRA balance'!AJ$5:AJ$40,'TRA balance'!$C$5:$C$40,Assumptions!$C42,'TRA balance'!$D$5:$D$40,Assumptions!$B42)*ED42*AM42,"")</f>
        <v/>
      </c>
      <c r="CJ42" s="40" t="str">
        <f ca="1">IFERROR(SUMIFS('TRA balance'!AK$5:AK$40,'TRA balance'!$C$5:$C$40,Assumptions!$C42,'TRA balance'!$D$5:$D$40,Assumptions!$B42)*EE42*AN42,"")</f>
        <v/>
      </c>
      <c r="CK42" s="40" t="str">
        <f ca="1">IFERROR(SUMIFS('TRA balance'!AL$5:AL$40,'TRA balance'!$C$5:$C$40,Assumptions!$C42,'TRA balance'!$D$5:$D$40,Assumptions!$B42)*EF42*AO42,"")</f>
        <v/>
      </c>
      <c r="CL42" s="40" t="str">
        <f ca="1">IFERROR(SUMIFS('TRA balance'!AM$5:AM$40,'TRA balance'!$C$5:$C$40,Assumptions!$C42,'TRA balance'!$D$5:$D$40,Assumptions!$B42)*EG42*AP42,"")</f>
        <v/>
      </c>
      <c r="CM42" s="40" t="str">
        <f ca="1">IFERROR(SUMIFS('TRA balance'!AN$5:AN$40,'TRA balance'!$C$5:$C$40,Assumptions!$C42,'TRA balance'!$D$5:$D$40,Assumptions!$B42)*EH42*AQ42,"")</f>
        <v/>
      </c>
      <c r="CN42" s="40" t="str">
        <f ca="1">IFERROR(SUMIFS('TRA balance'!AO$5:AO$40,'TRA balance'!$C$5:$C$40,Assumptions!$C42,'TRA balance'!$D$5:$D$40,Assumptions!$B42)*EI42*AR42,"")</f>
        <v/>
      </c>
      <c r="CO42" s="40" t="str">
        <f ca="1">IFERROR(SUMIFS('TRA balance'!AP$5:AP$40,'TRA balance'!$C$5:$C$40,Assumptions!$C42,'TRA balance'!$D$5:$D$40,Assumptions!$B42)*EJ42*AS42,"")</f>
        <v/>
      </c>
      <c r="CP42" s="40" t="str">
        <f ca="1">IFERROR(SUMIFS('TRA balance'!AQ$5:AQ$40,'TRA balance'!$C$5:$C$40,Assumptions!$C42,'TRA balance'!$D$5:$D$40,Assumptions!$B42)*EK42*AT42,"")</f>
        <v/>
      </c>
      <c r="CQ42" s="40" t="str">
        <f ca="1">IFERROR(SUMIFS('TRA balance'!AR$5:AR$40,'TRA balance'!$C$5:$C$40,Assumptions!$C42,'TRA balance'!$D$5:$D$40,Assumptions!$B42)*EL42*AU42,"")</f>
        <v/>
      </c>
      <c r="CR42" s="40" t="str">
        <f ca="1">IFERROR(SUMIFS('TRA balance'!AS$5:AS$40,'TRA balance'!$C$5:$C$40,Assumptions!$C42,'TRA balance'!$D$5:$D$40,Assumptions!$B42)*EM42*AV42,"")</f>
        <v/>
      </c>
      <c r="CS42" s="40" t="str">
        <f ca="1">IFERROR(SUMIFS('TRA balance'!AT$5:AT$40,'TRA balance'!$C$5:$C$40,Assumptions!$C42,'TRA balance'!$D$5:$D$40,Assumptions!$B42)*EN42*AW42,"")</f>
        <v/>
      </c>
      <c r="CT42" s="40" t="str">
        <f ca="1">IFERROR(SUMIFS('TRA balance'!AU$5:AU$40,'TRA balance'!$C$5:$C$40,Assumptions!$C42,'TRA balance'!$D$5:$D$40,Assumptions!$B42)*EO42*AX42,"")</f>
        <v/>
      </c>
      <c r="CU42" s="40" t="str">
        <f ca="1">IFERROR(SUMIFS('TRA balance'!AV$5:AV$40,'TRA balance'!$C$5:$C$40,Assumptions!$C42,'TRA balance'!$D$5:$D$40,Assumptions!$B42)*EP42*AY42,"")</f>
        <v/>
      </c>
      <c r="CV42" s="40" t="str">
        <f ca="1">IFERROR(SUMIFS('TRA balance'!AW$5:AW$40,'TRA balance'!$C$5:$C$40,Assumptions!$C42,'TRA balance'!$D$5:$D$40,Assumptions!$B42)*EQ42*AZ42,"")</f>
        <v/>
      </c>
      <c r="CW42" s="40" t="str">
        <f ca="1">IFERROR(SUMIFS('TRA balance'!AX$5:AX$40,'TRA balance'!$C$5:$C$40,Assumptions!$C42,'TRA balance'!$D$5:$D$40,Assumptions!$B42)*ER42*BA42,"")</f>
        <v/>
      </c>
      <c r="CY42" s="39">
        <f ca="1" t="shared" si="66"/>
        <v>1</v>
      </c>
      <c r="CZ42" s="39">
        <f ca="1" t="shared" si="3"/>
        <v>1</v>
      </c>
      <c r="DA42" s="39">
        <f ca="1" t="shared" si="4"/>
        <v>1</v>
      </c>
      <c r="DB42" s="39">
        <f ca="1" t="shared" si="5"/>
        <v>1</v>
      </c>
      <c r="DC42" s="39">
        <f ca="1" t="shared" si="6"/>
        <v>1</v>
      </c>
      <c r="DD42" s="39">
        <f ca="1" t="shared" si="7"/>
        <v>1</v>
      </c>
      <c r="DE42" s="39">
        <f ca="1" t="shared" si="8"/>
        <v>1</v>
      </c>
      <c r="DF42" s="39">
        <f ca="1" t="shared" si="9"/>
        <v>1</v>
      </c>
      <c r="DG42" s="39">
        <f ca="1" t="shared" si="10"/>
        <v>1</v>
      </c>
      <c r="DH42" s="39">
        <f ca="1" t="shared" si="11"/>
        <v>1</v>
      </c>
      <c r="DI42" s="39">
        <f ca="1" t="shared" si="12"/>
        <v>1</v>
      </c>
      <c r="DJ42" s="39">
        <f ca="1" t="shared" si="13"/>
        <v>1</v>
      </c>
      <c r="DK42" s="39">
        <f ca="1" t="shared" si="14"/>
        <v>1</v>
      </c>
      <c r="DL42" s="39">
        <f ca="1" t="shared" si="15"/>
        <v>1</v>
      </c>
      <c r="DM42" s="39">
        <f ca="1" t="shared" si="16"/>
        <v>1</v>
      </c>
      <c r="DN42" s="39">
        <f ca="1" t="shared" si="17"/>
        <v>1</v>
      </c>
      <c r="DO42" s="39">
        <f ca="1" t="shared" si="18"/>
        <v>1</v>
      </c>
      <c r="DP42" s="39">
        <f ca="1" t="shared" si="19"/>
        <v>1</v>
      </c>
      <c r="DQ42" s="39">
        <f ca="1" t="shared" si="20"/>
        <v>1</v>
      </c>
      <c r="DR42" s="39">
        <f ca="1" t="shared" si="21"/>
        <v>1</v>
      </c>
      <c r="DS42" s="39">
        <f ca="1" t="shared" si="22"/>
        <v>1</v>
      </c>
      <c r="DT42" s="39">
        <f ca="1" t="shared" si="23"/>
        <v>1</v>
      </c>
      <c r="DU42" s="39">
        <f ca="1" t="shared" si="24"/>
        <v>1</v>
      </c>
      <c r="DV42" s="39">
        <f ca="1" t="shared" si="25"/>
        <v>1</v>
      </c>
      <c r="DW42" s="39">
        <f ca="1" t="shared" si="26"/>
        <v>1</v>
      </c>
      <c r="DX42" s="39">
        <f ca="1" t="shared" si="27"/>
        <v>1</v>
      </c>
      <c r="DY42" s="39">
        <f ca="1" t="shared" si="28"/>
        <v>1</v>
      </c>
      <c r="DZ42" s="39">
        <f ca="1" t="shared" si="29"/>
        <v>1</v>
      </c>
      <c r="EA42" s="39">
        <f ca="1" t="shared" si="30"/>
        <v>1</v>
      </c>
      <c r="EB42" s="39">
        <f ca="1" t="shared" si="31"/>
        <v>1</v>
      </c>
      <c r="EC42" s="39">
        <f ca="1" t="shared" si="32"/>
        <v>1</v>
      </c>
      <c r="ED42" s="39">
        <f ca="1" t="shared" si="33"/>
        <v>1</v>
      </c>
      <c r="EE42" s="39">
        <f ca="1" t="shared" si="34"/>
        <v>1</v>
      </c>
      <c r="EF42" s="39">
        <f ca="1" t="shared" si="35"/>
        <v>1</v>
      </c>
      <c r="EG42" s="39">
        <f ca="1" t="shared" si="36"/>
        <v>1</v>
      </c>
      <c r="EH42" s="39">
        <f ca="1" t="shared" si="37"/>
        <v>1</v>
      </c>
      <c r="EI42" s="39">
        <f ca="1" t="shared" si="38"/>
        <v>1</v>
      </c>
      <c r="EJ42" s="39">
        <f ca="1" t="shared" si="39"/>
        <v>1</v>
      </c>
      <c r="EK42" s="39">
        <f ca="1" t="shared" si="40"/>
        <v>1</v>
      </c>
      <c r="EL42" s="39">
        <f ca="1" t="shared" si="41"/>
        <v>1</v>
      </c>
      <c r="EM42" s="39">
        <f ca="1" t="shared" si="42"/>
        <v>1</v>
      </c>
      <c r="EN42" s="39">
        <f ca="1" t="shared" si="43"/>
        <v>1</v>
      </c>
      <c r="EO42" s="39">
        <f ca="1" t="shared" si="44"/>
        <v>1</v>
      </c>
      <c r="EP42" s="39">
        <f ca="1" t="shared" si="45"/>
        <v>1</v>
      </c>
      <c r="EQ42" s="39">
        <f ca="1" t="shared" si="46"/>
        <v>1</v>
      </c>
      <c r="ER42" s="39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2">
        <v>2</v>
      </c>
      <c r="D43" s="63" t="s">
        <v>200</v>
      </c>
      <c r="E43" s="63" t="s">
        <v>211</v>
      </c>
      <c r="F43" s="64" t="str">
        <f t="shared" si="70"/>
        <v>Liquified Petroleum Gases</v>
      </c>
      <c r="G43" s="62"/>
      <c r="H43" s="68">
        <f ca="1" t="shared" ref="H43" si="72">1-H39</f>
        <v>0.4</v>
      </c>
      <c r="I43" s="68">
        <f ca="1" t="shared" ref="I43:BA43" si="73">1-I39</f>
        <v>0.4</v>
      </c>
      <c r="J43" s="68">
        <f ca="1" t="shared" si="73"/>
        <v>0.75</v>
      </c>
      <c r="K43" s="68">
        <f ca="1" t="shared" si="73"/>
        <v>0.25</v>
      </c>
      <c r="L43" s="68">
        <f ca="1" t="shared" si="73"/>
        <v>0.43</v>
      </c>
      <c r="M43" s="68">
        <f ca="1" t="shared" si="73"/>
        <v>0.25</v>
      </c>
      <c r="N43" s="68">
        <f ca="1" t="shared" si="73"/>
        <v>0.5</v>
      </c>
      <c r="O43" s="68">
        <f ca="1" t="shared" si="73"/>
        <v>0.6</v>
      </c>
      <c r="P43" s="68">
        <f ca="1" t="shared" si="73"/>
        <v>0.43</v>
      </c>
      <c r="Q43" s="68">
        <f ca="1" t="shared" si="73"/>
        <v>0.43</v>
      </c>
      <c r="R43" s="68">
        <f ca="1" t="shared" si="73"/>
        <v>0.25</v>
      </c>
      <c r="S43" s="68">
        <f ca="1" t="shared" si="73"/>
        <v>0.25</v>
      </c>
      <c r="T43" s="68">
        <f ca="1" t="shared" si="73"/>
        <v>0.25</v>
      </c>
      <c r="U43" s="68">
        <f ca="1" t="shared" si="73"/>
        <v>0.43</v>
      </c>
      <c r="V43" s="68">
        <f ca="1" t="shared" si="73"/>
        <v>0.25</v>
      </c>
      <c r="W43" s="68">
        <f ca="1" t="shared" si="73"/>
        <v>0.75</v>
      </c>
      <c r="X43" s="68">
        <f ca="1" t="shared" si="73"/>
        <v>0.25</v>
      </c>
      <c r="Y43" s="68">
        <f ca="1" t="shared" si="73"/>
        <v>0.25</v>
      </c>
      <c r="Z43" s="68">
        <f ca="1" t="shared" si="73"/>
        <v>0.43</v>
      </c>
      <c r="AA43" s="68">
        <f ca="1" t="shared" si="73"/>
        <v>0.5</v>
      </c>
      <c r="AB43" s="68">
        <f ca="1" t="shared" si="73"/>
        <v>0.4</v>
      </c>
      <c r="AC43" s="68">
        <f ca="1" t="shared" si="73"/>
        <v>0.280785282844377</v>
      </c>
      <c r="AD43" s="68">
        <f ca="1" t="shared" si="73"/>
        <v>0.25</v>
      </c>
      <c r="AE43" s="68">
        <f ca="1" t="shared" si="73"/>
        <v>0.43</v>
      </c>
      <c r="AF43" s="68">
        <f ca="1" t="shared" si="73"/>
        <v>0.3</v>
      </c>
      <c r="AG43" s="68">
        <f ca="1" t="shared" si="73"/>
        <v>0.43</v>
      </c>
      <c r="AH43" s="68">
        <f ca="1" t="shared" si="73"/>
        <v>0.4</v>
      </c>
      <c r="AI43" s="68">
        <f ca="1" t="shared" si="73"/>
        <v>0.4</v>
      </c>
      <c r="AJ43" s="68">
        <f ca="1" t="shared" si="73"/>
        <v>0.25</v>
      </c>
      <c r="AK43" s="68">
        <f ca="1" t="shared" si="73"/>
        <v>0.25</v>
      </c>
      <c r="AL43" s="68">
        <f ca="1" t="shared" si="73"/>
        <v>0.25</v>
      </c>
      <c r="AM43" s="68">
        <f ca="1" t="shared" si="73"/>
        <v>0.4</v>
      </c>
      <c r="AN43" s="68">
        <f ca="1" t="shared" si="73"/>
        <v>0.25</v>
      </c>
      <c r="AO43" s="68">
        <f ca="1" t="shared" si="73"/>
        <v>0.43</v>
      </c>
      <c r="AP43" s="68">
        <f ca="1" t="shared" si="73"/>
        <v>0.43</v>
      </c>
      <c r="AQ43" s="68">
        <f ca="1" t="shared" si="73"/>
        <v>0.280785282844377</v>
      </c>
      <c r="AR43" s="68">
        <f ca="1" t="shared" si="73"/>
        <v>0.280785282844377</v>
      </c>
      <c r="AS43" s="68">
        <f ca="1" t="shared" si="73"/>
        <v>0.280785282844377</v>
      </c>
      <c r="AT43" s="68">
        <f ca="1" t="shared" si="73"/>
        <v>0.280785282844377</v>
      </c>
      <c r="AU43" s="68">
        <f ca="1" t="shared" si="73"/>
        <v>0.280785282844377</v>
      </c>
      <c r="AV43" s="68">
        <f ca="1" t="shared" si="73"/>
        <v>0.280785282844377</v>
      </c>
      <c r="AW43" s="68">
        <f ca="1" t="shared" si="73"/>
        <v>0.280785282844377</v>
      </c>
      <c r="AX43" s="68">
        <f ca="1" t="shared" si="73"/>
        <v>0.280785282844377</v>
      </c>
      <c r="AY43" s="68">
        <f ca="1" t="shared" si="73"/>
        <v>0.280785282844377</v>
      </c>
      <c r="AZ43" s="68">
        <f ca="1" t="shared" si="73"/>
        <v>0.280785282844377</v>
      </c>
      <c r="BA43" s="68">
        <f ca="1" t="shared" si="73"/>
        <v>0.280785282844377</v>
      </c>
      <c r="BD43" s="40">
        <f ca="1">IFERROR(SUMIFS('TRA balance'!E$5:E$40,'TRA balance'!$C$5:$C$40,Assumptions!$C43,'TRA balance'!$D$5:$D$40,Assumptions!$B43)*CY43*H43,"")</f>
        <v>0</v>
      </c>
      <c r="BE43" s="40">
        <f ca="1">IFERROR(SUMIFS('TRA balance'!F$5:F$40,'TRA balance'!$C$5:$C$40,Assumptions!$C43,'TRA balance'!$D$5:$D$40,Assumptions!$B43)*CZ43*I43,"")</f>
        <v>0</v>
      </c>
      <c r="BF43" s="40">
        <f ca="1">IFERROR(SUMIFS('TRA balance'!G$5:G$40,'TRA balance'!$C$5:$C$40,Assumptions!$C43,'TRA balance'!$D$5:$D$40,Assumptions!$B43)*DA43*J43,"")</f>
        <v>0</v>
      </c>
      <c r="BG43" s="40">
        <f ca="1">IFERROR(SUMIFS('TRA balance'!H$5:H$40,'TRA balance'!$C$5:$C$40,Assumptions!$C43,'TRA balance'!$D$5:$D$40,Assumptions!$B43)*DB43*K43,"")</f>
        <v>0</v>
      </c>
      <c r="BH43" s="40">
        <f ca="1">IFERROR(SUMIFS('TRA balance'!I$5:I$40,'TRA balance'!$C$5:$C$40,Assumptions!$C43,'TRA balance'!$D$5:$D$40,Assumptions!$B43)*DC43*L43,"")</f>
        <v>0</v>
      </c>
      <c r="BI43" s="40">
        <f ca="1">IFERROR(SUMIFS('TRA balance'!J$5:J$40,'TRA balance'!$C$5:$C$40,Assumptions!$C43,'TRA balance'!$D$5:$D$40,Assumptions!$B43)*DD43*M43,"")</f>
        <v>0</v>
      </c>
      <c r="BJ43" s="40">
        <f ca="1">IFERROR(SUMIFS('TRA balance'!K$5:K$40,'TRA balance'!$C$5:$C$40,Assumptions!$C43,'TRA balance'!$D$5:$D$40,Assumptions!$B43)*DE43*N43,"")</f>
        <v>0</v>
      </c>
      <c r="BK43" s="40">
        <f ca="1">IFERROR(SUMIFS('TRA balance'!L$5:L$40,'TRA balance'!$C$5:$C$40,Assumptions!$C43,'TRA balance'!$D$5:$D$40,Assumptions!$B43)*DF43*O43,"")</f>
        <v>0</v>
      </c>
      <c r="BL43" s="40">
        <f ca="1">IFERROR(SUMIFS('TRA balance'!M$5:M$40,'TRA balance'!$C$5:$C$40,Assumptions!$C43,'TRA balance'!$D$5:$D$40,Assumptions!$B43)*DG43*P43,"")</f>
        <v>0</v>
      </c>
      <c r="BM43" s="40">
        <f ca="1">IFERROR(SUMIFS('TRA balance'!N$5:N$40,'TRA balance'!$C$5:$C$40,Assumptions!$C43,'TRA balance'!$D$5:$D$40,Assumptions!$B43)*DH43*Q43,"")</f>
        <v>0</v>
      </c>
      <c r="BN43" s="40">
        <f ca="1">IFERROR(SUMIFS('TRA balance'!O$5:O$40,'TRA balance'!$C$5:$C$40,Assumptions!$C43,'TRA balance'!$D$5:$D$40,Assumptions!$B43)*DI43*R43,"")</f>
        <v>0</v>
      </c>
      <c r="BO43" s="40">
        <f ca="1">IFERROR(SUMIFS('TRA balance'!P$5:P$40,'TRA balance'!$C$5:$C$40,Assumptions!$C43,'TRA balance'!$D$5:$D$40,Assumptions!$B43)*DJ43*S43,"")</f>
        <v>0</v>
      </c>
      <c r="BP43" s="40">
        <f ca="1">IFERROR(SUMIFS('TRA balance'!Q$5:Q$40,'TRA balance'!$C$5:$C$40,Assumptions!$C43,'TRA balance'!$D$5:$D$40,Assumptions!$B43)*DK43*T43,"")</f>
        <v>0</v>
      </c>
      <c r="BQ43" s="40">
        <f ca="1">IFERROR(SUMIFS('TRA balance'!R$5:R$40,'TRA balance'!$C$5:$C$40,Assumptions!$C43,'TRA balance'!$D$5:$D$40,Assumptions!$B43)*DL43*U43,"")</f>
        <v>0</v>
      </c>
      <c r="BR43" s="40">
        <f ca="1">IFERROR(SUMIFS('TRA balance'!S$5:S$40,'TRA balance'!$C$5:$C$40,Assumptions!$C43,'TRA balance'!$D$5:$D$40,Assumptions!$B43)*DM43*V43,"")</f>
        <v>0</v>
      </c>
      <c r="BS43" s="40">
        <f ca="1">IFERROR(SUMIFS('TRA balance'!T$5:T$40,'TRA balance'!$C$5:$C$40,Assumptions!$C43,'TRA balance'!$D$5:$D$40,Assumptions!$B43)*DN43*W43,"")</f>
        <v>0</v>
      </c>
      <c r="BT43" s="40">
        <f ca="1">IFERROR(SUMIFS('TRA balance'!U$5:U$40,'TRA balance'!$C$5:$C$40,Assumptions!$C43,'TRA balance'!$D$5:$D$40,Assumptions!$B43)*DO43*X43,"")</f>
        <v>0</v>
      </c>
      <c r="BU43" s="40">
        <f ca="1">IFERROR(SUMIFS('TRA balance'!V$5:V$40,'TRA balance'!$C$5:$C$40,Assumptions!$C43,'TRA balance'!$D$5:$D$40,Assumptions!$B43)*DP43*Y43,"")</f>
        <v>0</v>
      </c>
      <c r="BV43" s="40">
        <f ca="1">IFERROR(SUMIFS('TRA balance'!W$5:W$40,'TRA balance'!$C$5:$C$40,Assumptions!$C43,'TRA balance'!$D$5:$D$40,Assumptions!$B43)*DQ43*Z43,"")</f>
        <v>0</v>
      </c>
      <c r="BW43" s="40">
        <f ca="1">IFERROR(SUMIFS('TRA balance'!X$5:X$40,'TRA balance'!$C$5:$C$40,Assumptions!$C43,'TRA balance'!$D$5:$D$40,Assumptions!$B43)*DR43*AA43,"")</f>
        <v>0</v>
      </c>
      <c r="BX43" s="40">
        <f ca="1">IFERROR(SUMIFS('TRA balance'!Y$5:Y$40,'TRA balance'!$C$5:$C$40,Assumptions!$C43,'TRA balance'!$D$5:$D$40,Assumptions!$B43)*DS43*AB43,"")</f>
        <v>0</v>
      </c>
      <c r="BY43" s="40">
        <f ca="1">IFERROR(SUMIFS('TRA balance'!Z$5:Z$40,'TRA balance'!$C$5:$C$40,Assumptions!$C43,'TRA balance'!$D$5:$D$40,Assumptions!$B43)*DT43*AC43,"")</f>
        <v>0</v>
      </c>
      <c r="BZ43" s="40">
        <f ca="1">IFERROR(SUMIFS('TRA balance'!AA$5:AA$40,'TRA balance'!$C$5:$C$40,Assumptions!$C43,'TRA balance'!$D$5:$D$40,Assumptions!$B43)*DU43*AD43,"")</f>
        <v>0</v>
      </c>
      <c r="CA43" s="40">
        <f ca="1">IFERROR(SUMIFS('TRA balance'!AB$5:AB$40,'TRA balance'!$C$5:$C$40,Assumptions!$C43,'TRA balance'!$D$5:$D$40,Assumptions!$B43)*DV43*AE43,"")</f>
        <v>0</v>
      </c>
      <c r="CB43" s="40">
        <f ca="1">IFERROR(SUMIFS('TRA balance'!AC$5:AC$40,'TRA balance'!$C$5:$C$40,Assumptions!$C43,'TRA balance'!$D$5:$D$40,Assumptions!$B43)*DW43*AF43,"")</f>
        <v>0</v>
      </c>
      <c r="CC43" s="40">
        <f ca="1">IFERROR(SUMIFS('TRA balance'!AD$5:AD$40,'TRA balance'!$C$5:$C$40,Assumptions!$C43,'TRA balance'!$D$5:$D$40,Assumptions!$B43)*DX43*AG43,"")</f>
        <v>0</v>
      </c>
      <c r="CD43" s="40">
        <f ca="1">IFERROR(SUMIFS('TRA balance'!AE$5:AE$40,'TRA balance'!$C$5:$C$40,Assumptions!$C43,'TRA balance'!$D$5:$D$40,Assumptions!$B43)*DY43*AH43,"")</f>
        <v>0</v>
      </c>
      <c r="CE43" s="40">
        <f ca="1">IFERROR(SUMIFS('TRA balance'!AF$5:AF$40,'TRA balance'!$C$5:$C$40,Assumptions!$C43,'TRA balance'!$D$5:$D$40,Assumptions!$B43)*DZ43*AI43,"")</f>
        <v>0</v>
      </c>
      <c r="CF43" s="40">
        <f ca="1">IFERROR(SUMIFS('TRA balance'!AG$5:AG$40,'TRA balance'!$C$5:$C$40,Assumptions!$C43,'TRA balance'!$D$5:$D$40,Assumptions!$B43)*EA43*AJ43,"")</f>
        <v>0</v>
      </c>
      <c r="CG43" s="40">
        <f ca="1">IFERROR(SUMIFS('TRA balance'!AH$5:AH$40,'TRA balance'!$C$5:$C$40,Assumptions!$C43,'TRA balance'!$D$5:$D$40,Assumptions!$B43)*EB43*AK43,"")</f>
        <v>0</v>
      </c>
      <c r="CH43" s="40">
        <f ca="1">IFERROR(SUMIFS('TRA balance'!AI$5:AI$40,'TRA balance'!$C$5:$C$40,Assumptions!$C43,'TRA balance'!$D$5:$D$40,Assumptions!$B43)*EC43*AL43,"")</f>
        <v>0</v>
      </c>
      <c r="CI43" s="40">
        <f ca="1">IFERROR(SUMIFS('TRA balance'!AJ$5:AJ$40,'TRA balance'!$C$5:$C$40,Assumptions!$C43,'TRA balance'!$D$5:$D$40,Assumptions!$B43)*ED43*AM43,"")</f>
        <v>0</v>
      </c>
      <c r="CJ43" s="40">
        <f ca="1">IFERROR(SUMIFS('TRA balance'!AK$5:AK$40,'TRA balance'!$C$5:$C$40,Assumptions!$C43,'TRA balance'!$D$5:$D$40,Assumptions!$B43)*EE43*AN43,"")</f>
        <v>0</v>
      </c>
      <c r="CK43" s="40">
        <f ca="1">IFERROR(SUMIFS('TRA balance'!AL$5:AL$40,'TRA balance'!$C$5:$C$40,Assumptions!$C43,'TRA balance'!$D$5:$D$40,Assumptions!$B43)*EF43*AO43,"")</f>
        <v>0</v>
      </c>
      <c r="CL43" s="40">
        <f ca="1">IFERROR(SUMIFS('TRA balance'!AM$5:AM$40,'TRA balance'!$C$5:$C$40,Assumptions!$C43,'TRA balance'!$D$5:$D$40,Assumptions!$B43)*EG43*AP43,"")</f>
        <v>0</v>
      </c>
      <c r="CM43" s="40">
        <f ca="1">IFERROR(SUMIFS('TRA balance'!AN$5:AN$40,'TRA balance'!$C$5:$C$40,Assumptions!$C43,'TRA balance'!$D$5:$D$40,Assumptions!$B43)*EH43*AQ43,"")</f>
        <v>0</v>
      </c>
      <c r="CN43" s="40">
        <f ca="1">IFERROR(SUMIFS('TRA balance'!AO$5:AO$40,'TRA balance'!$C$5:$C$40,Assumptions!$C43,'TRA balance'!$D$5:$D$40,Assumptions!$B43)*EI43*AR43,"")</f>
        <v>0</v>
      </c>
      <c r="CO43" s="40">
        <f ca="1">IFERROR(SUMIFS('TRA balance'!AP$5:AP$40,'TRA balance'!$C$5:$C$40,Assumptions!$C43,'TRA balance'!$D$5:$D$40,Assumptions!$B43)*EJ43*AS43,"")</f>
        <v>0</v>
      </c>
      <c r="CP43" s="40">
        <f ca="1">IFERROR(SUMIFS('TRA balance'!AQ$5:AQ$40,'TRA balance'!$C$5:$C$40,Assumptions!$C43,'TRA balance'!$D$5:$D$40,Assumptions!$B43)*EK43*AT43,"")</f>
        <v>0</v>
      </c>
      <c r="CQ43" s="40">
        <f ca="1">IFERROR(SUMIFS('TRA balance'!AR$5:AR$40,'TRA balance'!$C$5:$C$40,Assumptions!$C43,'TRA balance'!$D$5:$D$40,Assumptions!$B43)*EL43*AU43,"")</f>
        <v>0</v>
      </c>
      <c r="CR43" s="40">
        <f ca="1">IFERROR(SUMIFS('TRA balance'!AS$5:AS$40,'TRA balance'!$C$5:$C$40,Assumptions!$C43,'TRA balance'!$D$5:$D$40,Assumptions!$B43)*EM43*AV43,"")</f>
        <v>0</v>
      </c>
      <c r="CS43" s="40">
        <f ca="1">IFERROR(SUMIFS('TRA balance'!AT$5:AT$40,'TRA balance'!$C$5:$C$40,Assumptions!$C43,'TRA balance'!$D$5:$D$40,Assumptions!$B43)*EN43*AW43,"")</f>
        <v>0</v>
      </c>
      <c r="CT43" s="40">
        <f ca="1">IFERROR(SUMIFS('TRA balance'!AU$5:AU$40,'TRA balance'!$C$5:$C$40,Assumptions!$C43,'TRA balance'!$D$5:$D$40,Assumptions!$B43)*EO43*AX43,"")</f>
        <v>0</v>
      </c>
      <c r="CU43" s="40">
        <f ca="1">IFERROR(SUMIFS('TRA balance'!AV$5:AV$40,'TRA balance'!$C$5:$C$40,Assumptions!$C43,'TRA balance'!$D$5:$D$40,Assumptions!$B43)*EP43*AY43,"")</f>
        <v>0</v>
      </c>
      <c r="CV43" s="40">
        <f ca="1">IFERROR(SUMIFS('TRA balance'!AW$5:AW$40,'TRA balance'!$C$5:$C$40,Assumptions!$C43,'TRA balance'!$D$5:$D$40,Assumptions!$B43)*EQ43*AZ43,"")</f>
        <v>0</v>
      </c>
      <c r="CW43" s="40">
        <f ca="1">IFERROR(SUMIFS('TRA balance'!AX$5:AX$40,'TRA balance'!$C$5:$C$40,Assumptions!$C43,'TRA balance'!$D$5:$D$40,Assumptions!$B43)*ER43*BA43,"")</f>
        <v>0</v>
      </c>
      <c r="CY43" s="39">
        <f ca="1" t="shared" si="66"/>
        <v>1</v>
      </c>
      <c r="CZ43" s="39">
        <f ca="1" t="shared" si="3"/>
        <v>1</v>
      </c>
      <c r="DA43" s="39">
        <f ca="1" t="shared" si="4"/>
        <v>1</v>
      </c>
      <c r="DB43" s="39">
        <f ca="1" t="shared" si="5"/>
        <v>1</v>
      </c>
      <c r="DC43" s="39">
        <f ca="1" t="shared" si="6"/>
        <v>1</v>
      </c>
      <c r="DD43" s="39">
        <f ca="1" t="shared" si="7"/>
        <v>1</v>
      </c>
      <c r="DE43" s="39">
        <f ca="1" t="shared" si="8"/>
        <v>1</v>
      </c>
      <c r="DF43" s="39">
        <f ca="1" t="shared" si="9"/>
        <v>1</v>
      </c>
      <c r="DG43" s="39">
        <f ca="1" t="shared" si="10"/>
        <v>1</v>
      </c>
      <c r="DH43" s="39">
        <f ca="1" t="shared" si="11"/>
        <v>1</v>
      </c>
      <c r="DI43" s="39">
        <f ca="1" t="shared" si="12"/>
        <v>1</v>
      </c>
      <c r="DJ43" s="39">
        <f ca="1" t="shared" si="13"/>
        <v>1</v>
      </c>
      <c r="DK43" s="39">
        <f ca="1" t="shared" si="14"/>
        <v>1</v>
      </c>
      <c r="DL43" s="39">
        <f ca="1" t="shared" si="15"/>
        <v>1</v>
      </c>
      <c r="DM43" s="39">
        <f ca="1" t="shared" si="16"/>
        <v>1</v>
      </c>
      <c r="DN43" s="39">
        <f ca="1" t="shared" si="17"/>
        <v>1</v>
      </c>
      <c r="DO43" s="39">
        <f ca="1" t="shared" si="18"/>
        <v>1</v>
      </c>
      <c r="DP43" s="39">
        <f ca="1" t="shared" si="19"/>
        <v>1</v>
      </c>
      <c r="DQ43" s="39">
        <f ca="1" t="shared" si="20"/>
        <v>1</v>
      </c>
      <c r="DR43" s="39">
        <f ca="1" t="shared" si="21"/>
        <v>1</v>
      </c>
      <c r="DS43" s="39">
        <f ca="1" t="shared" si="22"/>
        <v>1</v>
      </c>
      <c r="DT43" s="39">
        <f ca="1" t="shared" si="23"/>
        <v>1</v>
      </c>
      <c r="DU43" s="39">
        <f ca="1" t="shared" si="24"/>
        <v>1</v>
      </c>
      <c r="DV43" s="39">
        <f ca="1" t="shared" si="25"/>
        <v>1</v>
      </c>
      <c r="DW43" s="39">
        <f ca="1" t="shared" si="26"/>
        <v>1</v>
      </c>
      <c r="DX43" s="39">
        <f ca="1" t="shared" si="27"/>
        <v>1</v>
      </c>
      <c r="DY43" s="39">
        <f ca="1" t="shared" si="28"/>
        <v>1</v>
      </c>
      <c r="DZ43" s="39">
        <f ca="1" t="shared" si="29"/>
        <v>1</v>
      </c>
      <c r="EA43" s="39">
        <f ca="1" t="shared" si="30"/>
        <v>1</v>
      </c>
      <c r="EB43" s="39">
        <f ca="1" t="shared" si="31"/>
        <v>1</v>
      </c>
      <c r="EC43" s="39">
        <f ca="1" t="shared" si="32"/>
        <v>1</v>
      </c>
      <c r="ED43" s="39">
        <f ca="1" t="shared" si="33"/>
        <v>1</v>
      </c>
      <c r="EE43" s="39">
        <f ca="1" t="shared" si="34"/>
        <v>1</v>
      </c>
      <c r="EF43" s="39">
        <f ca="1" t="shared" si="35"/>
        <v>1</v>
      </c>
      <c r="EG43" s="39">
        <f ca="1" t="shared" si="36"/>
        <v>1</v>
      </c>
      <c r="EH43" s="39">
        <f ca="1" t="shared" si="37"/>
        <v>1</v>
      </c>
      <c r="EI43" s="39">
        <f ca="1" t="shared" si="38"/>
        <v>1</v>
      </c>
      <c r="EJ43" s="39">
        <f ca="1" t="shared" si="39"/>
        <v>1</v>
      </c>
      <c r="EK43" s="39">
        <f ca="1" t="shared" si="40"/>
        <v>1</v>
      </c>
      <c r="EL43" s="39">
        <f ca="1" t="shared" si="41"/>
        <v>1</v>
      </c>
      <c r="EM43" s="39">
        <f ca="1" t="shared" si="42"/>
        <v>1</v>
      </c>
      <c r="EN43" s="39">
        <f ca="1" t="shared" si="43"/>
        <v>1</v>
      </c>
      <c r="EO43" s="39">
        <f ca="1" t="shared" si="44"/>
        <v>1</v>
      </c>
      <c r="EP43" s="39">
        <f ca="1" t="shared" si="45"/>
        <v>1</v>
      </c>
      <c r="EQ43" s="39">
        <f ca="1" t="shared" si="46"/>
        <v>1</v>
      </c>
      <c r="ER43" s="39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4" t="str">
        <f t="shared" si="48"/>
        <v>TR</v>
      </c>
      <c r="D44" s="55" t="s">
        <v>200</v>
      </c>
      <c r="E44" s="66" t="s">
        <v>212</v>
      </c>
      <c r="F44" s="56" t="str">
        <f t="shared" si="70"/>
        <v>Liquified Petroleum Gases</v>
      </c>
      <c r="G44" s="54" t="s">
        <v>213</v>
      </c>
      <c r="H44" s="57">
        <f ca="1">OFFSET(TIAM15_assumptions!$G44,0,MATCH(VLOOKUP(Assumptions!H$2,TIAM15_assumptions!$Y$3:$Z$87,2,FALSE),TIAM15_assumptions!$H$2:$V$2,0))</f>
        <v>0.3</v>
      </c>
      <c r="I44" s="57">
        <f ca="1">OFFSET(TIAM15_assumptions!$G44,0,MATCH(VLOOKUP(Assumptions!I$2,TIAM15_assumptions!$Y$3:$Z$87,2,FALSE),TIAM15_assumptions!$H$2:$V$2,0))</f>
        <v>0.3</v>
      </c>
      <c r="J44" s="57">
        <f ca="1">OFFSET(TIAM15_assumptions!$G44,0,MATCH(VLOOKUP(Assumptions!J$2,TIAM15_assumptions!$Y$3:$Z$87,2,FALSE),TIAM15_assumptions!$H$2:$V$2,0))</f>
        <v>0.8</v>
      </c>
      <c r="K44" s="57">
        <f ca="1">OFFSET(TIAM15_assumptions!$G44,0,MATCH(VLOOKUP(Assumptions!K$2,TIAM15_assumptions!$Y$3:$Z$87,2,FALSE),TIAM15_assumptions!$H$2:$V$2,0))</f>
        <v>0</v>
      </c>
      <c r="L44" s="57">
        <f ca="1">OFFSET(TIAM15_assumptions!$G44,0,MATCH(VLOOKUP(Assumptions!L$2,TIAM15_assumptions!$Y$3:$Z$87,2,FALSE),TIAM15_assumptions!$H$2:$V$2,0))</f>
        <v>0</v>
      </c>
      <c r="M44" s="57">
        <f ca="1">OFFSET(TIAM15_assumptions!$G44,0,MATCH(VLOOKUP(Assumptions!M$2,TIAM15_assumptions!$Y$3:$Z$87,2,FALSE),TIAM15_assumptions!$H$2:$V$2,0))</f>
        <v>0</v>
      </c>
      <c r="N44" s="57">
        <f ca="1">OFFSET(TIAM15_assumptions!$G44,0,MATCH(VLOOKUP(Assumptions!N$2,TIAM15_assumptions!$Y$3:$Z$87,2,FALSE),TIAM15_assumptions!$H$2:$V$2,0))</f>
        <v>1</v>
      </c>
      <c r="O44" s="57">
        <f ca="1">OFFSET(TIAM15_assumptions!$G44,0,MATCH(VLOOKUP(Assumptions!O$2,TIAM15_assumptions!$Y$3:$Z$87,2,FALSE),TIAM15_assumptions!$H$2:$V$2,0))</f>
        <v>0.8</v>
      </c>
      <c r="P44" s="57">
        <f ca="1">OFFSET(TIAM15_assumptions!$G44,0,MATCH(VLOOKUP(Assumptions!P$2,TIAM15_assumptions!$Y$3:$Z$87,2,FALSE),TIAM15_assumptions!$H$2:$V$2,0))</f>
        <v>0</v>
      </c>
      <c r="Q44" s="57">
        <f ca="1">OFFSET(TIAM15_assumptions!$G44,0,MATCH(VLOOKUP(Assumptions!Q$2,TIAM15_assumptions!$Y$3:$Z$87,2,FALSE),TIAM15_assumptions!$H$2:$V$2,0))</f>
        <v>0</v>
      </c>
      <c r="R44" s="57">
        <f ca="1">OFFSET(TIAM15_assumptions!$G44,0,MATCH(VLOOKUP(Assumptions!R$2,TIAM15_assumptions!$Y$3:$Z$87,2,FALSE),TIAM15_assumptions!$H$2:$V$2,0))</f>
        <v>0</v>
      </c>
      <c r="S44" s="57">
        <f ca="1">OFFSET(TIAM15_assumptions!$G44,0,MATCH(VLOOKUP(Assumptions!S$2,TIAM15_assumptions!$Y$3:$Z$87,2,FALSE),TIAM15_assumptions!$H$2:$V$2,0))</f>
        <v>0</v>
      </c>
      <c r="T44" s="57">
        <f ca="1">OFFSET(TIAM15_assumptions!$G44,0,MATCH(VLOOKUP(Assumptions!T$2,TIAM15_assumptions!$Y$3:$Z$87,2,FALSE),TIAM15_assumptions!$H$2:$V$2,0))</f>
        <v>0</v>
      </c>
      <c r="U44" s="57">
        <f ca="1">OFFSET(TIAM15_assumptions!$G44,0,MATCH(VLOOKUP(Assumptions!U$2,TIAM15_assumptions!$Y$3:$Z$87,2,FALSE),TIAM15_assumptions!$H$2:$V$2,0))</f>
        <v>0</v>
      </c>
      <c r="V44" s="57">
        <f ca="1">OFFSET(TIAM15_assumptions!$G44,0,MATCH(VLOOKUP(Assumptions!V$2,TIAM15_assumptions!$Y$3:$Z$87,2,FALSE),TIAM15_assumptions!$H$2:$V$2,0))</f>
        <v>0</v>
      </c>
      <c r="W44" s="57">
        <f ca="1">OFFSET(TIAM15_assumptions!$G44,0,MATCH(VLOOKUP(Assumptions!W$2,TIAM15_assumptions!$Y$3:$Z$87,2,FALSE),TIAM15_assumptions!$H$2:$V$2,0))</f>
        <v>0.8</v>
      </c>
      <c r="X44" s="57">
        <f ca="1">OFFSET(TIAM15_assumptions!$G44,0,MATCH(VLOOKUP(Assumptions!X$2,TIAM15_assumptions!$Y$3:$Z$87,2,FALSE),TIAM15_assumptions!$H$2:$V$2,0))</f>
        <v>0</v>
      </c>
      <c r="Y44" s="57">
        <f ca="1">OFFSET(TIAM15_assumptions!$G44,0,MATCH(VLOOKUP(Assumptions!Y$2,TIAM15_assumptions!$Y$3:$Z$87,2,FALSE),TIAM15_assumptions!$H$2:$V$2,0))</f>
        <v>0</v>
      </c>
      <c r="Z44" s="57">
        <f ca="1">OFFSET(TIAM15_assumptions!$G44,0,MATCH(VLOOKUP(Assumptions!Z$2,TIAM15_assumptions!$Y$3:$Z$87,2,FALSE),TIAM15_assumptions!$H$2:$V$2,0))</f>
        <v>0</v>
      </c>
      <c r="AA44" s="57">
        <f ca="1">OFFSET(TIAM15_assumptions!$G44,0,MATCH(VLOOKUP(Assumptions!AA$2,TIAM15_assumptions!$Y$3:$Z$87,2,FALSE),TIAM15_assumptions!$H$2:$V$2,0))</f>
        <v>1</v>
      </c>
      <c r="AB44" s="57">
        <f ca="1">OFFSET(TIAM15_assumptions!$G44,0,MATCH(VLOOKUP(Assumptions!AB$2,TIAM15_assumptions!$Y$3:$Z$87,2,FALSE),TIAM15_assumptions!$H$2:$V$2,0))</f>
        <v>0.3</v>
      </c>
      <c r="AC44" s="57">
        <f ca="1">OFFSET(TIAM15_assumptions!$G44,0,MATCH(VLOOKUP(Assumptions!AC$2,TIAM15_assumptions!$Y$3:$Z$87,2,FALSE),TIAM15_assumptions!$H$2:$V$2,0))</f>
        <v>0.02</v>
      </c>
      <c r="AD44" s="57">
        <f ca="1">OFFSET(TIAM15_assumptions!$G44,0,MATCH(VLOOKUP(Assumptions!AD$2,TIAM15_assumptions!$Y$3:$Z$87,2,FALSE),TIAM15_assumptions!$H$2:$V$2,0))</f>
        <v>0</v>
      </c>
      <c r="AE44" s="57">
        <f ca="1">OFFSET(TIAM15_assumptions!$G44,0,MATCH(VLOOKUP(Assumptions!AE$2,TIAM15_assumptions!$Y$3:$Z$87,2,FALSE),TIAM15_assumptions!$H$2:$V$2,0))</f>
        <v>0</v>
      </c>
      <c r="AF44" s="57">
        <f ca="1">OFFSET(TIAM15_assumptions!$G44,0,MATCH(VLOOKUP(Assumptions!AF$2,TIAM15_assumptions!$Y$3:$Z$87,2,FALSE),TIAM15_assumptions!$H$2:$V$2,0))</f>
        <v>0.7</v>
      </c>
      <c r="AG44" s="57">
        <f ca="1">OFFSET(TIAM15_assumptions!$G44,0,MATCH(VLOOKUP(Assumptions!AG$2,TIAM15_assumptions!$Y$3:$Z$87,2,FALSE),TIAM15_assumptions!$H$2:$V$2,0))</f>
        <v>0</v>
      </c>
      <c r="AH44" s="57">
        <f ca="1">OFFSET(TIAM15_assumptions!$G44,0,MATCH(VLOOKUP(Assumptions!AH$2,TIAM15_assumptions!$Y$3:$Z$87,2,FALSE),TIAM15_assumptions!$H$2:$V$2,0))</f>
        <v>0.3</v>
      </c>
      <c r="AI44" s="57">
        <f ca="1">OFFSET(TIAM15_assumptions!$G44,0,MATCH(VLOOKUP(Assumptions!AI$2,TIAM15_assumptions!$Y$3:$Z$87,2,FALSE),TIAM15_assumptions!$H$2:$V$2,0))</f>
        <v>0.3</v>
      </c>
      <c r="AJ44" s="57">
        <f ca="1">OFFSET(TIAM15_assumptions!$G44,0,MATCH(VLOOKUP(Assumptions!AJ$2,TIAM15_assumptions!$Y$3:$Z$87,2,FALSE),TIAM15_assumptions!$H$2:$V$2,0))</f>
        <v>0</v>
      </c>
      <c r="AK44" s="57">
        <f ca="1">OFFSET(TIAM15_assumptions!$G44,0,MATCH(VLOOKUP(Assumptions!AK$2,TIAM15_assumptions!$Y$3:$Z$87,2,FALSE),TIAM15_assumptions!$H$2:$V$2,0))</f>
        <v>0</v>
      </c>
      <c r="AL44" s="57">
        <f ca="1">OFFSET(TIAM15_assumptions!$G44,0,MATCH(VLOOKUP(Assumptions!AL$2,TIAM15_assumptions!$Y$3:$Z$87,2,FALSE),TIAM15_assumptions!$H$2:$V$2,0))</f>
        <v>0</v>
      </c>
      <c r="AM44" s="57">
        <f ca="1">OFFSET(TIAM15_assumptions!$G44,0,MATCH(VLOOKUP(Assumptions!AM$2,TIAM15_assumptions!$Y$3:$Z$87,2,FALSE),TIAM15_assumptions!$H$2:$V$2,0))</f>
        <v>0.3</v>
      </c>
      <c r="AN44" s="57">
        <f ca="1">OFFSET(TIAM15_assumptions!$G44,0,MATCH(VLOOKUP(Assumptions!AN$2,TIAM15_assumptions!$Y$3:$Z$87,2,FALSE),TIAM15_assumptions!$H$2:$V$2,0))</f>
        <v>0</v>
      </c>
      <c r="AO44" s="57">
        <f ca="1">OFFSET(TIAM15_assumptions!$G44,0,MATCH(VLOOKUP(Assumptions!AO$2,TIAM15_assumptions!$Y$3:$Z$87,2,FALSE),TIAM15_assumptions!$H$2:$V$2,0))</f>
        <v>0</v>
      </c>
      <c r="AP44" s="57">
        <f ca="1">OFFSET(TIAM15_assumptions!$G44,0,MATCH(VLOOKUP(Assumptions!AP$2,TIAM15_assumptions!$Y$3:$Z$87,2,FALSE),TIAM15_assumptions!$H$2:$V$2,0))</f>
        <v>0</v>
      </c>
      <c r="AQ44" s="57">
        <f ca="1">OFFSET(TIAM15_assumptions!$G44,0,MATCH(VLOOKUP(Assumptions!AQ$2,TIAM15_assumptions!$Y$3:$Z$87,2,FALSE),TIAM15_assumptions!$H$2:$V$2,0))</f>
        <v>0.02</v>
      </c>
      <c r="AR44" s="57">
        <f ca="1">OFFSET(TIAM15_assumptions!$G44,0,MATCH(VLOOKUP(Assumptions!AR$2,TIAM15_assumptions!$Y$3:$Z$87,2,FALSE),TIAM15_assumptions!$H$2:$V$2,0))</f>
        <v>0.02</v>
      </c>
      <c r="AS44" s="57">
        <f ca="1">OFFSET(TIAM15_assumptions!$G44,0,MATCH(VLOOKUP(Assumptions!AS$2,TIAM15_assumptions!$Y$3:$Z$87,2,FALSE),TIAM15_assumptions!$H$2:$V$2,0))</f>
        <v>0.02</v>
      </c>
      <c r="AT44" s="57">
        <f ca="1">OFFSET(TIAM15_assumptions!$G44,0,MATCH(VLOOKUP(Assumptions!AT$2,TIAM15_assumptions!$Y$3:$Z$87,2,FALSE),TIAM15_assumptions!$H$2:$V$2,0))</f>
        <v>0.02</v>
      </c>
      <c r="AU44" s="57">
        <f ca="1">OFFSET(TIAM15_assumptions!$G44,0,MATCH(VLOOKUP(Assumptions!AU$2,TIAM15_assumptions!$Y$3:$Z$87,2,FALSE),TIAM15_assumptions!$H$2:$V$2,0))</f>
        <v>0.02</v>
      </c>
      <c r="AV44" s="57">
        <f ca="1">OFFSET(TIAM15_assumptions!$G44,0,MATCH(VLOOKUP(Assumptions!AV$2,TIAM15_assumptions!$Y$3:$Z$87,2,FALSE),TIAM15_assumptions!$H$2:$V$2,0))</f>
        <v>0.02</v>
      </c>
      <c r="AW44" s="57">
        <f ca="1">OFFSET(TIAM15_assumptions!$G44,0,MATCH(VLOOKUP(Assumptions!AW$2,TIAM15_assumptions!$Y$3:$Z$87,2,FALSE),TIAM15_assumptions!$H$2:$V$2,0))</f>
        <v>0.02</v>
      </c>
      <c r="AX44" s="57">
        <f ca="1">OFFSET(TIAM15_assumptions!$G44,0,MATCH(VLOOKUP(Assumptions!AX$2,TIAM15_assumptions!$Y$3:$Z$87,2,FALSE),TIAM15_assumptions!$H$2:$V$2,0))</f>
        <v>0.02</v>
      </c>
      <c r="AY44" s="57">
        <f ca="1">OFFSET(TIAM15_assumptions!$G44,0,MATCH(VLOOKUP(Assumptions!AY$2,TIAM15_assumptions!$Y$3:$Z$87,2,FALSE),TIAM15_assumptions!$H$2:$V$2,0))</f>
        <v>0.02</v>
      </c>
      <c r="AZ44" s="57">
        <f ca="1">OFFSET(TIAM15_assumptions!$G44,0,MATCH(VLOOKUP(Assumptions!AZ$2,TIAM15_assumptions!$Y$3:$Z$87,2,FALSE),TIAM15_assumptions!$H$2:$V$2,0))</f>
        <v>0.02</v>
      </c>
      <c r="BA44" s="57">
        <f ca="1">OFFSET(TIAM15_assumptions!$G44,0,MATCH(VLOOKUP(Assumptions!BA$2,TIAM15_assumptions!$Y$3:$Z$87,2,FALSE),TIAM15_assumptions!$H$2:$V$2,0))</f>
        <v>0.02</v>
      </c>
      <c r="BD44" s="40">
        <f ca="1">IFERROR(SUMIFS('TRA balance'!E$5:E$40,'TRA balance'!$C$5:$C$40,Assumptions!$C44,'TRA balance'!$D$5:$D$40,Assumptions!$B44)*CY44*H44,"")</f>
        <v>5.152799095056</v>
      </c>
      <c r="BE44" s="40">
        <f ca="1">IFERROR(SUMIFS('TRA balance'!F$5:F$40,'TRA balance'!$C$5:$C$40,Assumptions!$C44,'TRA balance'!$D$5:$D$40,Assumptions!$B44)*CZ44*I44,"")</f>
        <v>0.002957220576</v>
      </c>
      <c r="BF44" s="40">
        <f ca="1">IFERROR(SUMIFS('TRA balance'!G$5:G$40,'TRA balance'!$C$5:$C$40,Assumptions!$C44,'TRA balance'!$D$5:$D$40,Assumptions!$B44)*DA44*J44,"")</f>
        <v>9.12465581688</v>
      </c>
      <c r="BG44" s="40">
        <f ca="1">IFERROR(SUMIFS('TRA balance'!H$5:H$40,'TRA balance'!$C$5:$C$40,Assumptions!$C44,'TRA balance'!$D$5:$D$40,Assumptions!$B44)*DB44*K44,"")</f>
        <v>0</v>
      </c>
      <c r="BH44" s="40">
        <f ca="1">IFERROR(SUMIFS('TRA balance'!I$5:I$40,'TRA balance'!$C$5:$C$40,Assumptions!$C44,'TRA balance'!$D$5:$D$40,Assumptions!$B44)*DC44*L44,"")</f>
        <v>0</v>
      </c>
      <c r="BI44" s="40">
        <f ca="1">IFERROR(SUMIFS('TRA balance'!J$5:J$40,'TRA balance'!$C$5:$C$40,Assumptions!$C44,'TRA balance'!$D$5:$D$40,Assumptions!$B44)*DD44*M44,"")</f>
        <v>0</v>
      </c>
      <c r="BJ44" s="40">
        <f ca="1">IFERROR(SUMIFS('TRA balance'!K$5:K$40,'TRA balance'!$C$5:$C$40,Assumptions!$C44,'TRA balance'!$D$5:$D$40,Assumptions!$B44)*DE44*N44,"")</f>
        <v>0</v>
      </c>
      <c r="BK44" s="40">
        <f ca="1">IFERROR(SUMIFS('TRA balance'!L$5:L$40,'TRA balance'!$C$5:$C$40,Assumptions!$C44,'TRA balance'!$D$5:$D$40,Assumptions!$B44)*DF44*O44,"")</f>
        <v>37.585035567936</v>
      </c>
      <c r="BL44" s="40">
        <f ca="1">IFERROR(SUMIFS('TRA balance'!M$5:M$40,'TRA balance'!$C$5:$C$40,Assumptions!$C44,'TRA balance'!$D$5:$D$40,Assumptions!$B44)*DG44*P44,"")</f>
        <v>0</v>
      </c>
      <c r="BM44" s="40">
        <f ca="1">IFERROR(SUMIFS('TRA balance'!N$5:N$40,'TRA balance'!$C$5:$C$40,Assumptions!$C44,'TRA balance'!$D$5:$D$40,Assumptions!$B44)*DH44*Q44,"")</f>
        <v>0</v>
      </c>
      <c r="BN44" s="40">
        <f ca="1">IFERROR(SUMIFS('TRA balance'!O$5:O$40,'TRA balance'!$C$5:$C$40,Assumptions!$C44,'TRA balance'!$D$5:$D$40,Assumptions!$B44)*DI44*R44,"")</f>
        <v>0</v>
      </c>
      <c r="BO44" s="40">
        <f ca="1">IFERROR(SUMIFS('TRA balance'!P$5:P$40,'TRA balance'!$C$5:$C$40,Assumptions!$C44,'TRA balance'!$D$5:$D$40,Assumptions!$B44)*DJ44*S44,"")</f>
        <v>0</v>
      </c>
      <c r="BP44" s="40">
        <f ca="1">IFERROR(SUMIFS('TRA balance'!Q$5:Q$40,'TRA balance'!$C$5:$C$40,Assumptions!$C44,'TRA balance'!$D$5:$D$40,Assumptions!$B44)*DK44*T44,"")</f>
        <v>0</v>
      </c>
      <c r="BQ44" s="40">
        <f ca="1">IFERROR(SUMIFS('TRA balance'!R$5:R$40,'TRA balance'!$C$5:$C$40,Assumptions!$C44,'TRA balance'!$D$5:$D$40,Assumptions!$B44)*DL44*U44,"")</f>
        <v>0</v>
      </c>
      <c r="BR44" s="40">
        <f ca="1">IFERROR(SUMIFS('TRA balance'!S$5:S$40,'TRA balance'!$C$5:$C$40,Assumptions!$C44,'TRA balance'!$D$5:$D$40,Assumptions!$B44)*DM44*V44,"")</f>
        <v>0</v>
      </c>
      <c r="BS44" s="40">
        <f ca="1">IFERROR(SUMIFS('TRA balance'!T$5:T$40,'TRA balance'!$C$5:$C$40,Assumptions!$C44,'TRA balance'!$D$5:$D$40,Assumptions!$B44)*DN44*W44,"")</f>
        <v>4.878522162</v>
      </c>
      <c r="BT44" s="40">
        <f ca="1">IFERROR(SUMIFS('TRA balance'!U$5:U$40,'TRA balance'!$C$5:$C$40,Assumptions!$C44,'TRA balance'!$D$5:$D$40,Assumptions!$B44)*DO44*X44,"")</f>
        <v>0</v>
      </c>
      <c r="BU44" s="40">
        <f ca="1">IFERROR(SUMIFS('TRA balance'!V$5:V$40,'TRA balance'!$C$5:$C$40,Assumptions!$C44,'TRA balance'!$D$5:$D$40,Assumptions!$B44)*DP44*Y44,"")</f>
        <v>0</v>
      </c>
      <c r="BV44" s="40">
        <f ca="1">IFERROR(SUMIFS('TRA balance'!W$5:W$40,'TRA balance'!$C$5:$C$40,Assumptions!$C44,'TRA balance'!$D$5:$D$40,Assumptions!$B44)*DQ44*Z44,"")</f>
        <v>0</v>
      </c>
      <c r="BW44" s="40">
        <f ca="1">IFERROR(SUMIFS('TRA balance'!X$5:X$40,'TRA balance'!$C$5:$C$40,Assumptions!$C44,'TRA balance'!$D$5:$D$40,Assumptions!$B44)*DR44*AA44,"")</f>
        <v>17.298570159</v>
      </c>
      <c r="BX44" s="40">
        <f ca="1">IFERROR(SUMIFS('TRA balance'!Y$5:Y$40,'TRA balance'!$C$5:$C$40,Assumptions!$C44,'TRA balance'!$D$5:$D$40,Assumptions!$B44)*DS44*AB44,"")</f>
        <v>0.337024169712</v>
      </c>
      <c r="BY44" s="40">
        <f ca="1">IFERROR(SUMIFS('TRA balance'!Z$5:Z$40,'TRA balance'!$C$5:$C$40,Assumptions!$C44,'TRA balance'!$D$5:$D$40,Assumptions!$B44)*DT44*AC44,"")</f>
        <v>0.414587926891738</v>
      </c>
      <c r="BZ44" s="40">
        <f ca="1">IFERROR(SUMIFS('TRA balance'!AA$5:AA$40,'TRA balance'!$C$5:$C$40,Assumptions!$C44,'TRA balance'!$D$5:$D$40,Assumptions!$B44)*DU44*AD44,"")</f>
        <v>0</v>
      </c>
      <c r="CA44" s="40">
        <f ca="1">IFERROR(SUMIFS('TRA balance'!AB$5:AB$40,'TRA balance'!$C$5:$C$40,Assumptions!$C44,'TRA balance'!$D$5:$D$40,Assumptions!$B44)*DV44*AE44,"")</f>
        <v>0</v>
      </c>
      <c r="CB44" s="40">
        <f ca="1">IFERROR(SUMIFS('TRA balance'!AC$5:AC$40,'TRA balance'!$C$5:$C$40,Assumptions!$C44,'TRA balance'!$D$5:$D$40,Assumptions!$B44)*DW44*AF44,"")</f>
        <v>48.768667892028</v>
      </c>
      <c r="CC44" s="40">
        <f ca="1">IFERROR(SUMIFS('TRA balance'!AD$5:AD$40,'TRA balance'!$C$5:$C$40,Assumptions!$C44,'TRA balance'!$D$5:$D$40,Assumptions!$B44)*DX44*AG44,"")</f>
        <v>0</v>
      </c>
      <c r="CD44" s="40">
        <f ca="1">IFERROR(SUMIFS('TRA balance'!AE$5:AE$40,'TRA balance'!$C$5:$C$40,Assumptions!$C44,'TRA balance'!$D$5:$D$40,Assumptions!$B44)*DY44*AH44,"")</f>
        <v>0</v>
      </c>
      <c r="CE44" s="40">
        <f ca="1">IFERROR(SUMIFS('TRA balance'!AF$5:AF$40,'TRA balance'!$C$5:$C$40,Assumptions!$C44,'TRA balance'!$D$5:$D$40,Assumptions!$B44)*DZ44*AI44,"")</f>
        <v>0.0784899396</v>
      </c>
      <c r="CF44" s="40">
        <f ca="1">IFERROR(SUMIFS('TRA balance'!AG$5:AG$40,'TRA balance'!$C$5:$C$40,Assumptions!$C44,'TRA balance'!$D$5:$D$40,Assumptions!$B44)*EA44*AJ44,"")</f>
        <v>0</v>
      </c>
      <c r="CG44" s="40">
        <f ca="1">IFERROR(SUMIFS('TRA balance'!AH$5:AH$40,'TRA balance'!$C$5:$C$40,Assumptions!$C44,'TRA balance'!$D$5:$D$40,Assumptions!$B44)*EB44*AK44,"")</f>
        <v>0</v>
      </c>
      <c r="CH44" s="40">
        <f ca="1">IFERROR(SUMIFS('TRA balance'!AI$5:AI$40,'TRA balance'!$C$5:$C$40,Assumptions!$C44,'TRA balance'!$D$5:$D$40,Assumptions!$B44)*EC44*AL44,"")</f>
        <v>0</v>
      </c>
      <c r="CI44" s="40">
        <f ca="1">IFERROR(SUMIFS('TRA balance'!AJ$5:AJ$40,'TRA balance'!$C$5:$C$40,Assumptions!$C44,'TRA balance'!$D$5:$D$40,Assumptions!$B44)*ED44*AM44,"")</f>
        <v>18.5140798416</v>
      </c>
      <c r="CJ44" s="40">
        <f ca="1">IFERROR(SUMIFS('TRA balance'!AK$5:AK$40,'TRA balance'!$C$5:$C$40,Assumptions!$C44,'TRA balance'!$D$5:$D$40,Assumptions!$B44)*EE44*AN44,"")</f>
        <v>0</v>
      </c>
      <c r="CK44" s="40">
        <f ca="1">IFERROR(SUMIFS('TRA balance'!AL$5:AL$40,'TRA balance'!$C$5:$C$40,Assumptions!$C44,'TRA balance'!$D$5:$D$40,Assumptions!$B44)*EF44*AO44,"")</f>
        <v>0</v>
      </c>
      <c r="CL44" s="40">
        <f ca="1">IFERROR(SUMIFS('TRA balance'!AM$5:AM$40,'TRA balance'!$C$5:$C$40,Assumptions!$C44,'TRA balance'!$D$5:$D$40,Assumptions!$B44)*EG44*AP44,"")</f>
        <v>0</v>
      </c>
      <c r="CM44" s="40">
        <f ca="1">IFERROR(SUMIFS('TRA balance'!AN$5:AN$40,'TRA balance'!$C$5:$C$40,Assumptions!$C44,'TRA balance'!$D$5:$D$40,Assumptions!$B44)*EH44*AQ44,"")</f>
        <v>0</v>
      </c>
      <c r="CN44" s="40">
        <f ca="1">IFERROR(SUMIFS('TRA balance'!AO$5:AO$40,'TRA balance'!$C$5:$C$40,Assumptions!$C44,'TRA balance'!$D$5:$D$40,Assumptions!$B44)*EI44*AR44,"")</f>
        <v>0</v>
      </c>
      <c r="CO44" s="40">
        <f ca="1">IFERROR(SUMIFS('TRA balance'!AP$5:AP$40,'TRA balance'!$C$5:$C$40,Assumptions!$C44,'TRA balance'!$D$5:$D$40,Assumptions!$B44)*EJ44*AS44,"")</f>
        <v>0</v>
      </c>
      <c r="CP44" s="40">
        <f ca="1">IFERROR(SUMIFS('TRA balance'!AQ$5:AQ$40,'TRA balance'!$C$5:$C$40,Assumptions!$C44,'TRA balance'!$D$5:$D$40,Assumptions!$B44)*EK44*AT44,"")</f>
        <v>0</v>
      </c>
      <c r="CQ44" s="40">
        <f ca="1">IFERROR(SUMIFS('TRA balance'!AR$5:AR$40,'TRA balance'!$C$5:$C$40,Assumptions!$C44,'TRA balance'!$D$5:$D$40,Assumptions!$B44)*EL44*AU44,"")</f>
        <v>0</v>
      </c>
      <c r="CR44" s="40">
        <f ca="1">IFERROR(SUMIFS('TRA balance'!AS$5:AS$40,'TRA balance'!$C$5:$C$40,Assumptions!$C44,'TRA balance'!$D$5:$D$40,Assumptions!$B44)*EM44*AV44,"")</f>
        <v>0</v>
      </c>
      <c r="CS44" s="40">
        <f ca="1">IFERROR(SUMIFS('TRA balance'!AT$5:AT$40,'TRA balance'!$C$5:$C$40,Assumptions!$C44,'TRA balance'!$D$5:$D$40,Assumptions!$B44)*EN44*AW44,"")</f>
        <v>0</v>
      </c>
      <c r="CT44" s="40">
        <f ca="1">IFERROR(SUMIFS('TRA balance'!AU$5:AU$40,'TRA balance'!$C$5:$C$40,Assumptions!$C44,'TRA balance'!$D$5:$D$40,Assumptions!$B44)*EO44*AX44,"")</f>
        <v>0</v>
      </c>
      <c r="CU44" s="40">
        <f ca="1">IFERROR(SUMIFS('TRA balance'!AV$5:AV$40,'TRA balance'!$C$5:$C$40,Assumptions!$C44,'TRA balance'!$D$5:$D$40,Assumptions!$B44)*EP44*AY44,"")</f>
        <v>0</v>
      </c>
      <c r="CV44" s="40">
        <f ca="1">IFERROR(SUMIFS('TRA balance'!AW$5:AW$40,'TRA balance'!$C$5:$C$40,Assumptions!$C44,'TRA balance'!$D$5:$D$40,Assumptions!$B44)*EQ44*AZ44,"")</f>
        <v>0</v>
      </c>
      <c r="CW44" s="40">
        <f ca="1">IFERROR(SUMIFS('TRA balance'!AX$5:AX$40,'TRA balance'!$C$5:$C$40,Assumptions!$C44,'TRA balance'!$D$5:$D$40,Assumptions!$B44)*ER44*BA44,"")</f>
        <v>0</v>
      </c>
      <c r="CY44" s="39">
        <f ca="1" t="shared" si="66"/>
        <v>0.4</v>
      </c>
      <c r="CZ44" s="39">
        <f ca="1" t="shared" si="3"/>
        <v>0.4</v>
      </c>
      <c r="DA44" s="39">
        <f ca="1" t="shared" si="4"/>
        <v>0.75</v>
      </c>
      <c r="DB44" s="39">
        <f ca="1" t="shared" si="5"/>
        <v>0.25</v>
      </c>
      <c r="DC44" s="39">
        <f ca="1" t="shared" si="6"/>
        <v>0.43</v>
      </c>
      <c r="DD44" s="39">
        <f ca="1" t="shared" si="7"/>
        <v>0.25</v>
      </c>
      <c r="DE44" s="39">
        <f ca="1" t="shared" si="8"/>
        <v>0.5</v>
      </c>
      <c r="DF44" s="39">
        <f ca="1" t="shared" si="9"/>
        <v>0.6</v>
      </c>
      <c r="DG44" s="39">
        <f ca="1" t="shared" si="10"/>
        <v>0.43</v>
      </c>
      <c r="DH44" s="39">
        <f ca="1" t="shared" si="11"/>
        <v>0.43</v>
      </c>
      <c r="DI44" s="39">
        <f ca="1" t="shared" si="12"/>
        <v>0.25</v>
      </c>
      <c r="DJ44" s="39">
        <f ca="1" t="shared" si="13"/>
        <v>0.25</v>
      </c>
      <c r="DK44" s="39">
        <f ca="1" t="shared" si="14"/>
        <v>0.25</v>
      </c>
      <c r="DL44" s="39">
        <f ca="1" t="shared" si="15"/>
        <v>0.43</v>
      </c>
      <c r="DM44" s="39">
        <f ca="1" t="shared" si="16"/>
        <v>0.25</v>
      </c>
      <c r="DN44" s="39">
        <f ca="1" t="shared" si="17"/>
        <v>0.75</v>
      </c>
      <c r="DO44" s="39">
        <f ca="1" t="shared" si="18"/>
        <v>0.25</v>
      </c>
      <c r="DP44" s="39">
        <f ca="1" t="shared" si="19"/>
        <v>0.25</v>
      </c>
      <c r="DQ44" s="39">
        <f ca="1" t="shared" si="20"/>
        <v>0.43</v>
      </c>
      <c r="DR44" s="39">
        <f ca="1" t="shared" si="21"/>
        <v>0.5</v>
      </c>
      <c r="DS44" s="39">
        <f ca="1" t="shared" si="22"/>
        <v>0.4</v>
      </c>
      <c r="DT44" s="39">
        <f ca="1" t="shared" si="23"/>
        <v>0.280785282844377</v>
      </c>
      <c r="DU44" s="39">
        <f ca="1" t="shared" si="24"/>
        <v>0.25</v>
      </c>
      <c r="DV44" s="39">
        <f ca="1" t="shared" si="25"/>
        <v>0.43</v>
      </c>
      <c r="DW44" s="39">
        <f ca="1" t="shared" si="26"/>
        <v>0.3</v>
      </c>
      <c r="DX44" s="39">
        <f ca="1" t="shared" si="27"/>
        <v>0.43</v>
      </c>
      <c r="DY44" s="39">
        <f ca="1" t="shared" si="28"/>
        <v>0.4</v>
      </c>
      <c r="DZ44" s="39">
        <f ca="1" t="shared" si="29"/>
        <v>0.4</v>
      </c>
      <c r="EA44" s="39">
        <f ca="1" t="shared" si="30"/>
        <v>0.25</v>
      </c>
      <c r="EB44" s="39">
        <f ca="1" t="shared" si="31"/>
        <v>0.25</v>
      </c>
      <c r="EC44" s="39">
        <f ca="1" t="shared" si="32"/>
        <v>0.25</v>
      </c>
      <c r="ED44" s="39">
        <f ca="1" t="shared" si="33"/>
        <v>0.4</v>
      </c>
      <c r="EE44" s="39">
        <f ca="1" t="shared" si="34"/>
        <v>0.25</v>
      </c>
      <c r="EF44" s="39">
        <f ca="1" t="shared" si="35"/>
        <v>0.43</v>
      </c>
      <c r="EG44" s="39">
        <f ca="1" t="shared" si="36"/>
        <v>0.43</v>
      </c>
      <c r="EH44" s="39">
        <f ca="1" t="shared" si="37"/>
        <v>0.280785282844377</v>
      </c>
      <c r="EI44" s="39">
        <f ca="1" t="shared" si="38"/>
        <v>0.280785282844377</v>
      </c>
      <c r="EJ44" s="39">
        <f ca="1" t="shared" si="39"/>
        <v>0.280785282844377</v>
      </c>
      <c r="EK44" s="39">
        <f ca="1" t="shared" si="40"/>
        <v>0.280785282844377</v>
      </c>
      <c r="EL44" s="39">
        <f ca="1" t="shared" si="41"/>
        <v>0.280785282844377</v>
      </c>
      <c r="EM44" s="39">
        <f ca="1" t="shared" si="42"/>
        <v>0.280785282844377</v>
      </c>
      <c r="EN44" s="39">
        <f ca="1" t="shared" si="43"/>
        <v>0.280785282844377</v>
      </c>
      <c r="EO44" s="39">
        <f ca="1" t="shared" si="44"/>
        <v>0.280785282844377</v>
      </c>
      <c r="EP44" s="39">
        <f ca="1" t="shared" si="45"/>
        <v>0.280785282844377</v>
      </c>
      <c r="EQ44" s="39">
        <f ca="1" t="shared" si="46"/>
        <v>0.280785282844377</v>
      </c>
      <c r="ER44" s="39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4" t="str">
        <f t="shared" si="48"/>
        <v>TR</v>
      </c>
      <c r="D45" s="55" t="s">
        <v>200</v>
      </c>
      <c r="E45" s="66" t="s">
        <v>214</v>
      </c>
      <c r="F45" s="56" t="str">
        <f t="shared" ref="F45:F51" si="74">F44</f>
        <v>Liquified Petroleum Gases</v>
      </c>
      <c r="G45" s="54" t="s">
        <v>215</v>
      </c>
      <c r="H45" s="57">
        <f ca="1">OFFSET(TIAM15_assumptions!$G45,0,MATCH(VLOOKUP(Assumptions!H$2,TIAM15_assumptions!$Y$3:$Z$87,2,FALSE),TIAM15_assumptions!$H$2:$V$2,0))</f>
        <v>0</v>
      </c>
      <c r="I45" s="57">
        <f ca="1">OFFSET(TIAM15_assumptions!$G45,0,MATCH(VLOOKUP(Assumptions!I$2,TIAM15_assumptions!$Y$3:$Z$87,2,FALSE),TIAM15_assumptions!$H$2:$V$2,0))</f>
        <v>0</v>
      </c>
      <c r="J45" s="57">
        <f ca="1">OFFSET(TIAM15_assumptions!$G45,0,MATCH(VLOOKUP(Assumptions!J$2,TIAM15_assumptions!$Y$3:$Z$87,2,FALSE),TIAM15_assumptions!$H$2:$V$2,0))</f>
        <v>0</v>
      </c>
      <c r="K45" s="57">
        <f ca="1">OFFSET(TIAM15_assumptions!$G45,0,MATCH(VLOOKUP(Assumptions!K$2,TIAM15_assumptions!$Y$3:$Z$87,2,FALSE),TIAM15_assumptions!$H$2:$V$2,0))</f>
        <v>0</v>
      </c>
      <c r="L45" s="57">
        <f ca="1">OFFSET(TIAM15_assumptions!$G45,0,MATCH(VLOOKUP(Assumptions!L$2,TIAM15_assumptions!$Y$3:$Z$87,2,FALSE),TIAM15_assumptions!$H$2:$V$2,0))</f>
        <v>0</v>
      </c>
      <c r="M45" s="57">
        <f ca="1">OFFSET(TIAM15_assumptions!$G45,0,MATCH(VLOOKUP(Assumptions!M$2,TIAM15_assumptions!$Y$3:$Z$87,2,FALSE),TIAM15_assumptions!$H$2:$V$2,0))</f>
        <v>0</v>
      </c>
      <c r="N45" s="57">
        <f ca="1">OFFSET(TIAM15_assumptions!$G45,0,MATCH(VLOOKUP(Assumptions!N$2,TIAM15_assumptions!$Y$3:$Z$87,2,FALSE),TIAM15_assumptions!$H$2:$V$2,0))</f>
        <v>0</v>
      </c>
      <c r="O45" s="57">
        <f ca="1">OFFSET(TIAM15_assumptions!$G45,0,MATCH(VLOOKUP(Assumptions!O$2,TIAM15_assumptions!$Y$3:$Z$87,2,FALSE),TIAM15_assumptions!$H$2:$V$2,0))</f>
        <v>0</v>
      </c>
      <c r="P45" s="57">
        <f ca="1">OFFSET(TIAM15_assumptions!$G45,0,MATCH(VLOOKUP(Assumptions!P$2,TIAM15_assumptions!$Y$3:$Z$87,2,FALSE),TIAM15_assumptions!$H$2:$V$2,0))</f>
        <v>0</v>
      </c>
      <c r="Q45" s="57">
        <f ca="1">OFFSET(TIAM15_assumptions!$G45,0,MATCH(VLOOKUP(Assumptions!Q$2,TIAM15_assumptions!$Y$3:$Z$87,2,FALSE),TIAM15_assumptions!$H$2:$V$2,0))</f>
        <v>0</v>
      </c>
      <c r="R45" s="57">
        <f ca="1">OFFSET(TIAM15_assumptions!$G45,0,MATCH(VLOOKUP(Assumptions!R$2,TIAM15_assumptions!$Y$3:$Z$87,2,FALSE),TIAM15_assumptions!$H$2:$V$2,0))</f>
        <v>0</v>
      </c>
      <c r="S45" s="57">
        <f ca="1">OFFSET(TIAM15_assumptions!$G45,0,MATCH(VLOOKUP(Assumptions!S$2,TIAM15_assumptions!$Y$3:$Z$87,2,FALSE),TIAM15_assumptions!$H$2:$V$2,0))</f>
        <v>0</v>
      </c>
      <c r="T45" s="57">
        <f ca="1">OFFSET(TIAM15_assumptions!$G45,0,MATCH(VLOOKUP(Assumptions!T$2,TIAM15_assumptions!$Y$3:$Z$87,2,FALSE),TIAM15_assumptions!$H$2:$V$2,0))</f>
        <v>0</v>
      </c>
      <c r="U45" s="57">
        <f ca="1">OFFSET(TIAM15_assumptions!$G45,0,MATCH(VLOOKUP(Assumptions!U$2,TIAM15_assumptions!$Y$3:$Z$87,2,FALSE),TIAM15_assumptions!$H$2:$V$2,0))</f>
        <v>0</v>
      </c>
      <c r="V45" s="57">
        <f ca="1">OFFSET(TIAM15_assumptions!$G45,0,MATCH(VLOOKUP(Assumptions!V$2,TIAM15_assumptions!$Y$3:$Z$87,2,FALSE),TIAM15_assumptions!$H$2:$V$2,0))</f>
        <v>0</v>
      </c>
      <c r="W45" s="57">
        <f ca="1">OFFSET(TIAM15_assumptions!$G45,0,MATCH(VLOOKUP(Assumptions!W$2,TIAM15_assumptions!$Y$3:$Z$87,2,FALSE),TIAM15_assumptions!$H$2:$V$2,0))</f>
        <v>0</v>
      </c>
      <c r="X45" s="57">
        <f ca="1">OFFSET(TIAM15_assumptions!$G45,0,MATCH(VLOOKUP(Assumptions!X$2,TIAM15_assumptions!$Y$3:$Z$87,2,FALSE),TIAM15_assumptions!$H$2:$V$2,0))</f>
        <v>0</v>
      </c>
      <c r="Y45" s="57">
        <f ca="1">OFFSET(TIAM15_assumptions!$G45,0,MATCH(VLOOKUP(Assumptions!Y$2,TIAM15_assumptions!$Y$3:$Z$87,2,FALSE),TIAM15_assumptions!$H$2:$V$2,0))</f>
        <v>0</v>
      </c>
      <c r="Z45" s="57">
        <f ca="1">OFFSET(TIAM15_assumptions!$G45,0,MATCH(VLOOKUP(Assumptions!Z$2,TIAM15_assumptions!$Y$3:$Z$87,2,FALSE),TIAM15_assumptions!$H$2:$V$2,0))</f>
        <v>0</v>
      </c>
      <c r="AA45" s="57">
        <f ca="1">OFFSET(TIAM15_assumptions!$G45,0,MATCH(VLOOKUP(Assumptions!AA$2,TIAM15_assumptions!$Y$3:$Z$87,2,FALSE),TIAM15_assumptions!$H$2:$V$2,0))</f>
        <v>0</v>
      </c>
      <c r="AB45" s="57">
        <f ca="1">OFFSET(TIAM15_assumptions!$G45,0,MATCH(VLOOKUP(Assumptions!AB$2,TIAM15_assumptions!$Y$3:$Z$87,2,FALSE),TIAM15_assumptions!$H$2:$V$2,0))</f>
        <v>0</v>
      </c>
      <c r="AC45" s="57">
        <f ca="1">OFFSET(TIAM15_assumptions!$G45,0,MATCH(VLOOKUP(Assumptions!AC$2,TIAM15_assumptions!$Y$3:$Z$87,2,FALSE),TIAM15_assumptions!$H$2:$V$2,0))</f>
        <v>0</v>
      </c>
      <c r="AD45" s="57">
        <f ca="1">OFFSET(TIAM15_assumptions!$G45,0,MATCH(VLOOKUP(Assumptions!AD$2,TIAM15_assumptions!$Y$3:$Z$87,2,FALSE),TIAM15_assumptions!$H$2:$V$2,0))</f>
        <v>0</v>
      </c>
      <c r="AE45" s="57">
        <f ca="1">OFFSET(TIAM15_assumptions!$G45,0,MATCH(VLOOKUP(Assumptions!AE$2,TIAM15_assumptions!$Y$3:$Z$87,2,FALSE),TIAM15_assumptions!$H$2:$V$2,0))</f>
        <v>0</v>
      </c>
      <c r="AF45" s="57">
        <f ca="1">OFFSET(TIAM15_assumptions!$G45,0,MATCH(VLOOKUP(Assumptions!AF$2,TIAM15_assumptions!$Y$3:$Z$87,2,FALSE),TIAM15_assumptions!$H$2:$V$2,0))</f>
        <v>0</v>
      </c>
      <c r="AG45" s="57">
        <f ca="1">OFFSET(TIAM15_assumptions!$G45,0,MATCH(VLOOKUP(Assumptions!AG$2,TIAM15_assumptions!$Y$3:$Z$87,2,FALSE),TIAM15_assumptions!$H$2:$V$2,0))</f>
        <v>0</v>
      </c>
      <c r="AH45" s="57">
        <f ca="1">OFFSET(TIAM15_assumptions!$G45,0,MATCH(VLOOKUP(Assumptions!AH$2,TIAM15_assumptions!$Y$3:$Z$87,2,FALSE),TIAM15_assumptions!$H$2:$V$2,0))</f>
        <v>0</v>
      </c>
      <c r="AI45" s="57">
        <f ca="1">OFFSET(TIAM15_assumptions!$G45,0,MATCH(VLOOKUP(Assumptions!AI$2,TIAM15_assumptions!$Y$3:$Z$87,2,FALSE),TIAM15_assumptions!$H$2:$V$2,0))</f>
        <v>0</v>
      </c>
      <c r="AJ45" s="57">
        <f ca="1">OFFSET(TIAM15_assumptions!$G45,0,MATCH(VLOOKUP(Assumptions!AJ$2,TIAM15_assumptions!$Y$3:$Z$87,2,FALSE),TIAM15_assumptions!$H$2:$V$2,0))</f>
        <v>0</v>
      </c>
      <c r="AK45" s="57">
        <f ca="1">OFFSET(TIAM15_assumptions!$G45,0,MATCH(VLOOKUP(Assumptions!AK$2,TIAM15_assumptions!$Y$3:$Z$87,2,FALSE),TIAM15_assumptions!$H$2:$V$2,0))</f>
        <v>0</v>
      </c>
      <c r="AL45" s="57">
        <f ca="1">OFFSET(TIAM15_assumptions!$G45,0,MATCH(VLOOKUP(Assumptions!AL$2,TIAM15_assumptions!$Y$3:$Z$87,2,FALSE),TIAM15_assumptions!$H$2:$V$2,0))</f>
        <v>0</v>
      </c>
      <c r="AM45" s="57">
        <f ca="1">OFFSET(TIAM15_assumptions!$G45,0,MATCH(VLOOKUP(Assumptions!AM$2,TIAM15_assumptions!$Y$3:$Z$87,2,FALSE),TIAM15_assumptions!$H$2:$V$2,0))</f>
        <v>0</v>
      </c>
      <c r="AN45" s="57">
        <f ca="1">OFFSET(TIAM15_assumptions!$G45,0,MATCH(VLOOKUP(Assumptions!AN$2,TIAM15_assumptions!$Y$3:$Z$87,2,FALSE),TIAM15_assumptions!$H$2:$V$2,0))</f>
        <v>0</v>
      </c>
      <c r="AO45" s="57">
        <f ca="1">OFFSET(TIAM15_assumptions!$G45,0,MATCH(VLOOKUP(Assumptions!AO$2,TIAM15_assumptions!$Y$3:$Z$87,2,FALSE),TIAM15_assumptions!$H$2:$V$2,0))</f>
        <v>0</v>
      </c>
      <c r="AP45" s="57">
        <f ca="1">OFFSET(TIAM15_assumptions!$G45,0,MATCH(VLOOKUP(Assumptions!AP$2,TIAM15_assumptions!$Y$3:$Z$87,2,FALSE),TIAM15_assumptions!$H$2:$V$2,0))</f>
        <v>0</v>
      </c>
      <c r="AQ45" s="57">
        <f ca="1">OFFSET(TIAM15_assumptions!$G45,0,MATCH(VLOOKUP(Assumptions!AQ$2,TIAM15_assumptions!$Y$3:$Z$87,2,FALSE),TIAM15_assumptions!$H$2:$V$2,0))</f>
        <v>0</v>
      </c>
      <c r="AR45" s="57">
        <f ca="1">OFFSET(TIAM15_assumptions!$G45,0,MATCH(VLOOKUP(Assumptions!AR$2,TIAM15_assumptions!$Y$3:$Z$87,2,FALSE),TIAM15_assumptions!$H$2:$V$2,0))</f>
        <v>0</v>
      </c>
      <c r="AS45" s="57">
        <f ca="1">OFFSET(TIAM15_assumptions!$G45,0,MATCH(VLOOKUP(Assumptions!AS$2,TIAM15_assumptions!$Y$3:$Z$87,2,FALSE),TIAM15_assumptions!$H$2:$V$2,0))</f>
        <v>0</v>
      </c>
      <c r="AT45" s="57">
        <f ca="1">OFFSET(TIAM15_assumptions!$G45,0,MATCH(VLOOKUP(Assumptions!AT$2,TIAM15_assumptions!$Y$3:$Z$87,2,FALSE),TIAM15_assumptions!$H$2:$V$2,0))</f>
        <v>0</v>
      </c>
      <c r="AU45" s="57">
        <f ca="1">OFFSET(TIAM15_assumptions!$G45,0,MATCH(VLOOKUP(Assumptions!AU$2,TIAM15_assumptions!$Y$3:$Z$87,2,FALSE),TIAM15_assumptions!$H$2:$V$2,0))</f>
        <v>0</v>
      </c>
      <c r="AV45" s="57">
        <f ca="1">OFFSET(TIAM15_assumptions!$G45,0,MATCH(VLOOKUP(Assumptions!AV$2,TIAM15_assumptions!$Y$3:$Z$87,2,FALSE),TIAM15_assumptions!$H$2:$V$2,0))</f>
        <v>0</v>
      </c>
      <c r="AW45" s="57">
        <f ca="1">OFFSET(TIAM15_assumptions!$G45,0,MATCH(VLOOKUP(Assumptions!AW$2,TIAM15_assumptions!$Y$3:$Z$87,2,FALSE),TIAM15_assumptions!$H$2:$V$2,0))</f>
        <v>0</v>
      </c>
      <c r="AX45" s="57">
        <f ca="1">OFFSET(TIAM15_assumptions!$G45,0,MATCH(VLOOKUP(Assumptions!AX$2,TIAM15_assumptions!$Y$3:$Z$87,2,FALSE),TIAM15_assumptions!$H$2:$V$2,0))</f>
        <v>0</v>
      </c>
      <c r="AY45" s="57">
        <f ca="1">OFFSET(TIAM15_assumptions!$G45,0,MATCH(VLOOKUP(Assumptions!AY$2,TIAM15_assumptions!$Y$3:$Z$87,2,FALSE),TIAM15_assumptions!$H$2:$V$2,0))</f>
        <v>0</v>
      </c>
      <c r="AZ45" s="57">
        <f ca="1">OFFSET(TIAM15_assumptions!$G45,0,MATCH(VLOOKUP(Assumptions!AZ$2,TIAM15_assumptions!$Y$3:$Z$87,2,FALSE),TIAM15_assumptions!$H$2:$V$2,0))</f>
        <v>0</v>
      </c>
      <c r="BA45" s="57">
        <f ca="1">OFFSET(TIAM15_assumptions!$G45,0,MATCH(VLOOKUP(Assumptions!BA$2,TIAM15_assumptions!$Y$3:$Z$87,2,FALSE),TIAM15_assumptions!$H$2:$V$2,0))</f>
        <v>0</v>
      </c>
      <c r="BD45" s="40">
        <f ca="1">IFERROR(SUMIFS('TRA balance'!E$5:E$40,'TRA balance'!$C$5:$C$40,Assumptions!$C45,'TRA balance'!$D$5:$D$40,Assumptions!$B45)*CY45*H45,"")</f>
        <v>0</v>
      </c>
      <c r="BE45" s="40">
        <f ca="1">IFERROR(SUMIFS('TRA balance'!F$5:F$40,'TRA balance'!$C$5:$C$40,Assumptions!$C45,'TRA balance'!$D$5:$D$40,Assumptions!$B45)*CZ45*I45,"")</f>
        <v>0</v>
      </c>
      <c r="BF45" s="40">
        <f ca="1">IFERROR(SUMIFS('TRA balance'!G$5:G$40,'TRA balance'!$C$5:$C$40,Assumptions!$C45,'TRA balance'!$D$5:$D$40,Assumptions!$B45)*DA45*J45,"")</f>
        <v>0</v>
      </c>
      <c r="BG45" s="40">
        <f ca="1">IFERROR(SUMIFS('TRA balance'!H$5:H$40,'TRA balance'!$C$5:$C$40,Assumptions!$C45,'TRA balance'!$D$5:$D$40,Assumptions!$B45)*DB45*K45,"")</f>
        <v>0</v>
      </c>
      <c r="BH45" s="40">
        <f ca="1">IFERROR(SUMIFS('TRA balance'!I$5:I$40,'TRA balance'!$C$5:$C$40,Assumptions!$C45,'TRA balance'!$D$5:$D$40,Assumptions!$B45)*DC45*L45,"")</f>
        <v>0</v>
      </c>
      <c r="BI45" s="40">
        <f ca="1">IFERROR(SUMIFS('TRA balance'!J$5:J$40,'TRA balance'!$C$5:$C$40,Assumptions!$C45,'TRA balance'!$D$5:$D$40,Assumptions!$B45)*DD45*M45,"")</f>
        <v>0</v>
      </c>
      <c r="BJ45" s="40">
        <f ca="1">IFERROR(SUMIFS('TRA balance'!K$5:K$40,'TRA balance'!$C$5:$C$40,Assumptions!$C45,'TRA balance'!$D$5:$D$40,Assumptions!$B45)*DE45*N45,"")</f>
        <v>0</v>
      </c>
      <c r="BK45" s="40">
        <f ca="1">IFERROR(SUMIFS('TRA balance'!L$5:L$40,'TRA balance'!$C$5:$C$40,Assumptions!$C45,'TRA balance'!$D$5:$D$40,Assumptions!$B45)*DF45*O45,"")</f>
        <v>0</v>
      </c>
      <c r="BL45" s="40">
        <f ca="1">IFERROR(SUMIFS('TRA balance'!M$5:M$40,'TRA balance'!$C$5:$C$40,Assumptions!$C45,'TRA balance'!$D$5:$D$40,Assumptions!$B45)*DG45*P45,"")</f>
        <v>0</v>
      </c>
      <c r="BM45" s="40">
        <f ca="1">IFERROR(SUMIFS('TRA balance'!N$5:N$40,'TRA balance'!$C$5:$C$40,Assumptions!$C45,'TRA balance'!$D$5:$D$40,Assumptions!$B45)*DH45*Q45,"")</f>
        <v>0</v>
      </c>
      <c r="BN45" s="40">
        <f ca="1">IFERROR(SUMIFS('TRA balance'!O$5:O$40,'TRA balance'!$C$5:$C$40,Assumptions!$C45,'TRA balance'!$D$5:$D$40,Assumptions!$B45)*DI45*R45,"")</f>
        <v>0</v>
      </c>
      <c r="BO45" s="40">
        <f ca="1">IFERROR(SUMIFS('TRA balance'!P$5:P$40,'TRA balance'!$C$5:$C$40,Assumptions!$C45,'TRA balance'!$D$5:$D$40,Assumptions!$B45)*DJ45*S45,"")</f>
        <v>0</v>
      </c>
      <c r="BP45" s="40">
        <f ca="1">IFERROR(SUMIFS('TRA balance'!Q$5:Q$40,'TRA balance'!$C$5:$C$40,Assumptions!$C45,'TRA balance'!$D$5:$D$40,Assumptions!$B45)*DK45*T45,"")</f>
        <v>0</v>
      </c>
      <c r="BQ45" s="40">
        <f ca="1">IFERROR(SUMIFS('TRA balance'!R$5:R$40,'TRA balance'!$C$5:$C$40,Assumptions!$C45,'TRA balance'!$D$5:$D$40,Assumptions!$B45)*DL45*U45,"")</f>
        <v>0</v>
      </c>
      <c r="BR45" s="40">
        <f ca="1">IFERROR(SUMIFS('TRA balance'!S$5:S$40,'TRA balance'!$C$5:$C$40,Assumptions!$C45,'TRA balance'!$D$5:$D$40,Assumptions!$B45)*DM45*V45,"")</f>
        <v>0</v>
      </c>
      <c r="BS45" s="40">
        <f ca="1">IFERROR(SUMIFS('TRA balance'!T$5:T$40,'TRA balance'!$C$5:$C$40,Assumptions!$C45,'TRA balance'!$D$5:$D$40,Assumptions!$B45)*DN45*W45,"")</f>
        <v>0</v>
      </c>
      <c r="BT45" s="40">
        <f ca="1">IFERROR(SUMIFS('TRA balance'!U$5:U$40,'TRA balance'!$C$5:$C$40,Assumptions!$C45,'TRA balance'!$D$5:$D$40,Assumptions!$B45)*DO45*X45,"")</f>
        <v>0</v>
      </c>
      <c r="BU45" s="40">
        <f ca="1">IFERROR(SUMIFS('TRA balance'!V$5:V$40,'TRA balance'!$C$5:$C$40,Assumptions!$C45,'TRA balance'!$D$5:$D$40,Assumptions!$B45)*DP45*Y45,"")</f>
        <v>0</v>
      </c>
      <c r="BV45" s="40">
        <f ca="1">IFERROR(SUMIFS('TRA balance'!W$5:W$40,'TRA balance'!$C$5:$C$40,Assumptions!$C45,'TRA balance'!$D$5:$D$40,Assumptions!$B45)*DQ45*Z45,"")</f>
        <v>0</v>
      </c>
      <c r="BW45" s="40">
        <f ca="1">IFERROR(SUMIFS('TRA balance'!X$5:X$40,'TRA balance'!$C$5:$C$40,Assumptions!$C45,'TRA balance'!$D$5:$D$40,Assumptions!$B45)*DR45*AA45,"")</f>
        <v>0</v>
      </c>
      <c r="BX45" s="40">
        <f ca="1">IFERROR(SUMIFS('TRA balance'!Y$5:Y$40,'TRA balance'!$C$5:$C$40,Assumptions!$C45,'TRA balance'!$D$5:$D$40,Assumptions!$B45)*DS45*AB45,"")</f>
        <v>0</v>
      </c>
      <c r="BY45" s="40">
        <f ca="1">IFERROR(SUMIFS('TRA balance'!Z$5:Z$40,'TRA balance'!$C$5:$C$40,Assumptions!$C45,'TRA balance'!$D$5:$D$40,Assumptions!$B45)*DT45*AC45,"")</f>
        <v>0</v>
      </c>
      <c r="BZ45" s="40">
        <f ca="1">IFERROR(SUMIFS('TRA balance'!AA$5:AA$40,'TRA balance'!$C$5:$C$40,Assumptions!$C45,'TRA balance'!$D$5:$D$40,Assumptions!$B45)*DU45*AD45,"")</f>
        <v>0</v>
      </c>
      <c r="CA45" s="40">
        <f ca="1">IFERROR(SUMIFS('TRA balance'!AB$5:AB$40,'TRA balance'!$C$5:$C$40,Assumptions!$C45,'TRA balance'!$D$5:$D$40,Assumptions!$B45)*DV45*AE45,"")</f>
        <v>0</v>
      </c>
      <c r="CB45" s="40">
        <f ca="1">IFERROR(SUMIFS('TRA balance'!AC$5:AC$40,'TRA balance'!$C$5:$C$40,Assumptions!$C45,'TRA balance'!$D$5:$D$40,Assumptions!$B45)*DW45*AF45,"")</f>
        <v>0</v>
      </c>
      <c r="CC45" s="40">
        <f ca="1">IFERROR(SUMIFS('TRA balance'!AD$5:AD$40,'TRA balance'!$C$5:$C$40,Assumptions!$C45,'TRA balance'!$D$5:$D$40,Assumptions!$B45)*DX45*AG45,"")</f>
        <v>0</v>
      </c>
      <c r="CD45" s="40">
        <f ca="1">IFERROR(SUMIFS('TRA balance'!AE$5:AE$40,'TRA balance'!$C$5:$C$40,Assumptions!$C45,'TRA balance'!$D$5:$D$40,Assumptions!$B45)*DY45*AH45,"")</f>
        <v>0</v>
      </c>
      <c r="CE45" s="40">
        <f ca="1">IFERROR(SUMIFS('TRA balance'!AF$5:AF$40,'TRA balance'!$C$5:$C$40,Assumptions!$C45,'TRA balance'!$D$5:$D$40,Assumptions!$B45)*DZ45*AI45,"")</f>
        <v>0</v>
      </c>
      <c r="CF45" s="40">
        <f ca="1">IFERROR(SUMIFS('TRA balance'!AG$5:AG$40,'TRA balance'!$C$5:$C$40,Assumptions!$C45,'TRA balance'!$D$5:$D$40,Assumptions!$B45)*EA45*AJ45,"")</f>
        <v>0</v>
      </c>
      <c r="CG45" s="40">
        <f ca="1">IFERROR(SUMIFS('TRA balance'!AH$5:AH$40,'TRA balance'!$C$5:$C$40,Assumptions!$C45,'TRA balance'!$D$5:$D$40,Assumptions!$B45)*EB45*AK45,"")</f>
        <v>0</v>
      </c>
      <c r="CH45" s="40">
        <f ca="1">IFERROR(SUMIFS('TRA balance'!AI$5:AI$40,'TRA balance'!$C$5:$C$40,Assumptions!$C45,'TRA balance'!$D$5:$D$40,Assumptions!$B45)*EC45*AL45,"")</f>
        <v>0</v>
      </c>
      <c r="CI45" s="40">
        <f ca="1">IFERROR(SUMIFS('TRA balance'!AJ$5:AJ$40,'TRA balance'!$C$5:$C$40,Assumptions!$C45,'TRA balance'!$D$5:$D$40,Assumptions!$B45)*ED45*AM45,"")</f>
        <v>0</v>
      </c>
      <c r="CJ45" s="40">
        <f ca="1">IFERROR(SUMIFS('TRA balance'!AK$5:AK$40,'TRA balance'!$C$5:$C$40,Assumptions!$C45,'TRA balance'!$D$5:$D$40,Assumptions!$B45)*EE45*AN45,"")</f>
        <v>0</v>
      </c>
      <c r="CK45" s="40">
        <f ca="1">IFERROR(SUMIFS('TRA balance'!AL$5:AL$40,'TRA balance'!$C$5:$C$40,Assumptions!$C45,'TRA balance'!$D$5:$D$40,Assumptions!$B45)*EF45*AO45,"")</f>
        <v>0</v>
      </c>
      <c r="CL45" s="40">
        <f ca="1">IFERROR(SUMIFS('TRA balance'!AM$5:AM$40,'TRA balance'!$C$5:$C$40,Assumptions!$C45,'TRA balance'!$D$5:$D$40,Assumptions!$B45)*EG45*AP45,"")</f>
        <v>0</v>
      </c>
      <c r="CM45" s="40">
        <f ca="1">IFERROR(SUMIFS('TRA balance'!AN$5:AN$40,'TRA balance'!$C$5:$C$40,Assumptions!$C45,'TRA balance'!$D$5:$D$40,Assumptions!$B45)*EH45*AQ45,"")</f>
        <v>0</v>
      </c>
      <c r="CN45" s="40">
        <f ca="1">IFERROR(SUMIFS('TRA balance'!AO$5:AO$40,'TRA balance'!$C$5:$C$40,Assumptions!$C45,'TRA balance'!$D$5:$D$40,Assumptions!$B45)*EI45*AR45,"")</f>
        <v>0</v>
      </c>
      <c r="CO45" s="40">
        <f ca="1">IFERROR(SUMIFS('TRA balance'!AP$5:AP$40,'TRA balance'!$C$5:$C$40,Assumptions!$C45,'TRA balance'!$D$5:$D$40,Assumptions!$B45)*EJ45*AS45,"")</f>
        <v>0</v>
      </c>
      <c r="CP45" s="40">
        <f ca="1">IFERROR(SUMIFS('TRA balance'!AQ$5:AQ$40,'TRA balance'!$C$5:$C$40,Assumptions!$C45,'TRA balance'!$D$5:$D$40,Assumptions!$B45)*EK45*AT45,"")</f>
        <v>0</v>
      </c>
      <c r="CQ45" s="40">
        <f ca="1">IFERROR(SUMIFS('TRA balance'!AR$5:AR$40,'TRA balance'!$C$5:$C$40,Assumptions!$C45,'TRA balance'!$D$5:$D$40,Assumptions!$B45)*EL45*AU45,"")</f>
        <v>0</v>
      </c>
      <c r="CR45" s="40">
        <f ca="1">IFERROR(SUMIFS('TRA balance'!AS$5:AS$40,'TRA balance'!$C$5:$C$40,Assumptions!$C45,'TRA balance'!$D$5:$D$40,Assumptions!$B45)*EM45*AV45,"")</f>
        <v>0</v>
      </c>
      <c r="CS45" s="40">
        <f ca="1">IFERROR(SUMIFS('TRA balance'!AT$5:AT$40,'TRA balance'!$C$5:$C$40,Assumptions!$C45,'TRA balance'!$D$5:$D$40,Assumptions!$B45)*EN45*AW45,"")</f>
        <v>0</v>
      </c>
      <c r="CT45" s="40">
        <f ca="1">IFERROR(SUMIFS('TRA balance'!AU$5:AU$40,'TRA balance'!$C$5:$C$40,Assumptions!$C45,'TRA balance'!$D$5:$D$40,Assumptions!$B45)*EO45*AX45,"")</f>
        <v>0</v>
      </c>
      <c r="CU45" s="40">
        <f ca="1">IFERROR(SUMIFS('TRA balance'!AV$5:AV$40,'TRA balance'!$C$5:$C$40,Assumptions!$C45,'TRA balance'!$D$5:$D$40,Assumptions!$B45)*EP45*AY45,"")</f>
        <v>0</v>
      </c>
      <c r="CV45" s="40">
        <f ca="1">IFERROR(SUMIFS('TRA balance'!AW$5:AW$40,'TRA balance'!$C$5:$C$40,Assumptions!$C45,'TRA balance'!$D$5:$D$40,Assumptions!$B45)*EQ45*AZ45,"")</f>
        <v>0</v>
      </c>
      <c r="CW45" s="40">
        <f ca="1">IFERROR(SUMIFS('TRA balance'!AX$5:AX$40,'TRA balance'!$C$5:$C$40,Assumptions!$C45,'TRA balance'!$D$5:$D$40,Assumptions!$B45)*ER45*BA45,"")</f>
        <v>0</v>
      </c>
      <c r="CY45" s="39">
        <f ca="1" t="shared" si="66"/>
        <v>0.4</v>
      </c>
      <c r="CZ45" s="39">
        <f ca="1" t="shared" si="3"/>
        <v>0.4</v>
      </c>
      <c r="DA45" s="39">
        <f ca="1" t="shared" si="4"/>
        <v>0.75</v>
      </c>
      <c r="DB45" s="39">
        <f ca="1" t="shared" si="5"/>
        <v>0.25</v>
      </c>
      <c r="DC45" s="39">
        <f ca="1" t="shared" si="6"/>
        <v>0.43</v>
      </c>
      <c r="DD45" s="39">
        <f ca="1" t="shared" si="7"/>
        <v>0.25</v>
      </c>
      <c r="DE45" s="39">
        <f ca="1" t="shared" si="8"/>
        <v>0.5</v>
      </c>
      <c r="DF45" s="39">
        <f ca="1" t="shared" si="9"/>
        <v>0.6</v>
      </c>
      <c r="DG45" s="39">
        <f ca="1" t="shared" si="10"/>
        <v>0.43</v>
      </c>
      <c r="DH45" s="39">
        <f ca="1" t="shared" si="11"/>
        <v>0.43</v>
      </c>
      <c r="DI45" s="39">
        <f ca="1" t="shared" si="12"/>
        <v>0.25</v>
      </c>
      <c r="DJ45" s="39">
        <f ca="1" t="shared" si="13"/>
        <v>0.25</v>
      </c>
      <c r="DK45" s="39">
        <f ca="1" t="shared" si="14"/>
        <v>0.25</v>
      </c>
      <c r="DL45" s="39">
        <f ca="1" t="shared" si="15"/>
        <v>0.43</v>
      </c>
      <c r="DM45" s="39">
        <f ca="1" t="shared" si="16"/>
        <v>0.25</v>
      </c>
      <c r="DN45" s="39">
        <f ca="1" t="shared" si="17"/>
        <v>0.75</v>
      </c>
      <c r="DO45" s="39">
        <f ca="1" t="shared" si="18"/>
        <v>0.25</v>
      </c>
      <c r="DP45" s="39">
        <f ca="1" t="shared" si="19"/>
        <v>0.25</v>
      </c>
      <c r="DQ45" s="39">
        <f ca="1" t="shared" si="20"/>
        <v>0.43</v>
      </c>
      <c r="DR45" s="39">
        <f ca="1" t="shared" si="21"/>
        <v>0.5</v>
      </c>
      <c r="DS45" s="39">
        <f ca="1" t="shared" si="22"/>
        <v>0.4</v>
      </c>
      <c r="DT45" s="39">
        <f ca="1" t="shared" si="23"/>
        <v>0.280785282844377</v>
      </c>
      <c r="DU45" s="39">
        <f ca="1" t="shared" si="24"/>
        <v>0.25</v>
      </c>
      <c r="DV45" s="39">
        <f ca="1" t="shared" si="25"/>
        <v>0.43</v>
      </c>
      <c r="DW45" s="39">
        <f ca="1" t="shared" si="26"/>
        <v>0.3</v>
      </c>
      <c r="DX45" s="39">
        <f ca="1" t="shared" si="27"/>
        <v>0.43</v>
      </c>
      <c r="DY45" s="39">
        <f ca="1" t="shared" si="28"/>
        <v>0.4</v>
      </c>
      <c r="DZ45" s="39">
        <f ca="1" t="shared" si="29"/>
        <v>0.4</v>
      </c>
      <c r="EA45" s="39">
        <f ca="1" t="shared" si="30"/>
        <v>0.25</v>
      </c>
      <c r="EB45" s="39">
        <f ca="1" t="shared" si="31"/>
        <v>0.25</v>
      </c>
      <c r="EC45" s="39">
        <f ca="1" t="shared" si="32"/>
        <v>0.25</v>
      </c>
      <c r="ED45" s="39">
        <f ca="1" t="shared" si="33"/>
        <v>0.4</v>
      </c>
      <c r="EE45" s="39">
        <f ca="1" t="shared" si="34"/>
        <v>0.25</v>
      </c>
      <c r="EF45" s="39">
        <f ca="1" t="shared" si="35"/>
        <v>0.43</v>
      </c>
      <c r="EG45" s="39">
        <f ca="1" t="shared" si="36"/>
        <v>0.43</v>
      </c>
      <c r="EH45" s="39">
        <f ca="1" t="shared" si="37"/>
        <v>0.280785282844377</v>
      </c>
      <c r="EI45" s="39">
        <f ca="1" t="shared" si="38"/>
        <v>0.280785282844377</v>
      </c>
      <c r="EJ45" s="39">
        <f ca="1" t="shared" si="39"/>
        <v>0.280785282844377</v>
      </c>
      <c r="EK45" s="39">
        <f ca="1" t="shared" si="40"/>
        <v>0.280785282844377</v>
      </c>
      <c r="EL45" s="39">
        <f ca="1" t="shared" si="41"/>
        <v>0.280785282844377</v>
      </c>
      <c r="EM45" s="39">
        <f ca="1" t="shared" si="42"/>
        <v>0.280785282844377</v>
      </c>
      <c r="EN45" s="39">
        <f ca="1" t="shared" si="43"/>
        <v>0.280785282844377</v>
      </c>
      <c r="EO45" s="39">
        <f ca="1" t="shared" si="44"/>
        <v>0.280785282844377</v>
      </c>
      <c r="EP45" s="39">
        <f ca="1" t="shared" si="45"/>
        <v>0.280785282844377</v>
      </c>
      <c r="EQ45" s="39">
        <f ca="1" t="shared" si="46"/>
        <v>0.280785282844377</v>
      </c>
      <c r="ER45" s="39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4" t="str">
        <f t="shared" si="48"/>
        <v>TR</v>
      </c>
      <c r="D46" s="55" t="s">
        <v>200</v>
      </c>
      <c r="E46" s="66" t="s">
        <v>216</v>
      </c>
      <c r="F46" s="56" t="str">
        <f t="shared" si="74"/>
        <v>Liquified Petroleum Gases</v>
      </c>
      <c r="G46" s="54" t="s">
        <v>217</v>
      </c>
      <c r="H46" s="57">
        <f ca="1">OFFSET(TIAM15_assumptions!$G46,0,MATCH(VLOOKUP(Assumptions!H$2,TIAM15_assumptions!$Y$3:$Z$87,2,FALSE),TIAM15_assumptions!$H$2:$V$2,0))</f>
        <v>0</v>
      </c>
      <c r="I46" s="57">
        <f ca="1">OFFSET(TIAM15_assumptions!$G46,0,MATCH(VLOOKUP(Assumptions!I$2,TIAM15_assumptions!$Y$3:$Z$87,2,FALSE),TIAM15_assumptions!$H$2:$V$2,0))</f>
        <v>0</v>
      </c>
      <c r="J46" s="57">
        <f ca="1">OFFSET(TIAM15_assumptions!$G46,0,MATCH(VLOOKUP(Assumptions!J$2,TIAM15_assumptions!$Y$3:$Z$87,2,FALSE),TIAM15_assumptions!$H$2:$V$2,0))</f>
        <v>0</v>
      </c>
      <c r="K46" s="57">
        <f ca="1">OFFSET(TIAM15_assumptions!$G46,0,MATCH(VLOOKUP(Assumptions!K$2,TIAM15_assumptions!$Y$3:$Z$87,2,FALSE),TIAM15_assumptions!$H$2:$V$2,0))</f>
        <v>0</v>
      </c>
      <c r="L46" s="57">
        <f ca="1">OFFSET(TIAM15_assumptions!$G46,0,MATCH(VLOOKUP(Assumptions!L$2,TIAM15_assumptions!$Y$3:$Z$87,2,FALSE),TIAM15_assumptions!$H$2:$V$2,0))</f>
        <v>0</v>
      </c>
      <c r="M46" s="57">
        <f ca="1">OFFSET(TIAM15_assumptions!$G46,0,MATCH(VLOOKUP(Assumptions!M$2,TIAM15_assumptions!$Y$3:$Z$87,2,FALSE),TIAM15_assumptions!$H$2:$V$2,0))</f>
        <v>0</v>
      </c>
      <c r="N46" s="57">
        <f ca="1">OFFSET(TIAM15_assumptions!$G46,0,MATCH(VLOOKUP(Assumptions!N$2,TIAM15_assumptions!$Y$3:$Z$87,2,FALSE),TIAM15_assumptions!$H$2:$V$2,0))</f>
        <v>0</v>
      </c>
      <c r="O46" s="57">
        <f ca="1">OFFSET(TIAM15_assumptions!$G46,0,MATCH(VLOOKUP(Assumptions!O$2,TIAM15_assumptions!$Y$3:$Z$87,2,FALSE),TIAM15_assumptions!$H$2:$V$2,0))</f>
        <v>0</v>
      </c>
      <c r="P46" s="57">
        <f ca="1">OFFSET(TIAM15_assumptions!$G46,0,MATCH(VLOOKUP(Assumptions!P$2,TIAM15_assumptions!$Y$3:$Z$87,2,FALSE),TIAM15_assumptions!$H$2:$V$2,0))</f>
        <v>0</v>
      </c>
      <c r="Q46" s="57">
        <f ca="1">OFFSET(TIAM15_assumptions!$G46,0,MATCH(VLOOKUP(Assumptions!Q$2,TIAM15_assumptions!$Y$3:$Z$87,2,FALSE),TIAM15_assumptions!$H$2:$V$2,0))</f>
        <v>0</v>
      </c>
      <c r="R46" s="57">
        <f ca="1">OFFSET(TIAM15_assumptions!$G46,0,MATCH(VLOOKUP(Assumptions!R$2,TIAM15_assumptions!$Y$3:$Z$87,2,FALSE),TIAM15_assumptions!$H$2:$V$2,0))</f>
        <v>0</v>
      </c>
      <c r="S46" s="57">
        <f ca="1">OFFSET(TIAM15_assumptions!$G46,0,MATCH(VLOOKUP(Assumptions!S$2,TIAM15_assumptions!$Y$3:$Z$87,2,FALSE),TIAM15_assumptions!$H$2:$V$2,0))</f>
        <v>0</v>
      </c>
      <c r="T46" s="57">
        <f ca="1">OFFSET(TIAM15_assumptions!$G46,0,MATCH(VLOOKUP(Assumptions!T$2,TIAM15_assumptions!$Y$3:$Z$87,2,FALSE),TIAM15_assumptions!$H$2:$V$2,0))</f>
        <v>0</v>
      </c>
      <c r="U46" s="57">
        <f ca="1">OFFSET(TIAM15_assumptions!$G46,0,MATCH(VLOOKUP(Assumptions!U$2,TIAM15_assumptions!$Y$3:$Z$87,2,FALSE),TIAM15_assumptions!$H$2:$V$2,0))</f>
        <v>0</v>
      </c>
      <c r="V46" s="57">
        <f ca="1">OFFSET(TIAM15_assumptions!$G46,0,MATCH(VLOOKUP(Assumptions!V$2,TIAM15_assumptions!$Y$3:$Z$87,2,FALSE),TIAM15_assumptions!$H$2:$V$2,0))</f>
        <v>0</v>
      </c>
      <c r="W46" s="57">
        <f ca="1">OFFSET(TIAM15_assumptions!$G46,0,MATCH(VLOOKUP(Assumptions!W$2,TIAM15_assumptions!$Y$3:$Z$87,2,FALSE),TIAM15_assumptions!$H$2:$V$2,0))</f>
        <v>0</v>
      </c>
      <c r="X46" s="57">
        <f ca="1">OFFSET(TIAM15_assumptions!$G46,0,MATCH(VLOOKUP(Assumptions!X$2,TIAM15_assumptions!$Y$3:$Z$87,2,FALSE),TIAM15_assumptions!$H$2:$V$2,0))</f>
        <v>0</v>
      </c>
      <c r="Y46" s="57">
        <f ca="1">OFFSET(TIAM15_assumptions!$G46,0,MATCH(VLOOKUP(Assumptions!Y$2,TIAM15_assumptions!$Y$3:$Z$87,2,FALSE),TIAM15_assumptions!$H$2:$V$2,0))</f>
        <v>0</v>
      </c>
      <c r="Z46" s="57">
        <f ca="1">OFFSET(TIAM15_assumptions!$G46,0,MATCH(VLOOKUP(Assumptions!Z$2,TIAM15_assumptions!$Y$3:$Z$87,2,FALSE),TIAM15_assumptions!$H$2:$V$2,0))</f>
        <v>0</v>
      </c>
      <c r="AA46" s="57">
        <f ca="1">OFFSET(TIAM15_assumptions!$G46,0,MATCH(VLOOKUP(Assumptions!AA$2,TIAM15_assumptions!$Y$3:$Z$87,2,FALSE),TIAM15_assumptions!$H$2:$V$2,0))</f>
        <v>0</v>
      </c>
      <c r="AB46" s="57">
        <f ca="1">OFFSET(TIAM15_assumptions!$G46,0,MATCH(VLOOKUP(Assumptions!AB$2,TIAM15_assumptions!$Y$3:$Z$87,2,FALSE),TIAM15_assumptions!$H$2:$V$2,0))</f>
        <v>0</v>
      </c>
      <c r="AC46" s="57">
        <f ca="1">OFFSET(TIAM15_assumptions!$G46,0,MATCH(VLOOKUP(Assumptions!AC$2,TIAM15_assumptions!$Y$3:$Z$87,2,FALSE),TIAM15_assumptions!$H$2:$V$2,0))</f>
        <v>0</v>
      </c>
      <c r="AD46" s="57">
        <f ca="1">OFFSET(TIAM15_assumptions!$G46,0,MATCH(VLOOKUP(Assumptions!AD$2,TIAM15_assumptions!$Y$3:$Z$87,2,FALSE),TIAM15_assumptions!$H$2:$V$2,0))</f>
        <v>0</v>
      </c>
      <c r="AE46" s="57">
        <f ca="1">OFFSET(TIAM15_assumptions!$G46,0,MATCH(VLOOKUP(Assumptions!AE$2,TIAM15_assumptions!$Y$3:$Z$87,2,FALSE),TIAM15_assumptions!$H$2:$V$2,0))</f>
        <v>0</v>
      </c>
      <c r="AF46" s="57">
        <f ca="1">OFFSET(TIAM15_assumptions!$G46,0,MATCH(VLOOKUP(Assumptions!AF$2,TIAM15_assumptions!$Y$3:$Z$87,2,FALSE),TIAM15_assumptions!$H$2:$V$2,0))</f>
        <v>0</v>
      </c>
      <c r="AG46" s="57">
        <f ca="1">OFFSET(TIAM15_assumptions!$G46,0,MATCH(VLOOKUP(Assumptions!AG$2,TIAM15_assumptions!$Y$3:$Z$87,2,FALSE),TIAM15_assumptions!$H$2:$V$2,0))</f>
        <v>0</v>
      </c>
      <c r="AH46" s="57">
        <f ca="1">OFFSET(TIAM15_assumptions!$G46,0,MATCH(VLOOKUP(Assumptions!AH$2,TIAM15_assumptions!$Y$3:$Z$87,2,FALSE),TIAM15_assumptions!$H$2:$V$2,0))</f>
        <v>0</v>
      </c>
      <c r="AI46" s="57">
        <f ca="1">OFFSET(TIAM15_assumptions!$G46,0,MATCH(VLOOKUP(Assumptions!AI$2,TIAM15_assumptions!$Y$3:$Z$87,2,FALSE),TIAM15_assumptions!$H$2:$V$2,0))</f>
        <v>0</v>
      </c>
      <c r="AJ46" s="57">
        <f ca="1">OFFSET(TIAM15_assumptions!$G46,0,MATCH(VLOOKUP(Assumptions!AJ$2,TIAM15_assumptions!$Y$3:$Z$87,2,FALSE),TIAM15_assumptions!$H$2:$V$2,0))</f>
        <v>0</v>
      </c>
      <c r="AK46" s="57">
        <f ca="1">OFFSET(TIAM15_assumptions!$G46,0,MATCH(VLOOKUP(Assumptions!AK$2,TIAM15_assumptions!$Y$3:$Z$87,2,FALSE),TIAM15_assumptions!$H$2:$V$2,0))</f>
        <v>0</v>
      </c>
      <c r="AL46" s="57">
        <f ca="1">OFFSET(TIAM15_assumptions!$G46,0,MATCH(VLOOKUP(Assumptions!AL$2,TIAM15_assumptions!$Y$3:$Z$87,2,FALSE),TIAM15_assumptions!$H$2:$V$2,0))</f>
        <v>0</v>
      </c>
      <c r="AM46" s="57">
        <f ca="1">OFFSET(TIAM15_assumptions!$G46,0,MATCH(VLOOKUP(Assumptions!AM$2,TIAM15_assumptions!$Y$3:$Z$87,2,FALSE),TIAM15_assumptions!$H$2:$V$2,0))</f>
        <v>0</v>
      </c>
      <c r="AN46" s="57">
        <f ca="1">OFFSET(TIAM15_assumptions!$G46,0,MATCH(VLOOKUP(Assumptions!AN$2,TIAM15_assumptions!$Y$3:$Z$87,2,FALSE),TIAM15_assumptions!$H$2:$V$2,0))</f>
        <v>0</v>
      </c>
      <c r="AO46" s="57">
        <f ca="1">OFFSET(TIAM15_assumptions!$G46,0,MATCH(VLOOKUP(Assumptions!AO$2,TIAM15_assumptions!$Y$3:$Z$87,2,FALSE),TIAM15_assumptions!$H$2:$V$2,0))</f>
        <v>0</v>
      </c>
      <c r="AP46" s="57">
        <f ca="1">OFFSET(TIAM15_assumptions!$G46,0,MATCH(VLOOKUP(Assumptions!AP$2,TIAM15_assumptions!$Y$3:$Z$87,2,FALSE),TIAM15_assumptions!$H$2:$V$2,0))</f>
        <v>0</v>
      </c>
      <c r="AQ46" s="57">
        <f ca="1">OFFSET(TIAM15_assumptions!$G46,0,MATCH(VLOOKUP(Assumptions!AQ$2,TIAM15_assumptions!$Y$3:$Z$87,2,FALSE),TIAM15_assumptions!$H$2:$V$2,0))</f>
        <v>0</v>
      </c>
      <c r="AR46" s="57">
        <f ca="1">OFFSET(TIAM15_assumptions!$G46,0,MATCH(VLOOKUP(Assumptions!AR$2,TIAM15_assumptions!$Y$3:$Z$87,2,FALSE),TIAM15_assumptions!$H$2:$V$2,0))</f>
        <v>0</v>
      </c>
      <c r="AS46" s="57">
        <f ca="1">OFFSET(TIAM15_assumptions!$G46,0,MATCH(VLOOKUP(Assumptions!AS$2,TIAM15_assumptions!$Y$3:$Z$87,2,FALSE),TIAM15_assumptions!$H$2:$V$2,0))</f>
        <v>0</v>
      </c>
      <c r="AT46" s="57">
        <f ca="1">OFFSET(TIAM15_assumptions!$G46,0,MATCH(VLOOKUP(Assumptions!AT$2,TIAM15_assumptions!$Y$3:$Z$87,2,FALSE),TIAM15_assumptions!$H$2:$V$2,0))</f>
        <v>0</v>
      </c>
      <c r="AU46" s="57">
        <f ca="1">OFFSET(TIAM15_assumptions!$G46,0,MATCH(VLOOKUP(Assumptions!AU$2,TIAM15_assumptions!$Y$3:$Z$87,2,FALSE),TIAM15_assumptions!$H$2:$V$2,0))</f>
        <v>0</v>
      </c>
      <c r="AV46" s="57">
        <f ca="1">OFFSET(TIAM15_assumptions!$G46,0,MATCH(VLOOKUP(Assumptions!AV$2,TIAM15_assumptions!$Y$3:$Z$87,2,FALSE),TIAM15_assumptions!$H$2:$V$2,0))</f>
        <v>0</v>
      </c>
      <c r="AW46" s="57">
        <f ca="1">OFFSET(TIAM15_assumptions!$G46,0,MATCH(VLOOKUP(Assumptions!AW$2,TIAM15_assumptions!$Y$3:$Z$87,2,FALSE),TIAM15_assumptions!$H$2:$V$2,0))</f>
        <v>0</v>
      </c>
      <c r="AX46" s="57">
        <f ca="1">OFFSET(TIAM15_assumptions!$G46,0,MATCH(VLOOKUP(Assumptions!AX$2,TIAM15_assumptions!$Y$3:$Z$87,2,FALSE),TIAM15_assumptions!$H$2:$V$2,0))</f>
        <v>0</v>
      </c>
      <c r="AY46" s="57">
        <f ca="1">OFFSET(TIAM15_assumptions!$G46,0,MATCH(VLOOKUP(Assumptions!AY$2,TIAM15_assumptions!$Y$3:$Z$87,2,FALSE),TIAM15_assumptions!$H$2:$V$2,0))</f>
        <v>0</v>
      </c>
      <c r="AZ46" s="57">
        <f ca="1">OFFSET(TIAM15_assumptions!$G46,0,MATCH(VLOOKUP(Assumptions!AZ$2,TIAM15_assumptions!$Y$3:$Z$87,2,FALSE),TIAM15_assumptions!$H$2:$V$2,0))</f>
        <v>0</v>
      </c>
      <c r="BA46" s="57">
        <f ca="1">OFFSET(TIAM15_assumptions!$G46,0,MATCH(VLOOKUP(Assumptions!BA$2,TIAM15_assumptions!$Y$3:$Z$87,2,FALSE),TIAM15_assumptions!$H$2:$V$2,0))</f>
        <v>0</v>
      </c>
      <c r="BD46" s="40">
        <f ca="1">IFERROR(SUMIFS('TRA balance'!E$5:E$40,'TRA balance'!$C$5:$C$40,Assumptions!$C46,'TRA balance'!$D$5:$D$40,Assumptions!$B46)*CY46*H46,"")</f>
        <v>0</v>
      </c>
      <c r="BE46" s="40">
        <f ca="1">IFERROR(SUMIFS('TRA balance'!F$5:F$40,'TRA balance'!$C$5:$C$40,Assumptions!$C46,'TRA balance'!$D$5:$D$40,Assumptions!$B46)*CZ46*I46,"")</f>
        <v>0</v>
      </c>
      <c r="BF46" s="40">
        <f ca="1">IFERROR(SUMIFS('TRA balance'!G$5:G$40,'TRA balance'!$C$5:$C$40,Assumptions!$C46,'TRA balance'!$D$5:$D$40,Assumptions!$B46)*DA46*J46,"")</f>
        <v>0</v>
      </c>
      <c r="BG46" s="40">
        <f ca="1">IFERROR(SUMIFS('TRA balance'!H$5:H$40,'TRA balance'!$C$5:$C$40,Assumptions!$C46,'TRA balance'!$D$5:$D$40,Assumptions!$B46)*DB46*K46,"")</f>
        <v>0</v>
      </c>
      <c r="BH46" s="40">
        <f ca="1">IFERROR(SUMIFS('TRA balance'!I$5:I$40,'TRA balance'!$C$5:$C$40,Assumptions!$C46,'TRA balance'!$D$5:$D$40,Assumptions!$B46)*DC46*L46,"")</f>
        <v>0</v>
      </c>
      <c r="BI46" s="40">
        <f ca="1">IFERROR(SUMIFS('TRA balance'!J$5:J$40,'TRA balance'!$C$5:$C$40,Assumptions!$C46,'TRA balance'!$D$5:$D$40,Assumptions!$B46)*DD46*M46,"")</f>
        <v>0</v>
      </c>
      <c r="BJ46" s="40">
        <f ca="1">IFERROR(SUMIFS('TRA balance'!K$5:K$40,'TRA balance'!$C$5:$C$40,Assumptions!$C46,'TRA balance'!$D$5:$D$40,Assumptions!$B46)*DE46*N46,"")</f>
        <v>0</v>
      </c>
      <c r="BK46" s="40">
        <f ca="1">IFERROR(SUMIFS('TRA balance'!L$5:L$40,'TRA balance'!$C$5:$C$40,Assumptions!$C46,'TRA balance'!$D$5:$D$40,Assumptions!$B46)*DF46*O46,"")</f>
        <v>0</v>
      </c>
      <c r="BL46" s="40">
        <f ca="1">IFERROR(SUMIFS('TRA balance'!M$5:M$40,'TRA balance'!$C$5:$C$40,Assumptions!$C46,'TRA balance'!$D$5:$D$40,Assumptions!$B46)*DG46*P46,"")</f>
        <v>0</v>
      </c>
      <c r="BM46" s="40">
        <f ca="1">IFERROR(SUMIFS('TRA balance'!N$5:N$40,'TRA balance'!$C$5:$C$40,Assumptions!$C46,'TRA balance'!$D$5:$D$40,Assumptions!$B46)*DH46*Q46,"")</f>
        <v>0</v>
      </c>
      <c r="BN46" s="40">
        <f ca="1">IFERROR(SUMIFS('TRA balance'!O$5:O$40,'TRA balance'!$C$5:$C$40,Assumptions!$C46,'TRA balance'!$D$5:$D$40,Assumptions!$B46)*DI46*R46,"")</f>
        <v>0</v>
      </c>
      <c r="BO46" s="40">
        <f ca="1">IFERROR(SUMIFS('TRA balance'!P$5:P$40,'TRA balance'!$C$5:$C$40,Assumptions!$C46,'TRA balance'!$D$5:$D$40,Assumptions!$B46)*DJ46*S46,"")</f>
        <v>0</v>
      </c>
      <c r="BP46" s="40">
        <f ca="1">IFERROR(SUMIFS('TRA balance'!Q$5:Q$40,'TRA balance'!$C$5:$C$40,Assumptions!$C46,'TRA balance'!$D$5:$D$40,Assumptions!$B46)*DK46*T46,"")</f>
        <v>0</v>
      </c>
      <c r="BQ46" s="40">
        <f ca="1">IFERROR(SUMIFS('TRA balance'!R$5:R$40,'TRA balance'!$C$5:$C$40,Assumptions!$C46,'TRA balance'!$D$5:$D$40,Assumptions!$B46)*DL46*U46,"")</f>
        <v>0</v>
      </c>
      <c r="BR46" s="40">
        <f ca="1">IFERROR(SUMIFS('TRA balance'!S$5:S$40,'TRA balance'!$C$5:$C$40,Assumptions!$C46,'TRA balance'!$D$5:$D$40,Assumptions!$B46)*DM46*V46,"")</f>
        <v>0</v>
      </c>
      <c r="BS46" s="40">
        <f ca="1">IFERROR(SUMIFS('TRA balance'!T$5:T$40,'TRA balance'!$C$5:$C$40,Assumptions!$C46,'TRA balance'!$D$5:$D$40,Assumptions!$B46)*DN46*W46,"")</f>
        <v>0</v>
      </c>
      <c r="BT46" s="40">
        <f ca="1">IFERROR(SUMIFS('TRA balance'!U$5:U$40,'TRA balance'!$C$5:$C$40,Assumptions!$C46,'TRA balance'!$D$5:$D$40,Assumptions!$B46)*DO46*X46,"")</f>
        <v>0</v>
      </c>
      <c r="BU46" s="40">
        <f ca="1">IFERROR(SUMIFS('TRA balance'!V$5:V$40,'TRA balance'!$C$5:$C$40,Assumptions!$C46,'TRA balance'!$D$5:$D$40,Assumptions!$B46)*DP46*Y46,"")</f>
        <v>0</v>
      </c>
      <c r="BV46" s="40">
        <f ca="1">IFERROR(SUMIFS('TRA balance'!W$5:W$40,'TRA balance'!$C$5:$C$40,Assumptions!$C46,'TRA balance'!$D$5:$D$40,Assumptions!$B46)*DQ46*Z46,"")</f>
        <v>0</v>
      </c>
      <c r="BW46" s="40">
        <f ca="1">IFERROR(SUMIFS('TRA balance'!X$5:X$40,'TRA balance'!$C$5:$C$40,Assumptions!$C46,'TRA balance'!$D$5:$D$40,Assumptions!$B46)*DR46*AA46,"")</f>
        <v>0</v>
      </c>
      <c r="BX46" s="40">
        <f ca="1">IFERROR(SUMIFS('TRA balance'!Y$5:Y$40,'TRA balance'!$C$5:$C$40,Assumptions!$C46,'TRA balance'!$D$5:$D$40,Assumptions!$B46)*DS46*AB46,"")</f>
        <v>0</v>
      </c>
      <c r="BY46" s="40">
        <f ca="1">IFERROR(SUMIFS('TRA balance'!Z$5:Z$40,'TRA balance'!$C$5:$C$40,Assumptions!$C46,'TRA balance'!$D$5:$D$40,Assumptions!$B46)*DT46*AC46,"")</f>
        <v>0</v>
      </c>
      <c r="BZ46" s="40">
        <f ca="1">IFERROR(SUMIFS('TRA balance'!AA$5:AA$40,'TRA balance'!$C$5:$C$40,Assumptions!$C46,'TRA balance'!$D$5:$D$40,Assumptions!$B46)*DU46*AD46,"")</f>
        <v>0</v>
      </c>
      <c r="CA46" s="40">
        <f ca="1">IFERROR(SUMIFS('TRA balance'!AB$5:AB$40,'TRA balance'!$C$5:$C$40,Assumptions!$C46,'TRA balance'!$D$5:$D$40,Assumptions!$B46)*DV46*AE46,"")</f>
        <v>0</v>
      </c>
      <c r="CB46" s="40">
        <f ca="1">IFERROR(SUMIFS('TRA balance'!AC$5:AC$40,'TRA balance'!$C$5:$C$40,Assumptions!$C46,'TRA balance'!$D$5:$D$40,Assumptions!$B46)*DW46*AF46,"")</f>
        <v>0</v>
      </c>
      <c r="CC46" s="40">
        <f ca="1">IFERROR(SUMIFS('TRA balance'!AD$5:AD$40,'TRA balance'!$C$5:$C$40,Assumptions!$C46,'TRA balance'!$D$5:$D$40,Assumptions!$B46)*DX46*AG46,"")</f>
        <v>0</v>
      </c>
      <c r="CD46" s="40">
        <f ca="1">IFERROR(SUMIFS('TRA balance'!AE$5:AE$40,'TRA balance'!$C$5:$C$40,Assumptions!$C46,'TRA balance'!$D$5:$D$40,Assumptions!$B46)*DY46*AH46,"")</f>
        <v>0</v>
      </c>
      <c r="CE46" s="40">
        <f ca="1">IFERROR(SUMIFS('TRA balance'!AF$5:AF$40,'TRA balance'!$C$5:$C$40,Assumptions!$C46,'TRA balance'!$D$5:$D$40,Assumptions!$B46)*DZ46*AI46,"")</f>
        <v>0</v>
      </c>
      <c r="CF46" s="40">
        <f ca="1">IFERROR(SUMIFS('TRA balance'!AG$5:AG$40,'TRA balance'!$C$5:$C$40,Assumptions!$C46,'TRA balance'!$D$5:$D$40,Assumptions!$B46)*EA46*AJ46,"")</f>
        <v>0</v>
      </c>
      <c r="CG46" s="40">
        <f ca="1">IFERROR(SUMIFS('TRA balance'!AH$5:AH$40,'TRA balance'!$C$5:$C$40,Assumptions!$C46,'TRA balance'!$D$5:$D$40,Assumptions!$B46)*EB46*AK46,"")</f>
        <v>0</v>
      </c>
      <c r="CH46" s="40">
        <f ca="1">IFERROR(SUMIFS('TRA balance'!AI$5:AI$40,'TRA balance'!$C$5:$C$40,Assumptions!$C46,'TRA balance'!$D$5:$D$40,Assumptions!$B46)*EC46*AL46,"")</f>
        <v>0</v>
      </c>
      <c r="CI46" s="40">
        <f ca="1">IFERROR(SUMIFS('TRA balance'!AJ$5:AJ$40,'TRA balance'!$C$5:$C$40,Assumptions!$C46,'TRA balance'!$D$5:$D$40,Assumptions!$B46)*ED46*AM46,"")</f>
        <v>0</v>
      </c>
      <c r="CJ46" s="40">
        <f ca="1">IFERROR(SUMIFS('TRA balance'!AK$5:AK$40,'TRA balance'!$C$5:$C$40,Assumptions!$C46,'TRA balance'!$D$5:$D$40,Assumptions!$B46)*EE46*AN46,"")</f>
        <v>0</v>
      </c>
      <c r="CK46" s="40">
        <f ca="1">IFERROR(SUMIFS('TRA balance'!AL$5:AL$40,'TRA balance'!$C$5:$C$40,Assumptions!$C46,'TRA balance'!$D$5:$D$40,Assumptions!$B46)*EF46*AO46,"")</f>
        <v>0</v>
      </c>
      <c r="CL46" s="40">
        <f ca="1">IFERROR(SUMIFS('TRA balance'!AM$5:AM$40,'TRA balance'!$C$5:$C$40,Assumptions!$C46,'TRA balance'!$D$5:$D$40,Assumptions!$B46)*EG46*AP46,"")</f>
        <v>0</v>
      </c>
      <c r="CM46" s="40">
        <f ca="1">IFERROR(SUMIFS('TRA balance'!AN$5:AN$40,'TRA balance'!$C$5:$C$40,Assumptions!$C46,'TRA balance'!$D$5:$D$40,Assumptions!$B46)*EH46*AQ46,"")</f>
        <v>0</v>
      </c>
      <c r="CN46" s="40">
        <f ca="1">IFERROR(SUMIFS('TRA balance'!AO$5:AO$40,'TRA balance'!$C$5:$C$40,Assumptions!$C46,'TRA balance'!$D$5:$D$40,Assumptions!$B46)*EI46*AR46,"")</f>
        <v>0</v>
      </c>
      <c r="CO46" s="40">
        <f ca="1">IFERROR(SUMIFS('TRA balance'!AP$5:AP$40,'TRA balance'!$C$5:$C$40,Assumptions!$C46,'TRA balance'!$D$5:$D$40,Assumptions!$B46)*EJ46*AS46,"")</f>
        <v>0</v>
      </c>
      <c r="CP46" s="40">
        <f ca="1">IFERROR(SUMIFS('TRA balance'!AQ$5:AQ$40,'TRA balance'!$C$5:$C$40,Assumptions!$C46,'TRA balance'!$D$5:$D$40,Assumptions!$B46)*EK46*AT46,"")</f>
        <v>0</v>
      </c>
      <c r="CQ46" s="40">
        <f ca="1">IFERROR(SUMIFS('TRA balance'!AR$5:AR$40,'TRA balance'!$C$5:$C$40,Assumptions!$C46,'TRA balance'!$D$5:$D$40,Assumptions!$B46)*EL46*AU46,"")</f>
        <v>0</v>
      </c>
      <c r="CR46" s="40">
        <f ca="1">IFERROR(SUMIFS('TRA balance'!AS$5:AS$40,'TRA balance'!$C$5:$C$40,Assumptions!$C46,'TRA balance'!$D$5:$D$40,Assumptions!$B46)*EM46*AV46,"")</f>
        <v>0</v>
      </c>
      <c r="CS46" s="40">
        <f ca="1">IFERROR(SUMIFS('TRA balance'!AT$5:AT$40,'TRA balance'!$C$5:$C$40,Assumptions!$C46,'TRA balance'!$D$5:$D$40,Assumptions!$B46)*EN46*AW46,"")</f>
        <v>0</v>
      </c>
      <c r="CT46" s="40">
        <f ca="1">IFERROR(SUMIFS('TRA balance'!AU$5:AU$40,'TRA balance'!$C$5:$C$40,Assumptions!$C46,'TRA balance'!$D$5:$D$40,Assumptions!$B46)*EO46*AX46,"")</f>
        <v>0</v>
      </c>
      <c r="CU46" s="40">
        <f ca="1">IFERROR(SUMIFS('TRA balance'!AV$5:AV$40,'TRA balance'!$C$5:$C$40,Assumptions!$C46,'TRA balance'!$D$5:$D$40,Assumptions!$B46)*EP46*AY46,"")</f>
        <v>0</v>
      </c>
      <c r="CV46" s="40">
        <f ca="1">IFERROR(SUMIFS('TRA balance'!AW$5:AW$40,'TRA balance'!$C$5:$C$40,Assumptions!$C46,'TRA balance'!$D$5:$D$40,Assumptions!$B46)*EQ46*AZ46,"")</f>
        <v>0</v>
      </c>
      <c r="CW46" s="40">
        <f ca="1">IFERROR(SUMIFS('TRA balance'!AX$5:AX$40,'TRA balance'!$C$5:$C$40,Assumptions!$C46,'TRA balance'!$D$5:$D$40,Assumptions!$B46)*ER46*BA46,"")</f>
        <v>0</v>
      </c>
      <c r="CY46" s="39">
        <f ca="1" t="shared" si="66"/>
        <v>0.4</v>
      </c>
      <c r="CZ46" s="39">
        <f ca="1" t="shared" si="3"/>
        <v>0.4</v>
      </c>
      <c r="DA46" s="39">
        <f ca="1" t="shared" si="4"/>
        <v>0.75</v>
      </c>
      <c r="DB46" s="39">
        <f ca="1" t="shared" si="5"/>
        <v>0.25</v>
      </c>
      <c r="DC46" s="39">
        <f ca="1" t="shared" si="6"/>
        <v>0.43</v>
      </c>
      <c r="DD46" s="39">
        <f ca="1" t="shared" si="7"/>
        <v>0.25</v>
      </c>
      <c r="DE46" s="39">
        <f ca="1" t="shared" si="8"/>
        <v>0.5</v>
      </c>
      <c r="DF46" s="39">
        <f ca="1" t="shared" si="9"/>
        <v>0.6</v>
      </c>
      <c r="DG46" s="39">
        <f ca="1" t="shared" si="10"/>
        <v>0.43</v>
      </c>
      <c r="DH46" s="39">
        <f ca="1" t="shared" si="11"/>
        <v>0.43</v>
      </c>
      <c r="DI46" s="39">
        <f ca="1" t="shared" si="12"/>
        <v>0.25</v>
      </c>
      <c r="DJ46" s="39">
        <f ca="1" t="shared" si="13"/>
        <v>0.25</v>
      </c>
      <c r="DK46" s="39">
        <f ca="1" t="shared" si="14"/>
        <v>0.25</v>
      </c>
      <c r="DL46" s="39">
        <f ca="1" t="shared" si="15"/>
        <v>0.43</v>
      </c>
      <c r="DM46" s="39">
        <f ca="1" t="shared" si="16"/>
        <v>0.25</v>
      </c>
      <c r="DN46" s="39">
        <f ca="1" t="shared" si="17"/>
        <v>0.75</v>
      </c>
      <c r="DO46" s="39">
        <f ca="1" t="shared" si="18"/>
        <v>0.25</v>
      </c>
      <c r="DP46" s="39">
        <f ca="1" t="shared" si="19"/>
        <v>0.25</v>
      </c>
      <c r="DQ46" s="39">
        <f ca="1" t="shared" si="20"/>
        <v>0.43</v>
      </c>
      <c r="DR46" s="39">
        <f ca="1" t="shared" si="21"/>
        <v>0.5</v>
      </c>
      <c r="DS46" s="39">
        <f ca="1" t="shared" si="22"/>
        <v>0.4</v>
      </c>
      <c r="DT46" s="39">
        <f ca="1" t="shared" si="23"/>
        <v>0.280785282844377</v>
      </c>
      <c r="DU46" s="39">
        <f ca="1" t="shared" si="24"/>
        <v>0.25</v>
      </c>
      <c r="DV46" s="39">
        <f ca="1" t="shared" si="25"/>
        <v>0.43</v>
      </c>
      <c r="DW46" s="39">
        <f ca="1" t="shared" si="26"/>
        <v>0.3</v>
      </c>
      <c r="DX46" s="39">
        <f ca="1" t="shared" si="27"/>
        <v>0.43</v>
      </c>
      <c r="DY46" s="39">
        <f ca="1" t="shared" si="28"/>
        <v>0.4</v>
      </c>
      <c r="DZ46" s="39">
        <f ca="1" t="shared" si="29"/>
        <v>0.4</v>
      </c>
      <c r="EA46" s="39">
        <f ca="1" t="shared" si="30"/>
        <v>0.25</v>
      </c>
      <c r="EB46" s="39">
        <f ca="1" t="shared" si="31"/>
        <v>0.25</v>
      </c>
      <c r="EC46" s="39">
        <f ca="1" t="shared" si="32"/>
        <v>0.25</v>
      </c>
      <c r="ED46" s="39">
        <f ca="1" t="shared" si="33"/>
        <v>0.4</v>
      </c>
      <c r="EE46" s="39">
        <f ca="1" t="shared" si="34"/>
        <v>0.25</v>
      </c>
      <c r="EF46" s="39">
        <f ca="1" t="shared" si="35"/>
        <v>0.43</v>
      </c>
      <c r="EG46" s="39">
        <f ca="1" t="shared" si="36"/>
        <v>0.43</v>
      </c>
      <c r="EH46" s="39">
        <f ca="1" t="shared" si="37"/>
        <v>0.280785282844377</v>
      </c>
      <c r="EI46" s="39">
        <f ca="1" t="shared" si="38"/>
        <v>0.280785282844377</v>
      </c>
      <c r="EJ46" s="39">
        <f ca="1" t="shared" si="39"/>
        <v>0.280785282844377</v>
      </c>
      <c r="EK46" s="39">
        <f ca="1" t="shared" si="40"/>
        <v>0.280785282844377</v>
      </c>
      <c r="EL46" s="39">
        <f ca="1" t="shared" si="41"/>
        <v>0.280785282844377</v>
      </c>
      <c r="EM46" s="39">
        <f ca="1" t="shared" si="42"/>
        <v>0.280785282844377</v>
      </c>
      <c r="EN46" s="39">
        <f ca="1" t="shared" si="43"/>
        <v>0.280785282844377</v>
      </c>
      <c r="EO46" s="39">
        <f ca="1" t="shared" si="44"/>
        <v>0.280785282844377</v>
      </c>
      <c r="EP46" s="39">
        <f ca="1" t="shared" si="45"/>
        <v>0.280785282844377</v>
      </c>
      <c r="EQ46" s="39">
        <f ca="1" t="shared" si="46"/>
        <v>0.280785282844377</v>
      </c>
      <c r="ER46" s="39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4" t="str">
        <f t="shared" si="48"/>
        <v>TR</v>
      </c>
      <c r="D47" s="55" t="s">
        <v>200</v>
      </c>
      <c r="E47" s="66" t="s">
        <v>218</v>
      </c>
      <c r="F47" s="56" t="str">
        <f t="shared" si="74"/>
        <v>Liquified Petroleum Gases</v>
      </c>
      <c r="G47" s="54" t="s">
        <v>219</v>
      </c>
      <c r="H47" s="57">
        <f ca="1">OFFSET(TIAM15_assumptions!$G47,0,MATCH(VLOOKUP(Assumptions!H$2,TIAM15_assumptions!$Y$3:$Z$87,2,FALSE),TIAM15_assumptions!$H$2:$V$2,0))</f>
        <v>0.7</v>
      </c>
      <c r="I47" s="57">
        <f ca="1">OFFSET(TIAM15_assumptions!$G47,0,MATCH(VLOOKUP(Assumptions!I$2,TIAM15_assumptions!$Y$3:$Z$87,2,FALSE),TIAM15_assumptions!$H$2:$V$2,0))</f>
        <v>0.7</v>
      </c>
      <c r="J47" s="57">
        <f ca="1">OFFSET(TIAM15_assumptions!$G47,0,MATCH(VLOOKUP(Assumptions!J$2,TIAM15_assumptions!$Y$3:$Z$87,2,FALSE),TIAM15_assumptions!$H$2:$V$2,0))</f>
        <v>0.2</v>
      </c>
      <c r="K47" s="57">
        <f ca="1">OFFSET(TIAM15_assumptions!$G47,0,MATCH(VLOOKUP(Assumptions!K$2,TIAM15_assumptions!$Y$3:$Z$87,2,FALSE),TIAM15_assumptions!$H$2:$V$2,0))</f>
        <v>1</v>
      </c>
      <c r="L47" s="57">
        <f ca="1">OFFSET(TIAM15_assumptions!$G47,0,MATCH(VLOOKUP(Assumptions!L$2,TIAM15_assumptions!$Y$3:$Z$87,2,FALSE),TIAM15_assumptions!$H$2:$V$2,0))</f>
        <v>1</v>
      </c>
      <c r="M47" s="57">
        <f ca="1">OFFSET(TIAM15_assumptions!$G47,0,MATCH(VLOOKUP(Assumptions!M$2,TIAM15_assumptions!$Y$3:$Z$87,2,FALSE),TIAM15_assumptions!$H$2:$V$2,0))</f>
        <v>1</v>
      </c>
      <c r="N47" s="57">
        <f ca="1">OFFSET(TIAM15_assumptions!$G47,0,MATCH(VLOOKUP(Assumptions!N$2,TIAM15_assumptions!$Y$3:$Z$87,2,FALSE),TIAM15_assumptions!$H$2:$V$2,0))</f>
        <v>0</v>
      </c>
      <c r="O47" s="57">
        <f ca="1">OFFSET(TIAM15_assumptions!$G47,0,MATCH(VLOOKUP(Assumptions!O$2,TIAM15_assumptions!$Y$3:$Z$87,2,FALSE),TIAM15_assumptions!$H$2:$V$2,0))</f>
        <v>0.2</v>
      </c>
      <c r="P47" s="57">
        <f ca="1">OFFSET(TIAM15_assumptions!$G47,0,MATCH(VLOOKUP(Assumptions!P$2,TIAM15_assumptions!$Y$3:$Z$87,2,FALSE),TIAM15_assumptions!$H$2:$V$2,0))</f>
        <v>1</v>
      </c>
      <c r="Q47" s="57">
        <f ca="1">OFFSET(TIAM15_assumptions!$G47,0,MATCH(VLOOKUP(Assumptions!Q$2,TIAM15_assumptions!$Y$3:$Z$87,2,FALSE),TIAM15_assumptions!$H$2:$V$2,0))</f>
        <v>1</v>
      </c>
      <c r="R47" s="57">
        <f ca="1">OFFSET(TIAM15_assumptions!$G47,0,MATCH(VLOOKUP(Assumptions!R$2,TIAM15_assumptions!$Y$3:$Z$87,2,FALSE),TIAM15_assumptions!$H$2:$V$2,0))</f>
        <v>1</v>
      </c>
      <c r="S47" s="57">
        <f ca="1">OFFSET(TIAM15_assumptions!$G47,0,MATCH(VLOOKUP(Assumptions!S$2,TIAM15_assumptions!$Y$3:$Z$87,2,FALSE),TIAM15_assumptions!$H$2:$V$2,0))</f>
        <v>1</v>
      </c>
      <c r="T47" s="57">
        <f ca="1">OFFSET(TIAM15_assumptions!$G47,0,MATCH(VLOOKUP(Assumptions!T$2,TIAM15_assumptions!$Y$3:$Z$87,2,FALSE),TIAM15_assumptions!$H$2:$V$2,0))</f>
        <v>1</v>
      </c>
      <c r="U47" s="57">
        <f ca="1">OFFSET(TIAM15_assumptions!$G47,0,MATCH(VLOOKUP(Assumptions!U$2,TIAM15_assumptions!$Y$3:$Z$87,2,FALSE),TIAM15_assumptions!$H$2:$V$2,0))</f>
        <v>1</v>
      </c>
      <c r="V47" s="57">
        <f ca="1">OFFSET(TIAM15_assumptions!$G47,0,MATCH(VLOOKUP(Assumptions!V$2,TIAM15_assumptions!$Y$3:$Z$87,2,FALSE),TIAM15_assumptions!$H$2:$V$2,0))</f>
        <v>1</v>
      </c>
      <c r="W47" s="57">
        <f ca="1">OFFSET(TIAM15_assumptions!$G47,0,MATCH(VLOOKUP(Assumptions!W$2,TIAM15_assumptions!$Y$3:$Z$87,2,FALSE),TIAM15_assumptions!$H$2:$V$2,0))</f>
        <v>0.2</v>
      </c>
      <c r="X47" s="57">
        <f ca="1">OFFSET(TIAM15_assumptions!$G47,0,MATCH(VLOOKUP(Assumptions!X$2,TIAM15_assumptions!$Y$3:$Z$87,2,FALSE),TIAM15_assumptions!$H$2:$V$2,0))</f>
        <v>1</v>
      </c>
      <c r="Y47" s="57">
        <f ca="1">OFFSET(TIAM15_assumptions!$G47,0,MATCH(VLOOKUP(Assumptions!Y$2,TIAM15_assumptions!$Y$3:$Z$87,2,FALSE),TIAM15_assumptions!$H$2:$V$2,0))</f>
        <v>1</v>
      </c>
      <c r="Z47" s="57">
        <f ca="1">OFFSET(TIAM15_assumptions!$G47,0,MATCH(VLOOKUP(Assumptions!Z$2,TIAM15_assumptions!$Y$3:$Z$87,2,FALSE),TIAM15_assumptions!$H$2:$V$2,0))</f>
        <v>1</v>
      </c>
      <c r="AA47" s="57">
        <f ca="1">OFFSET(TIAM15_assumptions!$G47,0,MATCH(VLOOKUP(Assumptions!AA$2,TIAM15_assumptions!$Y$3:$Z$87,2,FALSE),TIAM15_assumptions!$H$2:$V$2,0))</f>
        <v>0</v>
      </c>
      <c r="AB47" s="57">
        <f ca="1">OFFSET(TIAM15_assumptions!$G47,0,MATCH(VLOOKUP(Assumptions!AB$2,TIAM15_assumptions!$Y$3:$Z$87,2,FALSE),TIAM15_assumptions!$H$2:$V$2,0))</f>
        <v>0.7</v>
      </c>
      <c r="AC47" s="57">
        <f ca="1">OFFSET(TIAM15_assumptions!$G47,0,MATCH(VLOOKUP(Assumptions!AC$2,TIAM15_assumptions!$Y$3:$Z$87,2,FALSE),TIAM15_assumptions!$H$2:$V$2,0))</f>
        <v>0.98</v>
      </c>
      <c r="AD47" s="57">
        <f ca="1">OFFSET(TIAM15_assumptions!$G47,0,MATCH(VLOOKUP(Assumptions!AD$2,TIAM15_assumptions!$Y$3:$Z$87,2,FALSE),TIAM15_assumptions!$H$2:$V$2,0))</f>
        <v>1</v>
      </c>
      <c r="AE47" s="57">
        <f ca="1">OFFSET(TIAM15_assumptions!$G47,0,MATCH(VLOOKUP(Assumptions!AE$2,TIAM15_assumptions!$Y$3:$Z$87,2,FALSE),TIAM15_assumptions!$H$2:$V$2,0))</f>
        <v>1</v>
      </c>
      <c r="AF47" s="57">
        <f ca="1">OFFSET(TIAM15_assumptions!$G47,0,MATCH(VLOOKUP(Assumptions!AF$2,TIAM15_assumptions!$Y$3:$Z$87,2,FALSE),TIAM15_assumptions!$H$2:$V$2,0))</f>
        <v>0.3</v>
      </c>
      <c r="AG47" s="57">
        <f ca="1">OFFSET(TIAM15_assumptions!$G47,0,MATCH(VLOOKUP(Assumptions!AG$2,TIAM15_assumptions!$Y$3:$Z$87,2,FALSE),TIAM15_assumptions!$H$2:$V$2,0))</f>
        <v>1</v>
      </c>
      <c r="AH47" s="57">
        <f ca="1">OFFSET(TIAM15_assumptions!$G47,0,MATCH(VLOOKUP(Assumptions!AH$2,TIAM15_assumptions!$Y$3:$Z$87,2,FALSE),TIAM15_assumptions!$H$2:$V$2,0))</f>
        <v>0.7</v>
      </c>
      <c r="AI47" s="57">
        <f ca="1">OFFSET(TIAM15_assumptions!$G47,0,MATCH(VLOOKUP(Assumptions!AI$2,TIAM15_assumptions!$Y$3:$Z$87,2,FALSE),TIAM15_assumptions!$H$2:$V$2,0))</f>
        <v>0.7</v>
      </c>
      <c r="AJ47" s="57">
        <f ca="1">OFFSET(TIAM15_assumptions!$G47,0,MATCH(VLOOKUP(Assumptions!AJ$2,TIAM15_assumptions!$Y$3:$Z$87,2,FALSE),TIAM15_assumptions!$H$2:$V$2,0))</f>
        <v>1</v>
      </c>
      <c r="AK47" s="57">
        <f ca="1">OFFSET(TIAM15_assumptions!$G47,0,MATCH(VLOOKUP(Assumptions!AK$2,TIAM15_assumptions!$Y$3:$Z$87,2,FALSE),TIAM15_assumptions!$H$2:$V$2,0))</f>
        <v>1</v>
      </c>
      <c r="AL47" s="57">
        <f ca="1">OFFSET(TIAM15_assumptions!$G47,0,MATCH(VLOOKUP(Assumptions!AL$2,TIAM15_assumptions!$Y$3:$Z$87,2,FALSE),TIAM15_assumptions!$H$2:$V$2,0))</f>
        <v>1</v>
      </c>
      <c r="AM47" s="57">
        <f ca="1">OFFSET(TIAM15_assumptions!$G47,0,MATCH(VLOOKUP(Assumptions!AM$2,TIAM15_assumptions!$Y$3:$Z$87,2,FALSE),TIAM15_assumptions!$H$2:$V$2,0))</f>
        <v>0.7</v>
      </c>
      <c r="AN47" s="57">
        <f ca="1">OFFSET(TIAM15_assumptions!$G47,0,MATCH(VLOOKUP(Assumptions!AN$2,TIAM15_assumptions!$Y$3:$Z$87,2,FALSE),TIAM15_assumptions!$H$2:$V$2,0))</f>
        <v>1</v>
      </c>
      <c r="AO47" s="57">
        <f ca="1">OFFSET(TIAM15_assumptions!$G47,0,MATCH(VLOOKUP(Assumptions!AO$2,TIAM15_assumptions!$Y$3:$Z$87,2,FALSE),TIAM15_assumptions!$H$2:$V$2,0))</f>
        <v>1</v>
      </c>
      <c r="AP47" s="57">
        <f ca="1">OFFSET(TIAM15_assumptions!$G47,0,MATCH(VLOOKUP(Assumptions!AP$2,TIAM15_assumptions!$Y$3:$Z$87,2,FALSE),TIAM15_assumptions!$H$2:$V$2,0))</f>
        <v>1</v>
      </c>
      <c r="AQ47" s="57">
        <f ca="1">OFFSET(TIAM15_assumptions!$G47,0,MATCH(VLOOKUP(Assumptions!AQ$2,TIAM15_assumptions!$Y$3:$Z$87,2,FALSE),TIAM15_assumptions!$H$2:$V$2,0))</f>
        <v>0.98</v>
      </c>
      <c r="AR47" s="57">
        <f ca="1">OFFSET(TIAM15_assumptions!$G47,0,MATCH(VLOOKUP(Assumptions!AR$2,TIAM15_assumptions!$Y$3:$Z$87,2,FALSE),TIAM15_assumptions!$H$2:$V$2,0))</f>
        <v>0.98</v>
      </c>
      <c r="AS47" s="57">
        <f ca="1">OFFSET(TIAM15_assumptions!$G47,0,MATCH(VLOOKUP(Assumptions!AS$2,TIAM15_assumptions!$Y$3:$Z$87,2,FALSE),TIAM15_assumptions!$H$2:$V$2,0))</f>
        <v>0.98</v>
      </c>
      <c r="AT47" s="57">
        <f ca="1">OFFSET(TIAM15_assumptions!$G47,0,MATCH(VLOOKUP(Assumptions!AT$2,TIAM15_assumptions!$Y$3:$Z$87,2,FALSE),TIAM15_assumptions!$H$2:$V$2,0))</f>
        <v>0.98</v>
      </c>
      <c r="AU47" s="57">
        <f ca="1">OFFSET(TIAM15_assumptions!$G47,0,MATCH(VLOOKUP(Assumptions!AU$2,TIAM15_assumptions!$Y$3:$Z$87,2,FALSE),TIAM15_assumptions!$H$2:$V$2,0))</f>
        <v>0.98</v>
      </c>
      <c r="AV47" s="57">
        <f ca="1">OFFSET(TIAM15_assumptions!$G47,0,MATCH(VLOOKUP(Assumptions!AV$2,TIAM15_assumptions!$Y$3:$Z$87,2,FALSE),TIAM15_assumptions!$H$2:$V$2,0))</f>
        <v>0.98</v>
      </c>
      <c r="AW47" s="57">
        <f ca="1">OFFSET(TIAM15_assumptions!$G47,0,MATCH(VLOOKUP(Assumptions!AW$2,TIAM15_assumptions!$Y$3:$Z$87,2,FALSE),TIAM15_assumptions!$H$2:$V$2,0))</f>
        <v>0.98</v>
      </c>
      <c r="AX47" s="57">
        <f ca="1">OFFSET(TIAM15_assumptions!$G47,0,MATCH(VLOOKUP(Assumptions!AX$2,TIAM15_assumptions!$Y$3:$Z$87,2,FALSE),TIAM15_assumptions!$H$2:$V$2,0))</f>
        <v>0.98</v>
      </c>
      <c r="AY47" s="57">
        <f ca="1">OFFSET(TIAM15_assumptions!$G47,0,MATCH(VLOOKUP(Assumptions!AY$2,TIAM15_assumptions!$Y$3:$Z$87,2,FALSE),TIAM15_assumptions!$H$2:$V$2,0))</f>
        <v>0.98</v>
      </c>
      <c r="AZ47" s="57">
        <f ca="1">OFFSET(TIAM15_assumptions!$G47,0,MATCH(VLOOKUP(Assumptions!AZ$2,TIAM15_assumptions!$Y$3:$Z$87,2,FALSE),TIAM15_assumptions!$H$2:$V$2,0))</f>
        <v>0.98</v>
      </c>
      <c r="BA47" s="57">
        <f ca="1">OFFSET(TIAM15_assumptions!$G47,0,MATCH(VLOOKUP(Assumptions!BA$2,TIAM15_assumptions!$Y$3:$Z$87,2,FALSE),TIAM15_assumptions!$H$2:$V$2,0))</f>
        <v>0.98</v>
      </c>
      <c r="BD47" s="40">
        <f ca="1">IFERROR(SUMIFS('TRA balance'!E$5:E$40,'TRA balance'!$C$5:$C$40,Assumptions!$C47,'TRA balance'!$D$5:$D$40,Assumptions!$B47)*CY47*H47,"")</f>
        <v>12.023197888464</v>
      </c>
      <c r="BE47" s="40">
        <f ca="1">IFERROR(SUMIFS('TRA balance'!F$5:F$40,'TRA balance'!$C$5:$C$40,Assumptions!$C47,'TRA balance'!$D$5:$D$40,Assumptions!$B47)*CZ47*I47,"")</f>
        <v>0.006900181344</v>
      </c>
      <c r="BF47" s="40">
        <f ca="1">IFERROR(SUMIFS('TRA balance'!G$5:G$40,'TRA balance'!$C$5:$C$40,Assumptions!$C47,'TRA balance'!$D$5:$D$40,Assumptions!$B47)*DA47*J47,"")</f>
        <v>2.28116395422</v>
      </c>
      <c r="BG47" s="40">
        <f ca="1">IFERROR(SUMIFS('TRA balance'!H$5:H$40,'TRA balance'!$C$5:$C$40,Assumptions!$C47,'TRA balance'!$D$5:$D$40,Assumptions!$B47)*DB47*K47,"")</f>
        <v>0.0548439399</v>
      </c>
      <c r="BH47" s="40">
        <f ca="1">IFERROR(SUMIFS('TRA balance'!I$5:I$40,'TRA balance'!$C$5:$C$40,Assumptions!$C47,'TRA balance'!$D$5:$D$40,Assumptions!$B47)*DC47*L47,"")</f>
        <v>2.974851776952</v>
      </c>
      <c r="BI47" s="40">
        <f ca="1">IFERROR(SUMIFS('TRA balance'!J$5:J$40,'TRA balance'!$C$5:$C$40,Assumptions!$C47,'TRA balance'!$D$5:$D$40,Assumptions!$B47)*DD47*M47,"")</f>
        <v>2.0472415767</v>
      </c>
      <c r="BJ47" s="40">
        <f ca="1">IFERROR(SUMIFS('TRA balance'!K$5:K$40,'TRA balance'!$C$5:$C$40,Assumptions!$C47,'TRA balance'!$D$5:$D$40,Assumptions!$B47)*DE47*N47,"")</f>
        <v>0</v>
      </c>
      <c r="BK47" s="40">
        <f ca="1">IFERROR(SUMIFS('TRA balance'!L$5:L$40,'TRA balance'!$C$5:$C$40,Assumptions!$C47,'TRA balance'!$D$5:$D$40,Assumptions!$B47)*DF47*O47,"")</f>
        <v>9.396258891984</v>
      </c>
      <c r="BL47" s="40">
        <f ca="1">IFERROR(SUMIFS('TRA balance'!M$5:M$40,'TRA balance'!$C$5:$C$40,Assumptions!$C47,'TRA balance'!$D$5:$D$40,Assumptions!$B47)*DG47*P47,"")</f>
        <v>1.586672349624</v>
      </c>
      <c r="BM47" s="40">
        <f ca="1">IFERROR(SUMIFS('TRA balance'!N$5:N$40,'TRA balance'!$C$5:$C$40,Assumptions!$C47,'TRA balance'!$D$5:$D$40,Assumptions!$B47)*DH47*Q47,"")</f>
        <v>1.740639658752</v>
      </c>
      <c r="BN47" s="40">
        <f ca="1">IFERROR(SUMIFS('TRA balance'!O$5:O$40,'TRA balance'!$C$5:$C$40,Assumptions!$C47,'TRA balance'!$D$5:$D$40,Assumptions!$B47)*DI47*R47,"")</f>
        <v>0.6051412314</v>
      </c>
      <c r="BO47" s="40">
        <f ca="1">IFERROR(SUMIFS('TRA balance'!P$5:P$40,'TRA balance'!$C$5:$C$40,Assumptions!$C47,'TRA balance'!$D$5:$D$40,Assumptions!$B47)*DJ47*S47,"")</f>
        <v>3.8985000921</v>
      </c>
      <c r="BP47" s="40">
        <f ca="1">IFERROR(SUMIFS('TRA balance'!Q$5:Q$40,'TRA balance'!$C$5:$C$40,Assumptions!$C47,'TRA balance'!$D$5:$D$40,Assumptions!$B47)*DK47*T47,"")</f>
        <v>2.5211507022</v>
      </c>
      <c r="BQ47" s="40">
        <f ca="1">IFERROR(SUMIFS('TRA balance'!R$5:R$40,'TRA balance'!$C$5:$C$40,Assumptions!$C47,'TRA balance'!$D$5:$D$40,Assumptions!$B47)*DL47*U47,"")</f>
        <v>10.026214993908</v>
      </c>
      <c r="BR47" s="40">
        <f ca="1">IFERROR(SUMIFS('TRA balance'!S$5:S$40,'TRA balance'!$C$5:$C$40,Assumptions!$C47,'TRA balance'!$D$5:$D$40,Assumptions!$B47)*DM47*V47,"")</f>
        <v>0</v>
      </c>
      <c r="BS47" s="40">
        <f ca="1">IFERROR(SUMIFS('TRA balance'!T$5:T$40,'TRA balance'!$C$5:$C$40,Assumptions!$C47,'TRA balance'!$D$5:$D$40,Assumptions!$B47)*DN47*W47,"")</f>
        <v>1.2196305405</v>
      </c>
      <c r="BT47" s="40">
        <f ca="1">IFERROR(SUMIFS('TRA balance'!U$5:U$40,'TRA balance'!$C$5:$C$40,Assumptions!$C47,'TRA balance'!$D$5:$D$40,Assumptions!$B47)*DO47*X47,"")</f>
        <v>0.0166289229</v>
      </c>
      <c r="BU47" s="40">
        <f ca="1">IFERROR(SUMIFS('TRA balance'!V$5:V$40,'TRA balance'!$C$5:$C$40,Assumptions!$C47,'TRA balance'!$D$5:$D$40,Assumptions!$B47)*DP47*Y47,"")</f>
        <v>19.0179413343</v>
      </c>
      <c r="BV47" s="40">
        <f ca="1">IFERROR(SUMIFS('TRA balance'!W$5:W$40,'TRA balance'!$C$5:$C$40,Assumptions!$C47,'TRA balance'!$D$5:$D$40,Assumptions!$B47)*DQ47*Z47,"")</f>
        <v>12.834758240712</v>
      </c>
      <c r="BW47" s="40">
        <f ca="1">IFERROR(SUMIFS('TRA balance'!X$5:X$40,'TRA balance'!$C$5:$C$40,Assumptions!$C47,'TRA balance'!$D$5:$D$40,Assumptions!$B47)*DR47*AA47,"")</f>
        <v>0</v>
      </c>
      <c r="BX47" s="40">
        <f ca="1">IFERROR(SUMIFS('TRA balance'!Y$5:Y$40,'TRA balance'!$C$5:$C$40,Assumptions!$C47,'TRA balance'!$D$5:$D$40,Assumptions!$B47)*DS47*AB47,"")</f>
        <v>0.786389729328</v>
      </c>
      <c r="BY47" s="40">
        <f ca="1">IFERROR(SUMIFS('TRA balance'!Z$5:Z$40,'TRA balance'!$C$5:$C$40,Assumptions!$C47,'TRA balance'!$D$5:$D$40,Assumptions!$B47)*DT47*AC47,"")</f>
        <v>20.3148084176951</v>
      </c>
      <c r="BZ47" s="40">
        <f ca="1">IFERROR(SUMIFS('TRA balance'!AA$5:AA$40,'TRA balance'!$C$5:$C$40,Assumptions!$C47,'TRA balance'!$D$5:$D$40,Assumptions!$B47)*DU47*AD47,"")</f>
        <v>0.0536821029</v>
      </c>
      <c r="CA47" s="40">
        <f ca="1">IFERROR(SUMIFS('TRA balance'!AB$5:AB$40,'TRA balance'!$C$5:$C$40,Assumptions!$C47,'TRA balance'!$D$5:$D$40,Assumptions!$B47)*DV47*AE47,"")</f>
        <v>38.274299534052</v>
      </c>
      <c r="CB47" s="40">
        <f ca="1">IFERROR(SUMIFS('TRA balance'!AC$5:AC$40,'TRA balance'!$C$5:$C$40,Assumptions!$C47,'TRA balance'!$D$5:$D$40,Assumptions!$B47)*DW47*AF47,"")</f>
        <v>20.900857668012</v>
      </c>
      <c r="CC47" s="40">
        <f ca="1">IFERROR(SUMIFS('TRA balance'!AD$5:AD$40,'TRA balance'!$C$5:$C$40,Assumptions!$C47,'TRA balance'!$D$5:$D$40,Assumptions!$B47)*DX47*AG47,"")</f>
        <v>25.594925457456</v>
      </c>
      <c r="CD47" s="40">
        <f ca="1">IFERROR(SUMIFS('TRA balance'!AE$5:AE$40,'TRA balance'!$C$5:$C$40,Assumptions!$C47,'TRA balance'!$D$5:$D$40,Assumptions!$B47)*DY47*AH47,"")</f>
        <v>0</v>
      </c>
      <c r="CE47" s="40">
        <f ca="1">IFERROR(SUMIFS('TRA balance'!AF$5:AF$40,'TRA balance'!$C$5:$C$40,Assumptions!$C47,'TRA balance'!$D$5:$D$40,Assumptions!$B47)*DZ47*AI47,"")</f>
        <v>0.1831431924</v>
      </c>
      <c r="CF47" s="40">
        <f ca="1">IFERROR(SUMIFS('TRA balance'!AG$5:AG$40,'TRA balance'!$C$5:$C$40,Assumptions!$C47,'TRA balance'!$D$5:$D$40,Assumptions!$B47)*EA47*AJ47,"")</f>
        <v>1.4164656156</v>
      </c>
      <c r="CG47" s="40">
        <f ca="1">IFERROR(SUMIFS('TRA balance'!AH$5:AH$40,'TRA balance'!$C$5:$C$40,Assumptions!$C47,'TRA balance'!$D$5:$D$40,Assumptions!$B47)*EB47*AK47,"")</f>
        <v>0</v>
      </c>
      <c r="CH47" s="40">
        <f ca="1">IFERROR(SUMIFS('TRA balance'!AI$5:AI$40,'TRA balance'!$C$5:$C$40,Assumptions!$C47,'TRA balance'!$D$5:$D$40,Assumptions!$B47)*EC47*AL47,"")</f>
        <v>0.0176871366</v>
      </c>
      <c r="CI47" s="40">
        <f ca="1">IFERROR(SUMIFS('TRA balance'!AJ$5:AJ$40,'TRA balance'!$C$5:$C$40,Assumptions!$C47,'TRA balance'!$D$5:$D$40,Assumptions!$B47)*ED47*AM47,"")</f>
        <v>43.1995196304</v>
      </c>
      <c r="CJ47" s="40">
        <f ca="1">IFERROR(SUMIFS('TRA balance'!AK$5:AK$40,'TRA balance'!$C$5:$C$40,Assumptions!$C47,'TRA balance'!$D$5:$D$40,Assumptions!$B47)*EE47*AN47,"")</f>
        <v>0.7244995725</v>
      </c>
      <c r="CK47" s="40">
        <f ca="1">IFERROR(SUMIFS('TRA balance'!AL$5:AL$40,'TRA balance'!$C$5:$C$40,Assumptions!$C47,'TRA balance'!$D$5:$D$40,Assumptions!$B47)*EF47*AO47,"")</f>
        <v>35.83376591706</v>
      </c>
      <c r="CL47" s="40">
        <f ca="1">IFERROR(SUMIFS('TRA balance'!AM$5:AM$40,'TRA balance'!$C$5:$C$40,Assumptions!$C47,'TRA balance'!$D$5:$D$40,Assumptions!$B47)*EG47*AP47,"")</f>
        <v>4.5069761097</v>
      </c>
      <c r="CM47" s="40">
        <f ca="1">IFERROR(SUMIFS('TRA balance'!AN$5:AN$40,'TRA balance'!$C$5:$C$40,Assumptions!$C47,'TRA balance'!$D$5:$D$40,Assumptions!$B47)*EH47*AQ47,"")</f>
        <v>0</v>
      </c>
      <c r="CN47" s="40">
        <f ca="1">IFERROR(SUMIFS('TRA balance'!AO$5:AO$40,'TRA balance'!$C$5:$C$40,Assumptions!$C47,'TRA balance'!$D$5:$D$40,Assumptions!$B47)*EI47*AR47,"")</f>
        <v>0</v>
      </c>
      <c r="CO47" s="40">
        <f ca="1">IFERROR(SUMIFS('TRA balance'!AP$5:AP$40,'TRA balance'!$C$5:$C$40,Assumptions!$C47,'TRA balance'!$D$5:$D$40,Assumptions!$B47)*EJ47*AS47,"")</f>
        <v>0</v>
      </c>
      <c r="CP47" s="40">
        <f ca="1">IFERROR(SUMIFS('TRA balance'!AQ$5:AQ$40,'TRA balance'!$C$5:$C$40,Assumptions!$C47,'TRA balance'!$D$5:$D$40,Assumptions!$B47)*EK47*AT47,"")</f>
        <v>0</v>
      </c>
      <c r="CQ47" s="40">
        <f ca="1">IFERROR(SUMIFS('TRA balance'!AR$5:AR$40,'TRA balance'!$C$5:$C$40,Assumptions!$C47,'TRA balance'!$D$5:$D$40,Assumptions!$B47)*EL47*AU47,"")</f>
        <v>0</v>
      </c>
      <c r="CR47" s="40">
        <f ca="1">IFERROR(SUMIFS('TRA balance'!AS$5:AS$40,'TRA balance'!$C$5:$C$40,Assumptions!$C47,'TRA balance'!$D$5:$D$40,Assumptions!$B47)*EM47*AV47,"")</f>
        <v>0</v>
      </c>
      <c r="CS47" s="40">
        <f ca="1">IFERROR(SUMIFS('TRA balance'!AT$5:AT$40,'TRA balance'!$C$5:$C$40,Assumptions!$C47,'TRA balance'!$D$5:$D$40,Assumptions!$B47)*EN47*AW47,"")</f>
        <v>0</v>
      </c>
      <c r="CT47" s="40">
        <f ca="1">IFERROR(SUMIFS('TRA balance'!AU$5:AU$40,'TRA balance'!$C$5:$C$40,Assumptions!$C47,'TRA balance'!$D$5:$D$40,Assumptions!$B47)*EO47*AX47,"")</f>
        <v>0</v>
      </c>
      <c r="CU47" s="40">
        <f ca="1">IFERROR(SUMIFS('TRA balance'!AV$5:AV$40,'TRA balance'!$C$5:$C$40,Assumptions!$C47,'TRA balance'!$D$5:$D$40,Assumptions!$B47)*EP47*AY47,"")</f>
        <v>0</v>
      </c>
      <c r="CV47" s="40">
        <f ca="1">IFERROR(SUMIFS('TRA balance'!AW$5:AW$40,'TRA balance'!$C$5:$C$40,Assumptions!$C47,'TRA balance'!$D$5:$D$40,Assumptions!$B47)*EQ47*AZ47,"")</f>
        <v>0</v>
      </c>
      <c r="CW47" s="40">
        <f ca="1">IFERROR(SUMIFS('TRA balance'!AX$5:AX$40,'TRA balance'!$C$5:$C$40,Assumptions!$C47,'TRA balance'!$D$5:$D$40,Assumptions!$B47)*ER47*BA47,"")</f>
        <v>0</v>
      </c>
      <c r="CY47" s="39">
        <f ca="1" t="shared" si="66"/>
        <v>0.4</v>
      </c>
      <c r="CZ47" s="39">
        <f ca="1" t="shared" si="3"/>
        <v>0.4</v>
      </c>
      <c r="DA47" s="39">
        <f ca="1" t="shared" si="4"/>
        <v>0.75</v>
      </c>
      <c r="DB47" s="39">
        <f ca="1" t="shared" si="5"/>
        <v>0.25</v>
      </c>
      <c r="DC47" s="39">
        <f ca="1" t="shared" si="6"/>
        <v>0.43</v>
      </c>
      <c r="DD47" s="39">
        <f ca="1" t="shared" si="7"/>
        <v>0.25</v>
      </c>
      <c r="DE47" s="39">
        <f ca="1" t="shared" si="8"/>
        <v>0.5</v>
      </c>
      <c r="DF47" s="39">
        <f ca="1" t="shared" si="9"/>
        <v>0.6</v>
      </c>
      <c r="DG47" s="39">
        <f ca="1" t="shared" si="10"/>
        <v>0.43</v>
      </c>
      <c r="DH47" s="39">
        <f ca="1" t="shared" si="11"/>
        <v>0.43</v>
      </c>
      <c r="DI47" s="39">
        <f ca="1" t="shared" si="12"/>
        <v>0.25</v>
      </c>
      <c r="DJ47" s="39">
        <f ca="1" t="shared" si="13"/>
        <v>0.25</v>
      </c>
      <c r="DK47" s="39">
        <f ca="1" t="shared" si="14"/>
        <v>0.25</v>
      </c>
      <c r="DL47" s="39">
        <f ca="1" t="shared" si="15"/>
        <v>0.43</v>
      </c>
      <c r="DM47" s="39">
        <f ca="1" t="shared" si="16"/>
        <v>0.25</v>
      </c>
      <c r="DN47" s="39">
        <f ca="1" t="shared" si="17"/>
        <v>0.75</v>
      </c>
      <c r="DO47" s="39">
        <f ca="1" t="shared" si="18"/>
        <v>0.25</v>
      </c>
      <c r="DP47" s="39">
        <f ca="1" t="shared" si="19"/>
        <v>0.25</v>
      </c>
      <c r="DQ47" s="39">
        <f ca="1" t="shared" si="20"/>
        <v>0.43</v>
      </c>
      <c r="DR47" s="39">
        <f ca="1" t="shared" si="21"/>
        <v>0.5</v>
      </c>
      <c r="DS47" s="39">
        <f ca="1" t="shared" si="22"/>
        <v>0.4</v>
      </c>
      <c r="DT47" s="39">
        <f ca="1" t="shared" si="23"/>
        <v>0.280785282844377</v>
      </c>
      <c r="DU47" s="39">
        <f ca="1" t="shared" si="24"/>
        <v>0.25</v>
      </c>
      <c r="DV47" s="39">
        <f ca="1" t="shared" si="25"/>
        <v>0.43</v>
      </c>
      <c r="DW47" s="39">
        <f ca="1" t="shared" si="26"/>
        <v>0.3</v>
      </c>
      <c r="DX47" s="39">
        <f ca="1" t="shared" si="27"/>
        <v>0.43</v>
      </c>
      <c r="DY47" s="39">
        <f ca="1" t="shared" si="28"/>
        <v>0.4</v>
      </c>
      <c r="DZ47" s="39">
        <f ca="1" t="shared" si="29"/>
        <v>0.4</v>
      </c>
      <c r="EA47" s="39">
        <f ca="1" t="shared" si="30"/>
        <v>0.25</v>
      </c>
      <c r="EB47" s="39">
        <f ca="1" t="shared" si="31"/>
        <v>0.25</v>
      </c>
      <c r="EC47" s="39">
        <f ca="1" t="shared" si="32"/>
        <v>0.25</v>
      </c>
      <c r="ED47" s="39">
        <f ca="1" t="shared" si="33"/>
        <v>0.4</v>
      </c>
      <c r="EE47" s="39">
        <f ca="1" t="shared" si="34"/>
        <v>0.25</v>
      </c>
      <c r="EF47" s="39">
        <f ca="1" t="shared" si="35"/>
        <v>0.43</v>
      </c>
      <c r="EG47" s="39">
        <f ca="1" t="shared" si="36"/>
        <v>0.43</v>
      </c>
      <c r="EH47" s="39">
        <f ca="1" t="shared" si="37"/>
        <v>0.280785282844377</v>
      </c>
      <c r="EI47" s="39">
        <f ca="1" t="shared" si="38"/>
        <v>0.280785282844377</v>
      </c>
      <c r="EJ47" s="39">
        <f ca="1" t="shared" si="39"/>
        <v>0.280785282844377</v>
      </c>
      <c r="EK47" s="39">
        <f ca="1" t="shared" si="40"/>
        <v>0.280785282844377</v>
      </c>
      <c r="EL47" s="39">
        <f ca="1" t="shared" si="41"/>
        <v>0.280785282844377</v>
      </c>
      <c r="EM47" s="39">
        <f ca="1" t="shared" si="42"/>
        <v>0.280785282844377</v>
      </c>
      <c r="EN47" s="39">
        <f ca="1" t="shared" si="43"/>
        <v>0.280785282844377</v>
      </c>
      <c r="EO47" s="39">
        <f ca="1" t="shared" si="44"/>
        <v>0.280785282844377</v>
      </c>
      <c r="EP47" s="39">
        <f ca="1" t="shared" si="45"/>
        <v>0.280785282844377</v>
      </c>
      <c r="EQ47" s="39">
        <f ca="1" t="shared" si="46"/>
        <v>0.280785282844377</v>
      </c>
      <c r="ER47" s="39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4" t="str">
        <f t="shared" si="48"/>
        <v/>
      </c>
      <c r="D48" s="55"/>
      <c r="E48" s="67" t="s">
        <v>220</v>
      </c>
      <c r="F48" s="56" t="str">
        <f t="shared" si="74"/>
        <v>Liquified Petroleum Gases</v>
      </c>
      <c r="G48" s="54"/>
      <c r="H48" s="69" t="str">
        <f ca="1">IF(SUM(H44:H47)=1,"-","&lt;&gt;1!!")</f>
        <v>-</v>
      </c>
      <c r="I48" s="69" t="str">
        <f ca="1" t="shared" ref="I48:BA48" si="75">IF(SUM(I44:I47)=1,"-","&lt;&gt;1!!")</f>
        <v>-</v>
      </c>
      <c r="J48" s="69" t="str">
        <f ca="1" t="shared" si="75"/>
        <v>-</v>
      </c>
      <c r="K48" s="69" t="str">
        <f ca="1" t="shared" si="75"/>
        <v>-</v>
      </c>
      <c r="L48" s="69" t="str">
        <f ca="1" t="shared" si="75"/>
        <v>-</v>
      </c>
      <c r="M48" s="69" t="str">
        <f ca="1" t="shared" si="75"/>
        <v>-</v>
      </c>
      <c r="N48" s="69" t="str">
        <f ca="1" t="shared" si="75"/>
        <v>-</v>
      </c>
      <c r="O48" s="69" t="str">
        <f ca="1" t="shared" si="75"/>
        <v>-</v>
      </c>
      <c r="P48" s="69" t="str">
        <f ca="1" t="shared" si="75"/>
        <v>-</v>
      </c>
      <c r="Q48" s="69" t="str">
        <f ca="1" t="shared" si="75"/>
        <v>-</v>
      </c>
      <c r="R48" s="69" t="str">
        <f ca="1" t="shared" si="75"/>
        <v>-</v>
      </c>
      <c r="S48" s="69" t="str">
        <f ca="1" t="shared" si="75"/>
        <v>-</v>
      </c>
      <c r="T48" s="69" t="str">
        <f ca="1" t="shared" si="75"/>
        <v>-</v>
      </c>
      <c r="U48" s="69" t="str">
        <f ca="1" t="shared" si="75"/>
        <v>-</v>
      </c>
      <c r="V48" s="69" t="str">
        <f ca="1" t="shared" si="75"/>
        <v>-</v>
      </c>
      <c r="W48" s="69" t="str">
        <f ca="1" t="shared" si="75"/>
        <v>-</v>
      </c>
      <c r="X48" s="69" t="str">
        <f ca="1" t="shared" si="75"/>
        <v>-</v>
      </c>
      <c r="Y48" s="69" t="str">
        <f ca="1" t="shared" si="75"/>
        <v>-</v>
      </c>
      <c r="Z48" s="69" t="str">
        <f ca="1" t="shared" si="75"/>
        <v>-</v>
      </c>
      <c r="AA48" s="69" t="str">
        <f ca="1" t="shared" si="75"/>
        <v>-</v>
      </c>
      <c r="AB48" s="69" t="str">
        <f ca="1" t="shared" si="75"/>
        <v>-</v>
      </c>
      <c r="AC48" s="69" t="str">
        <f ca="1" t="shared" si="75"/>
        <v>-</v>
      </c>
      <c r="AD48" s="69" t="str">
        <f ca="1" t="shared" si="75"/>
        <v>-</v>
      </c>
      <c r="AE48" s="69" t="str">
        <f ca="1" t="shared" si="75"/>
        <v>-</v>
      </c>
      <c r="AF48" s="69" t="str">
        <f ca="1" t="shared" si="75"/>
        <v>-</v>
      </c>
      <c r="AG48" s="69" t="str">
        <f ca="1" t="shared" si="75"/>
        <v>-</v>
      </c>
      <c r="AH48" s="69" t="str">
        <f ca="1" t="shared" si="75"/>
        <v>-</v>
      </c>
      <c r="AI48" s="69" t="str">
        <f ca="1" t="shared" si="75"/>
        <v>-</v>
      </c>
      <c r="AJ48" s="69" t="str">
        <f ca="1" t="shared" si="75"/>
        <v>-</v>
      </c>
      <c r="AK48" s="69" t="str">
        <f ca="1" t="shared" si="75"/>
        <v>-</v>
      </c>
      <c r="AL48" s="69" t="str">
        <f ca="1" t="shared" si="75"/>
        <v>-</v>
      </c>
      <c r="AM48" s="69" t="str">
        <f ca="1" t="shared" si="75"/>
        <v>-</v>
      </c>
      <c r="AN48" s="69" t="str">
        <f ca="1" t="shared" si="75"/>
        <v>-</v>
      </c>
      <c r="AO48" s="69" t="str">
        <f ca="1" t="shared" si="75"/>
        <v>-</v>
      </c>
      <c r="AP48" s="69" t="str">
        <f ca="1" t="shared" si="75"/>
        <v>-</v>
      </c>
      <c r="AQ48" s="69" t="str">
        <f ca="1" t="shared" si="75"/>
        <v>-</v>
      </c>
      <c r="AR48" s="69" t="str">
        <f ca="1" t="shared" si="75"/>
        <v>-</v>
      </c>
      <c r="AS48" s="69" t="str">
        <f ca="1" t="shared" si="75"/>
        <v>-</v>
      </c>
      <c r="AT48" s="69" t="str">
        <f ca="1" t="shared" si="75"/>
        <v>-</v>
      </c>
      <c r="AU48" s="69" t="str">
        <f ca="1" t="shared" si="75"/>
        <v>-</v>
      </c>
      <c r="AV48" s="69" t="str">
        <f ca="1" t="shared" si="75"/>
        <v>-</v>
      </c>
      <c r="AW48" s="69" t="str">
        <f ca="1" t="shared" si="75"/>
        <v>-</v>
      </c>
      <c r="AX48" s="69" t="str">
        <f ca="1" t="shared" si="75"/>
        <v>-</v>
      </c>
      <c r="AY48" s="69" t="str">
        <f ca="1" t="shared" si="75"/>
        <v>-</v>
      </c>
      <c r="AZ48" s="69" t="str">
        <f ca="1" t="shared" si="75"/>
        <v>-</v>
      </c>
      <c r="BA48" s="69" t="str">
        <f ca="1" t="shared" si="75"/>
        <v>-</v>
      </c>
      <c r="BD48" s="40" t="str">
        <f ca="1">IFERROR(SUMIFS('TRA balance'!E$5:E$40,'TRA balance'!$C$5:$C$40,Assumptions!$C48,'TRA balance'!$D$5:$D$40,Assumptions!$B48)*CY48*H48,"")</f>
        <v/>
      </c>
      <c r="BE48" s="40" t="str">
        <f ca="1">IFERROR(SUMIFS('TRA balance'!F$5:F$40,'TRA balance'!$C$5:$C$40,Assumptions!$C48,'TRA balance'!$D$5:$D$40,Assumptions!$B48)*CZ48*I48,"")</f>
        <v/>
      </c>
      <c r="BF48" s="40" t="str">
        <f ca="1">IFERROR(SUMIFS('TRA balance'!G$5:G$40,'TRA balance'!$C$5:$C$40,Assumptions!$C48,'TRA balance'!$D$5:$D$40,Assumptions!$B48)*DA48*J48,"")</f>
        <v/>
      </c>
      <c r="BG48" s="40" t="str">
        <f ca="1">IFERROR(SUMIFS('TRA balance'!H$5:H$40,'TRA balance'!$C$5:$C$40,Assumptions!$C48,'TRA balance'!$D$5:$D$40,Assumptions!$B48)*DB48*K48,"")</f>
        <v/>
      </c>
      <c r="BH48" s="40" t="str">
        <f ca="1">IFERROR(SUMIFS('TRA balance'!I$5:I$40,'TRA balance'!$C$5:$C$40,Assumptions!$C48,'TRA balance'!$D$5:$D$40,Assumptions!$B48)*DC48*L48,"")</f>
        <v/>
      </c>
      <c r="BI48" s="40" t="str">
        <f ca="1">IFERROR(SUMIFS('TRA balance'!J$5:J$40,'TRA balance'!$C$5:$C$40,Assumptions!$C48,'TRA balance'!$D$5:$D$40,Assumptions!$B48)*DD48*M48,"")</f>
        <v/>
      </c>
      <c r="BJ48" s="40" t="str">
        <f ca="1">IFERROR(SUMIFS('TRA balance'!K$5:K$40,'TRA balance'!$C$5:$C$40,Assumptions!$C48,'TRA balance'!$D$5:$D$40,Assumptions!$B48)*DE48*N48,"")</f>
        <v/>
      </c>
      <c r="BK48" s="40" t="str">
        <f ca="1">IFERROR(SUMIFS('TRA balance'!L$5:L$40,'TRA balance'!$C$5:$C$40,Assumptions!$C48,'TRA balance'!$D$5:$D$40,Assumptions!$B48)*DF48*O48,"")</f>
        <v/>
      </c>
      <c r="BL48" s="40" t="str">
        <f ca="1">IFERROR(SUMIFS('TRA balance'!M$5:M$40,'TRA balance'!$C$5:$C$40,Assumptions!$C48,'TRA balance'!$D$5:$D$40,Assumptions!$B48)*DG48*P48,"")</f>
        <v/>
      </c>
      <c r="BM48" s="40" t="str">
        <f ca="1">IFERROR(SUMIFS('TRA balance'!N$5:N$40,'TRA balance'!$C$5:$C$40,Assumptions!$C48,'TRA balance'!$D$5:$D$40,Assumptions!$B48)*DH48*Q48,"")</f>
        <v/>
      </c>
      <c r="BN48" s="40" t="str">
        <f ca="1">IFERROR(SUMIFS('TRA balance'!O$5:O$40,'TRA balance'!$C$5:$C$40,Assumptions!$C48,'TRA balance'!$D$5:$D$40,Assumptions!$B48)*DI48*R48,"")</f>
        <v/>
      </c>
      <c r="BO48" s="40" t="str">
        <f ca="1">IFERROR(SUMIFS('TRA balance'!P$5:P$40,'TRA balance'!$C$5:$C$40,Assumptions!$C48,'TRA balance'!$D$5:$D$40,Assumptions!$B48)*DJ48*S48,"")</f>
        <v/>
      </c>
      <c r="BP48" s="40" t="str">
        <f ca="1">IFERROR(SUMIFS('TRA balance'!Q$5:Q$40,'TRA balance'!$C$5:$C$40,Assumptions!$C48,'TRA balance'!$D$5:$D$40,Assumptions!$B48)*DK48*T48,"")</f>
        <v/>
      </c>
      <c r="BQ48" s="40" t="str">
        <f ca="1">IFERROR(SUMIFS('TRA balance'!R$5:R$40,'TRA balance'!$C$5:$C$40,Assumptions!$C48,'TRA balance'!$D$5:$D$40,Assumptions!$B48)*DL48*U48,"")</f>
        <v/>
      </c>
      <c r="BR48" s="40" t="str">
        <f ca="1">IFERROR(SUMIFS('TRA balance'!S$5:S$40,'TRA balance'!$C$5:$C$40,Assumptions!$C48,'TRA balance'!$D$5:$D$40,Assumptions!$B48)*DM48*V48,"")</f>
        <v/>
      </c>
      <c r="BS48" s="40" t="str">
        <f ca="1">IFERROR(SUMIFS('TRA balance'!T$5:T$40,'TRA balance'!$C$5:$C$40,Assumptions!$C48,'TRA balance'!$D$5:$D$40,Assumptions!$B48)*DN48*W48,"")</f>
        <v/>
      </c>
      <c r="BT48" s="40" t="str">
        <f ca="1">IFERROR(SUMIFS('TRA balance'!U$5:U$40,'TRA balance'!$C$5:$C$40,Assumptions!$C48,'TRA balance'!$D$5:$D$40,Assumptions!$B48)*DO48*X48,"")</f>
        <v/>
      </c>
      <c r="BU48" s="40" t="str">
        <f ca="1">IFERROR(SUMIFS('TRA balance'!V$5:V$40,'TRA balance'!$C$5:$C$40,Assumptions!$C48,'TRA balance'!$D$5:$D$40,Assumptions!$B48)*DP48*Y48,"")</f>
        <v/>
      </c>
      <c r="BV48" s="40" t="str">
        <f ca="1">IFERROR(SUMIFS('TRA balance'!W$5:W$40,'TRA balance'!$C$5:$C$40,Assumptions!$C48,'TRA balance'!$D$5:$D$40,Assumptions!$B48)*DQ48*Z48,"")</f>
        <v/>
      </c>
      <c r="BW48" s="40" t="str">
        <f ca="1">IFERROR(SUMIFS('TRA balance'!X$5:X$40,'TRA balance'!$C$5:$C$40,Assumptions!$C48,'TRA balance'!$D$5:$D$40,Assumptions!$B48)*DR48*AA48,"")</f>
        <v/>
      </c>
      <c r="BX48" s="40" t="str">
        <f ca="1">IFERROR(SUMIFS('TRA balance'!Y$5:Y$40,'TRA balance'!$C$5:$C$40,Assumptions!$C48,'TRA balance'!$D$5:$D$40,Assumptions!$B48)*DS48*AB48,"")</f>
        <v/>
      </c>
      <c r="BY48" s="40" t="str">
        <f ca="1">IFERROR(SUMIFS('TRA balance'!Z$5:Z$40,'TRA balance'!$C$5:$C$40,Assumptions!$C48,'TRA balance'!$D$5:$D$40,Assumptions!$B48)*DT48*AC48,"")</f>
        <v/>
      </c>
      <c r="BZ48" s="40" t="str">
        <f ca="1">IFERROR(SUMIFS('TRA balance'!AA$5:AA$40,'TRA balance'!$C$5:$C$40,Assumptions!$C48,'TRA balance'!$D$5:$D$40,Assumptions!$B48)*DU48*AD48,"")</f>
        <v/>
      </c>
      <c r="CA48" s="40" t="str">
        <f ca="1">IFERROR(SUMIFS('TRA balance'!AB$5:AB$40,'TRA balance'!$C$5:$C$40,Assumptions!$C48,'TRA balance'!$D$5:$D$40,Assumptions!$B48)*DV48*AE48,"")</f>
        <v/>
      </c>
      <c r="CB48" s="40" t="str">
        <f ca="1">IFERROR(SUMIFS('TRA balance'!AC$5:AC$40,'TRA balance'!$C$5:$C$40,Assumptions!$C48,'TRA balance'!$D$5:$D$40,Assumptions!$B48)*DW48*AF48,"")</f>
        <v/>
      </c>
      <c r="CC48" s="40" t="str">
        <f ca="1">IFERROR(SUMIFS('TRA balance'!AD$5:AD$40,'TRA balance'!$C$5:$C$40,Assumptions!$C48,'TRA balance'!$D$5:$D$40,Assumptions!$B48)*DX48*AG48,"")</f>
        <v/>
      </c>
      <c r="CD48" s="40" t="str">
        <f ca="1">IFERROR(SUMIFS('TRA balance'!AE$5:AE$40,'TRA balance'!$C$5:$C$40,Assumptions!$C48,'TRA balance'!$D$5:$D$40,Assumptions!$B48)*DY48*AH48,"")</f>
        <v/>
      </c>
      <c r="CE48" s="40" t="str">
        <f ca="1">IFERROR(SUMIFS('TRA balance'!AF$5:AF$40,'TRA balance'!$C$5:$C$40,Assumptions!$C48,'TRA balance'!$D$5:$D$40,Assumptions!$B48)*DZ48*AI48,"")</f>
        <v/>
      </c>
      <c r="CF48" s="40" t="str">
        <f ca="1">IFERROR(SUMIFS('TRA balance'!AG$5:AG$40,'TRA balance'!$C$5:$C$40,Assumptions!$C48,'TRA balance'!$D$5:$D$40,Assumptions!$B48)*EA48*AJ48,"")</f>
        <v/>
      </c>
      <c r="CG48" s="40" t="str">
        <f ca="1">IFERROR(SUMIFS('TRA balance'!AH$5:AH$40,'TRA balance'!$C$5:$C$40,Assumptions!$C48,'TRA balance'!$D$5:$D$40,Assumptions!$B48)*EB48*AK48,"")</f>
        <v/>
      </c>
      <c r="CH48" s="40" t="str">
        <f ca="1">IFERROR(SUMIFS('TRA balance'!AI$5:AI$40,'TRA balance'!$C$5:$C$40,Assumptions!$C48,'TRA balance'!$D$5:$D$40,Assumptions!$B48)*EC48*AL48,"")</f>
        <v/>
      </c>
      <c r="CI48" s="40" t="str">
        <f ca="1">IFERROR(SUMIFS('TRA balance'!AJ$5:AJ$40,'TRA balance'!$C$5:$C$40,Assumptions!$C48,'TRA balance'!$D$5:$D$40,Assumptions!$B48)*ED48*AM48,"")</f>
        <v/>
      </c>
      <c r="CJ48" s="40" t="str">
        <f ca="1">IFERROR(SUMIFS('TRA balance'!AK$5:AK$40,'TRA balance'!$C$5:$C$40,Assumptions!$C48,'TRA balance'!$D$5:$D$40,Assumptions!$B48)*EE48*AN48,"")</f>
        <v/>
      </c>
      <c r="CK48" s="40" t="str">
        <f ca="1">IFERROR(SUMIFS('TRA balance'!AL$5:AL$40,'TRA balance'!$C$5:$C$40,Assumptions!$C48,'TRA balance'!$D$5:$D$40,Assumptions!$B48)*EF48*AO48,"")</f>
        <v/>
      </c>
      <c r="CL48" s="40" t="str">
        <f ca="1">IFERROR(SUMIFS('TRA balance'!AM$5:AM$40,'TRA balance'!$C$5:$C$40,Assumptions!$C48,'TRA balance'!$D$5:$D$40,Assumptions!$B48)*EG48*AP48,"")</f>
        <v/>
      </c>
      <c r="CM48" s="40" t="str">
        <f ca="1">IFERROR(SUMIFS('TRA balance'!AN$5:AN$40,'TRA balance'!$C$5:$C$40,Assumptions!$C48,'TRA balance'!$D$5:$D$40,Assumptions!$B48)*EH48*AQ48,"")</f>
        <v/>
      </c>
      <c r="CN48" s="40" t="str">
        <f ca="1">IFERROR(SUMIFS('TRA balance'!AO$5:AO$40,'TRA balance'!$C$5:$C$40,Assumptions!$C48,'TRA balance'!$D$5:$D$40,Assumptions!$B48)*EI48*AR48,"")</f>
        <v/>
      </c>
      <c r="CO48" s="40" t="str">
        <f ca="1">IFERROR(SUMIFS('TRA balance'!AP$5:AP$40,'TRA balance'!$C$5:$C$40,Assumptions!$C48,'TRA balance'!$D$5:$D$40,Assumptions!$B48)*EJ48*AS48,"")</f>
        <v/>
      </c>
      <c r="CP48" s="40" t="str">
        <f ca="1">IFERROR(SUMIFS('TRA balance'!AQ$5:AQ$40,'TRA balance'!$C$5:$C$40,Assumptions!$C48,'TRA balance'!$D$5:$D$40,Assumptions!$B48)*EK48*AT48,"")</f>
        <v/>
      </c>
      <c r="CQ48" s="40" t="str">
        <f ca="1">IFERROR(SUMIFS('TRA balance'!AR$5:AR$40,'TRA balance'!$C$5:$C$40,Assumptions!$C48,'TRA balance'!$D$5:$D$40,Assumptions!$B48)*EL48*AU48,"")</f>
        <v/>
      </c>
      <c r="CR48" s="40" t="str">
        <f ca="1">IFERROR(SUMIFS('TRA balance'!AS$5:AS$40,'TRA balance'!$C$5:$C$40,Assumptions!$C48,'TRA balance'!$D$5:$D$40,Assumptions!$B48)*EM48*AV48,"")</f>
        <v/>
      </c>
      <c r="CS48" s="40" t="str">
        <f ca="1">IFERROR(SUMIFS('TRA balance'!AT$5:AT$40,'TRA balance'!$C$5:$C$40,Assumptions!$C48,'TRA balance'!$D$5:$D$40,Assumptions!$B48)*EN48*AW48,"")</f>
        <v/>
      </c>
      <c r="CT48" s="40" t="str">
        <f ca="1">IFERROR(SUMIFS('TRA balance'!AU$5:AU$40,'TRA balance'!$C$5:$C$40,Assumptions!$C48,'TRA balance'!$D$5:$D$40,Assumptions!$B48)*EO48*AX48,"")</f>
        <v/>
      </c>
      <c r="CU48" s="40" t="str">
        <f ca="1">IFERROR(SUMIFS('TRA balance'!AV$5:AV$40,'TRA balance'!$C$5:$C$40,Assumptions!$C48,'TRA balance'!$D$5:$D$40,Assumptions!$B48)*EP48*AY48,"")</f>
        <v/>
      </c>
      <c r="CV48" s="40" t="str">
        <f ca="1">IFERROR(SUMIFS('TRA balance'!AW$5:AW$40,'TRA balance'!$C$5:$C$40,Assumptions!$C48,'TRA balance'!$D$5:$D$40,Assumptions!$B48)*EQ48*AZ48,"")</f>
        <v/>
      </c>
      <c r="CW48" s="40" t="str">
        <f ca="1">IFERROR(SUMIFS('TRA balance'!AX$5:AX$40,'TRA balance'!$C$5:$C$40,Assumptions!$C48,'TRA balance'!$D$5:$D$40,Assumptions!$B48)*ER48*BA48,"")</f>
        <v/>
      </c>
      <c r="CY48" s="39">
        <f ca="1" t="shared" si="66"/>
        <v>1</v>
      </c>
      <c r="CZ48" s="39">
        <f ca="1" t="shared" si="3"/>
        <v>1</v>
      </c>
      <c r="DA48" s="39">
        <f ca="1" t="shared" si="4"/>
        <v>1</v>
      </c>
      <c r="DB48" s="39">
        <f ca="1" t="shared" si="5"/>
        <v>1</v>
      </c>
      <c r="DC48" s="39">
        <f ca="1" t="shared" si="6"/>
        <v>1</v>
      </c>
      <c r="DD48" s="39">
        <f ca="1" t="shared" si="7"/>
        <v>1</v>
      </c>
      <c r="DE48" s="39">
        <f ca="1" t="shared" si="8"/>
        <v>1</v>
      </c>
      <c r="DF48" s="39">
        <f ca="1" t="shared" si="9"/>
        <v>1</v>
      </c>
      <c r="DG48" s="39">
        <f ca="1" t="shared" si="10"/>
        <v>1</v>
      </c>
      <c r="DH48" s="39">
        <f ca="1" t="shared" si="11"/>
        <v>1</v>
      </c>
      <c r="DI48" s="39">
        <f ca="1" t="shared" si="12"/>
        <v>1</v>
      </c>
      <c r="DJ48" s="39">
        <f ca="1" t="shared" si="13"/>
        <v>1</v>
      </c>
      <c r="DK48" s="39">
        <f ca="1" t="shared" si="14"/>
        <v>1</v>
      </c>
      <c r="DL48" s="39">
        <f ca="1" t="shared" si="15"/>
        <v>1</v>
      </c>
      <c r="DM48" s="39">
        <f ca="1" t="shared" si="16"/>
        <v>1</v>
      </c>
      <c r="DN48" s="39">
        <f ca="1" t="shared" si="17"/>
        <v>1</v>
      </c>
      <c r="DO48" s="39">
        <f ca="1" t="shared" si="18"/>
        <v>1</v>
      </c>
      <c r="DP48" s="39">
        <f ca="1" t="shared" si="19"/>
        <v>1</v>
      </c>
      <c r="DQ48" s="39">
        <f ca="1" t="shared" si="20"/>
        <v>1</v>
      </c>
      <c r="DR48" s="39">
        <f ca="1" t="shared" si="21"/>
        <v>1</v>
      </c>
      <c r="DS48" s="39">
        <f ca="1" t="shared" si="22"/>
        <v>1</v>
      </c>
      <c r="DT48" s="39">
        <f ca="1" t="shared" si="23"/>
        <v>1</v>
      </c>
      <c r="DU48" s="39">
        <f ca="1" t="shared" si="24"/>
        <v>1</v>
      </c>
      <c r="DV48" s="39">
        <f ca="1" t="shared" si="25"/>
        <v>1</v>
      </c>
      <c r="DW48" s="39">
        <f ca="1" t="shared" si="26"/>
        <v>1</v>
      </c>
      <c r="DX48" s="39">
        <f ca="1" t="shared" si="27"/>
        <v>1</v>
      </c>
      <c r="DY48" s="39">
        <f ca="1" t="shared" si="28"/>
        <v>1</v>
      </c>
      <c r="DZ48" s="39">
        <f ca="1" t="shared" si="29"/>
        <v>1</v>
      </c>
      <c r="EA48" s="39">
        <f ca="1" t="shared" si="30"/>
        <v>1</v>
      </c>
      <c r="EB48" s="39">
        <f ca="1" t="shared" si="31"/>
        <v>1</v>
      </c>
      <c r="EC48" s="39">
        <f ca="1" t="shared" si="32"/>
        <v>1</v>
      </c>
      <c r="ED48" s="39">
        <f ca="1" t="shared" si="33"/>
        <v>1</v>
      </c>
      <c r="EE48" s="39">
        <f ca="1" t="shared" si="34"/>
        <v>1</v>
      </c>
      <c r="EF48" s="39">
        <f ca="1" t="shared" si="35"/>
        <v>1</v>
      </c>
      <c r="EG48" s="39">
        <f ca="1" t="shared" si="36"/>
        <v>1</v>
      </c>
      <c r="EH48" s="39">
        <f ca="1" t="shared" si="37"/>
        <v>1</v>
      </c>
      <c r="EI48" s="39">
        <f ca="1" t="shared" si="38"/>
        <v>1</v>
      </c>
      <c r="EJ48" s="39">
        <f ca="1" t="shared" si="39"/>
        <v>1</v>
      </c>
      <c r="EK48" s="39">
        <f ca="1" t="shared" si="40"/>
        <v>1</v>
      </c>
      <c r="EL48" s="39">
        <f ca="1" t="shared" si="41"/>
        <v>1</v>
      </c>
      <c r="EM48" s="39">
        <f ca="1" t="shared" si="42"/>
        <v>1</v>
      </c>
      <c r="EN48" s="39">
        <f ca="1" t="shared" si="43"/>
        <v>1</v>
      </c>
      <c r="EO48" s="39">
        <f ca="1" t="shared" si="44"/>
        <v>1</v>
      </c>
      <c r="EP48" s="39">
        <f ca="1" t="shared" si="45"/>
        <v>1</v>
      </c>
      <c r="EQ48" s="39">
        <f ca="1" t="shared" si="46"/>
        <v>1</v>
      </c>
      <c r="ER48" s="39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4" t="str">
        <f t="shared" si="48"/>
        <v>TT</v>
      </c>
      <c r="D49" s="55" t="s">
        <v>192</v>
      </c>
      <c r="E49" s="55" t="s">
        <v>193</v>
      </c>
      <c r="F49" s="56" t="str">
        <f t="shared" si="74"/>
        <v>Liquified Petroleum Gases</v>
      </c>
      <c r="G49" s="54" t="s">
        <v>194</v>
      </c>
      <c r="H49" s="57">
        <f ca="1">OFFSET(TIAM15_assumptions!$G49,0,MATCH(VLOOKUP(Assumptions!H$2,TIAM15_assumptions!$Y$3:$Z$87,2,FALSE),TIAM15_assumptions!$H$2:$V$2,0))</f>
        <v>1</v>
      </c>
      <c r="I49" s="57">
        <f ca="1">OFFSET(TIAM15_assumptions!$G49,0,MATCH(VLOOKUP(Assumptions!I$2,TIAM15_assumptions!$Y$3:$Z$87,2,FALSE),TIAM15_assumptions!$H$2:$V$2,0))</f>
        <v>1</v>
      </c>
      <c r="J49" s="57">
        <f ca="1">OFFSET(TIAM15_assumptions!$G49,0,MATCH(VLOOKUP(Assumptions!J$2,TIAM15_assumptions!$Y$3:$Z$87,2,FALSE),TIAM15_assumptions!$H$2:$V$2,0))</f>
        <v>0.5</v>
      </c>
      <c r="K49" s="57">
        <f ca="1">OFFSET(TIAM15_assumptions!$G49,0,MATCH(VLOOKUP(Assumptions!K$2,TIAM15_assumptions!$Y$3:$Z$87,2,FALSE),TIAM15_assumptions!$H$2:$V$2,0))</f>
        <v>1</v>
      </c>
      <c r="L49" s="57">
        <f ca="1">OFFSET(TIAM15_assumptions!$G49,0,MATCH(VLOOKUP(Assumptions!L$2,TIAM15_assumptions!$Y$3:$Z$87,2,FALSE),TIAM15_assumptions!$H$2:$V$2,0))</f>
        <v>1</v>
      </c>
      <c r="M49" s="57">
        <f ca="1">OFFSET(TIAM15_assumptions!$G49,0,MATCH(VLOOKUP(Assumptions!M$2,TIAM15_assumptions!$Y$3:$Z$87,2,FALSE),TIAM15_assumptions!$H$2:$V$2,0))</f>
        <v>1</v>
      </c>
      <c r="N49" s="57">
        <f ca="1">OFFSET(TIAM15_assumptions!$G49,0,MATCH(VLOOKUP(Assumptions!N$2,TIAM15_assumptions!$Y$3:$Z$87,2,FALSE),TIAM15_assumptions!$H$2:$V$2,0))</f>
        <v>1</v>
      </c>
      <c r="O49" s="57">
        <f ca="1">OFFSET(TIAM15_assumptions!$G49,0,MATCH(VLOOKUP(Assumptions!O$2,TIAM15_assumptions!$Y$3:$Z$87,2,FALSE),TIAM15_assumptions!$H$2:$V$2,0))</f>
        <v>0.5</v>
      </c>
      <c r="P49" s="57">
        <f ca="1">OFFSET(TIAM15_assumptions!$G49,0,MATCH(VLOOKUP(Assumptions!P$2,TIAM15_assumptions!$Y$3:$Z$87,2,FALSE),TIAM15_assumptions!$H$2:$V$2,0))</f>
        <v>1</v>
      </c>
      <c r="Q49" s="57">
        <f ca="1">OFFSET(TIAM15_assumptions!$G49,0,MATCH(VLOOKUP(Assumptions!Q$2,TIAM15_assumptions!$Y$3:$Z$87,2,FALSE),TIAM15_assumptions!$H$2:$V$2,0))</f>
        <v>1</v>
      </c>
      <c r="R49" s="57">
        <f ca="1">OFFSET(TIAM15_assumptions!$G49,0,MATCH(VLOOKUP(Assumptions!R$2,TIAM15_assumptions!$Y$3:$Z$87,2,FALSE),TIAM15_assumptions!$H$2:$V$2,0))</f>
        <v>1</v>
      </c>
      <c r="S49" s="57">
        <f ca="1">OFFSET(TIAM15_assumptions!$G49,0,MATCH(VLOOKUP(Assumptions!S$2,TIAM15_assumptions!$Y$3:$Z$87,2,FALSE),TIAM15_assumptions!$H$2:$V$2,0))</f>
        <v>1</v>
      </c>
      <c r="T49" s="57">
        <f ca="1">OFFSET(TIAM15_assumptions!$G49,0,MATCH(VLOOKUP(Assumptions!T$2,TIAM15_assumptions!$Y$3:$Z$87,2,FALSE),TIAM15_assumptions!$H$2:$V$2,0))</f>
        <v>1</v>
      </c>
      <c r="U49" s="57">
        <f ca="1">OFFSET(TIAM15_assumptions!$G49,0,MATCH(VLOOKUP(Assumptions!U$2,TIAM15_assumptions!$Y$3:$Z$87,2,FALSE),TIAM15_assumptions!$H$2:$V$2,0))</f>
        <v>1</v>
      </c>
      <c r="V49" s="57">
        <f ca="1">OFFSET(TIAM15_assumptions!$G49,0,MATCH(VLOOKUP(Assumptions!V$2,TIAM15_assumptions!$Y$3:$Z$87,2,FALSE),TIAM15_assumptions!$H$2:$V$2,0))</f>
        <v>1</v>
      </c>
      <c r="W49" s="57">
        <f ca="1">OFFSET(TIAM15_assumptions!$G49,0,MATCH(VLOOKUP(Assumptions!W$2,TIAM15_assumptions!$Y$3:$Z$87,2,FALSE),TIAM15_assumptions!$H$2:$V$2,0))</f>
        <v>0.5</v>
      </c>
      <c r="X49" s="57">
        <f ca="1">OFFSET(TIAM15_assumptions!$G49,0,MATCH(VLOOKUP(Assumptions!X$2,TIAM15_assumptions!$Y$3:$Z$87,2,FALSE),TIAM15_assumptions!$H$2:$V$2,0))</f>
        <v>1</v>
      </c>
      <c r="Y49" s="57">
        <f ca="1">OFFSET(TIAM15_assumptions!$G49,0,MATCH(VLOOKUP(Assumptions!Y$2,TIAM15_assumptions!$Y$3:$Z$87,2,FALSE),TIAM15_assumptions!$H$2:$V$2,0))</f>
        <v>1</v>
      </c>
      <c r="Z49" s="57">
        <f ca="1">OFFSET(TIAM15_assumptions!$G49,0,MATCH(VLOOKUP(Assumptions!Z$2,TIAM15_assumptions!$Y$3:$Z$87,2,FALSE),TIAM15_assumptions!$H$2:$V$2,0))</f>
        <v>0.07</v>
      </c>
      <c r="AA49" s="57">
        <f ca="1">OFFSET(TIAM15_assumptions!$G49,0,MATCH(VLOOKUP(Assumptions!AA$2,TIAM15_assumptions!$Y$3:$Z$87,2,FALSE),TIAM15_assumptions!$H$2:$V$2,0))</f>
        <v>1</v>
      </c>
      <c r="AB49" s="57">
        <f ca="1">OFFSET(TIAM15_assumptions!$G49,0,MATCH(VLOOKUP(Assumptions!AB$2,TIAM15_assumptions!$Y$3:$Z$87,2,FALSE),TIAM15_assumptions!$H$2:$V$2,0))</f>
        <v>1</v>
      </c>
      <c r="AC49" s="57">
        <f ca="1">OFFSET(TIAM15_assumptions!$G49,0,MATCH(VLOOKUP(Assumptions!AC$2,TIAM15_assumptions!$Y$3:$Z$87,2,FALSE),TIAM15_assumptions!$H$2:$V$2,0))</f>
        <v>0.5</v>
      </c>
      <c r="AD49" s="57">
        <f ca="1">OFFSET(TIAM15_assumptions!$G49,0,MATCH(VLOOKUP(Assumptions!AD$2,TIAM15_assumptions!$Y$3:$Z$87,2,FALSE),TIAM15_assumptions!$H$2:$V$2,0))</f>
        <v>1</v>
      </c>
      <c r="AE49" s="57">
        <f ca="1">OFFSET(TIAM15_assumptions!$G49,0,MATCH(VLOOKUP(Assumptions!AE$2,TIAM15_assumptions!$Y$3:$Z$87,2,FALSE),TIAM15_assumptions!$H$2:$V$2,0))</f>
        <v>1</v>
      </c>
      <c r="AF49" s="57">
        <f ca="1">OFFSET(TIAM15_assumptions!$G49,0,MATCH(VLOOKUP(Assumptions!AF$2,TIAM15_assumptions!$Y$3:$Z$87,2,FALSE),TIAM15_assumptions!$H$2:$V$2,0))</f>
        <v>0.5</v>
      </c>
      <c r="AG49" s="57">
        <f ca="1">OFFSET(TIAM15_assumptions!$G49,0,MATCH(VLOOKUP(Assumptions!AG$2,TIAM15_assumptions!$Y$3:$Z$87,2,FALSE),TIAM15_assumptions!$H$2:$V$2,0))</f>
        <v>1</v>
      </c>
      <c r="AH49" s="57">
        <f ca="1">OFFSET(TIAM15_assumptions!$G49,0,MATCH(VLOOKUP(Assumptions!AH$2,TIAM15_assumptions!$Y$3:$Z$87,2,FALSE),TIAM15_assumptions!$H$2:$V$2,0))</f>
        <v>1</v>
      </c>
      <c r="AI49" s="57">
        <f ca="1">OFFSET(TIAM15_assumptions!$G49,0,MATCH(VLOOKUP(Assumptions!AI$2,TIAM15_assumptions!$Y$3:$Z$87,2,FALSE),TIAM15_assumptions!$H$2:$V$2,0))</f>
        <v>1</v>
      </c>
      <c r="AJ49" s="57">
        <f ca="1">OFFSET(TIAM15_assumptions!$G49,0,MATCH(VLOOKUP(Assumptions!AJ$2,TIAM15_assumptions!$Y$3:$Z$87,2,FALSE),TIAM15_assumptions!$H$2:$V$2,0))</f>
        <v>1</v>
      </c>
      <c r="AK49" s="57">
        <f ca="1">OFFSET(TIAM15_assumptions!$G49,0,MATCH(VLOOKUP(Assumptions!AK$2,TIAM15_assumptions!$Y$3:$Z$87,2,FALSE),TIAM15_assumptions!$H$2:$V$2,0))</f>
        <v>1</v>
      </c>
      <c r="AL49" s="57">
        <f ca="1">OFFSET(TIAM15_assumptions!$G49,0,MATCH(VLOOKUP(Assumptions!AL$2,TIAM15_assumptions!$Y$3:$Z$87,2,FALSE),TIAM15_assumptions!$H$2:$V$2,0))</f>
        <v>1</v>
      </c>
      <c r="AM49" s="57">
        <f ca="1">OFFSET(TIAM15_assumptions!$G49,0,MATCH(VLOOKUP(Assumptions!AM$2,TIAM15_assumptions!$Y$3:$Z$87,2,FALSE),TIAM15_assumptions!$H$2:$V$2,0))</f>
        <v>1</v>
      </c>
      <c r="AN49" s="57">
        <f ca="1">OFFSET(TIAM15_assumptions!$G49,0,MATCH(VLOOKUP(Assumptions!AN$2,TIAM15_assumptions!$Y$3:$Z$87,2,FALSE),TIAM15_assumptions!$H$2:$V$2,0))</f>
        <v>1</v>
      </c>
      <c r="AO49" s="57">
        <f ca="1">OFFSET(TIAM15_assumptions!$G49,0,MATCH(VLOOKUP(Assumptions!AO$2,TIAM15_assumptions!$Y$3:$Z$87,2,FALSE),TIAM15_assumptions!$H$2:$V$2,0))</f>
        <v>1</v>
      </c>
      <c r="AP49" s="57">
        <f ca="1">OFFSET(TIAM15_assumptions!$G49,0,MATCH(VLOOKUP(Assumptions!AP$2,TIAM15_assumptions!$Y$3:$Z$87,2,FALSE),TIAM15_assumptions!$H$2:$V$2,0))</f>
        <v>1</v>
      </c>
      <c r="AQ49" s="57">
        <f ca="1">OFFSET(TIAM15_assumptions!$G49,0,MATCH(VLOOKUP(Assumptions!AQ$2,TIAM15_assumptions!$Y$3:$Z$87,2,FALSE),TIAM15_assumptions!$H$2:$V$2,0))</f>
        <v>0.5</v>
      </c>
      <c r="AR49" s="57">
        <f ca="1">OFFSET(TIAM15_assumptions!$G49,0,MATCH(VLOOKUP(Assumptions!AR$2,TIAM15_assumptions!$Y$3:$Z$87,2,FALSE),TIAM15_assumptions!$H$2:$V$2,0))</f>
        <v>0.5</v>
      </c>
      <c r="AS49" s="57">
        <f ca="1">OFFSET(TIAM15_assumptions!$G49,0,MATCH(VLOOKUP(Assumptions!AS$2,TIAM15_assumptions!$Y$3:$Z$87,2,FALSE),TIAM15_assumptions!$H$2:$V$2,0))</f>
        <v>0.5</v>
      </c>
      <c r="AT49" s="57">
        <f ca="1">OFFSET(TIAM15_assumptions!$G49,0,MATCH(VLOOKUP(Assumptions!AT$2,TIAM15_assumptions!$Y$3:$Z$87,2,FALSE),TIAM15_assumptions!$H$2:$V$2,0))</f>
        <v>0.5</v>
      </c>
      <c r="AU49" s="57">
        <f ca="1">OFFSET(TIAM15_assumptions!$G49,0,MATCH(VLOOKUP(Assumptions!AU$2,TIAM15_assumptions!$Y$3:$Z$87,2,FALSE),TIAM15_assumptions!$H$2:$V$2,0))</f>
        <v>0.5</v>
      </c>
      <c r="AV49" s="57">
        <f ca="1">OFFSET(TIAM15_assumptions!$G49,0,MATCH(VLOOKUP(Assumptions!AV$2,TIAM15_assumptions!$Y$3:$Z$87,2,FALSE),TIAM15_assumptions!$H$2:$V$2,0))</f>
        <v>0.5</v>
      </c>
      <c r="AW49" s="57">
        <f ca="1">OFFSET(TIAM15_assumptions!$G49,0,MATCH(VLOOKUP(Assumptions!AW$2,TIAM15_assumptions!$Y$3:$Z$87,2,FALSE),TIAM15_assumptions!$H$2:$V$2,0))</f>
        <v>0.5</v>
      </c>
      <c r="AX49" s="57">
        <f ca="1">OFFSET(TIAM15_assumptions!$G49,0,MATCH(VLOOKUP(Assumptions!AX$2,TIAM15_assumptions!$Y$3:$Z$87,2,FALSE),TIAM15_assumptions!$H$2:$V$2,0))</f>
        <v>0.5</v>
      </c>
      <c r="AY49" s="57">
        <f ca="1">OFFSET(TIAM15_assumptions!$G49,0,MATCH(VLOOKUP(Assumptions!AY$2,TIAM15_assumptions!$Y$3:$Z$87,2,FALSE),TIAM15_assumptions!$H$2:$V$2,0))</f>
        <v>0.5</v>
      </c>
      <c r="AZ49" s="57">
        <f ca="1">OFFSET(TIAM15_assumptions!$G49,0,MATCH(VLOOKUP(Assumptions!AZ$2,TIAM15_assumptions!$Y$3:$Z$87,2,FALSE),TIAM15_assumptions!$H$2:$V$2,0))</f>
        <v>0.5</v>
      </c>
      <c r="BA49" s="57">
        <f ca="1">OFFSET(TIAM15_assumptions!$G49,0,MATCH(VLOOKUP(Assumptions!BA$2,TIAM15_assumptions!$Y$3:$Z$87,2,FALSE),TIAM15_assumptions!$H$2:$V$2,0))</f>
        <v>0.5</v>
      </c>
      <c r="BD49" s="40">
        <f ca="1">IFERROR(SUMIFS('TRA balance'!E$5:E$40,'TRA balance'!$C$5:$C$40,Assumptions!$C49,'TRA balance'!$D$5:$D$40,Assumptions!$B49)*CY49*H49,"")</f>
        <v>0</v>
      </c>
      <c r="BE49" s="40">
        <f ca="1">IFERROR(SUMIFS('TRA balance'!F$5:F$40,'TRA balance'!$C$5:$C$40,Assumptions!$C49,'TRA balance'!$D$5:$D$40,Assumptions!$B49)*CZ49*I49,"")</f>
        <v>0</v>
      </c>
      <c r="BF49" s="40">
        <f ca="1">IFERROR(SUMIFS('TRA balance'!G$5:G$40,'TRA balance'!$C$5:$C$40,Assumptions!$C49,'TRA balance'!$D$5:$D$40,Assumptions!$B49)*DA49*J49,"")</f>
        <v>0</v>
      </c>
      <c r="BG49" s="40">
        <f ca="1">IFERROR(SUMIFS('TRA balance'!H$5:H$40,'TRA balance'!$C$5:$C$40,Assumptions!$C49,'TRA balance'!$D$5:$D$40,Assumptions!$B49)*DB49*K49,"")</f>
        <v>0</v>
      </c>
      <c r="BH49" s="40">
        <f ca="1">IFERROR(SUMIFS('TRA balance'!I$5:I$40,'TRA balance'!$C$5:$C$40,Assumptions!$C49,'TRA balance'!$D$5:$D$40,Assumptions!$B49)*DC49*L49,"")</f>
        <v>0</v>
      </c>
      <c r="BI49" s="40">
        <f ca="1">IFERROR(SUMIFS('TRA balance'!J$5:J$40,'TRA balance'!$C$5:$C$40,Assumptions!$C49,'TRA balance'!$D$5:$D$40,Assumptions!$B49)*DD49*M49,"")</f>
        <v>0</v>
      </c>
      <c r="BJ49" s="40">
        <f ca="1">IFERROR(SUMIFS('TRA balance'!K$5:K$40,'TRA balance'!$C$5:$C$40,Assumptions!$C49,'TRA balance'!$D$5:$D$40,Assumptions!$B49)*DE49*N49,"")</f>
        <v>0</v>
      </c>
      <c r="BK49" s="40">
        <f ca="1">IFERROR(SUMIFS('TRA balance'!L$5:L$40,'TRA balance'!$C$5:$C$40,Assumptions!$C49,'TRA balance'!$D$5:$D$40,Assumptions!$B49)*DF49*O49,"")</f>
        <v>0</v>
      </c>
      <c r="BL49" s="40">
        <f ca="1">IFERROR(SUMIFS('TRA balance'!M$5:M$40,'TRA balance'!$C$5:$C$40,Assumptions!$C49,'TRA balance'!$D$5:$D$40,Assumptions!$B49)*DG49*P49,"")</f>
        <v>0</v>
      </c>
      <c r="BM49" s="40">
        <f ca="1">IFERROR(SUMIFS('TRA balance'!N$5:N$40,'TRA balance'!$C$5:$C$40,Assumptions!$C49,'TRA balance'!$D$5:$D$40,Assumptions!$B49)*DH49*Q49,"")</f>
        <v>0</v>
      </c>
      <c r="BN49" s="40">
        <f ca="1">IFERROR(SUMIFS('TRA balance'!O$5:O$40,'TRA balance'!$C$5:$C$40,Assumptions!$C49,'TRA balance'!$D$5:$D$40,Assumptions!$B49)*DI49*R49,"")</f>
        <v>0</v>
      </c>
      <c r="BO49" s="40">
        <f ca="1">IFERROR(SUMIFS('TRA balance'!P$5:P$40,'TRA balance'!$C$5:$C$40,Assumptions!$C49,'TRA balance'!$D$5:$D$40,Assumptions!$B49)*DJ49*S49,"")</f>
        <v>0</v>
      </c>
      <c r="BP49" s="40">
        <f ca="1">IFERROR(SUMIFS('TRA balance'!Q$5:Q$40,'TRA balance'!$C$5:$C$40,Assumptions!$C49,'TRA balance'!$D$5:$D$40,Assumptions!$B49)*DK49*T49,"")</f>
        <v>0</v>
      </c>
      <c r="BQ49" s="40">
        <f ca="1">IFERROR(SUMIFS('TRA balance'!R$5:R$40,'TRA balance'!$C$5:$C$40,Assumptions!$C49,'TRA balance'!$D$5:$D$40,Assumptions!$B49)*DL49*U49,"")</f>
        <v>0</v>
      </c>
      <c r="BR49" s="40">
        <f ca="1">IFERROR(SUMIFS('TRA balance'!S$5:S$40,'TRA balance'!$C$5:$C$40,Assumptions!$C49,'TRA balance'!$D$5:$D$40,Assumptions!$B49)*DM49*V49,"")</f>
        <v>0</v>
      </c>
      <c r="BS49" s="40">
        <f ca="1">IFERROR(SUMIFS('TRA balance'!T$5:T$40,'TRA balance'!$C$5:$C$40,Assumptions!$C49,'TRA balance'!$D$5:$D$40,Assumptions!$B49)*DN49*W49,"")</f>
        <v>0</v>
      </c>
      <c r="BT49" s="40">
        <f ca="1">IFERROR(SUMIFS('TRA balance'!U$5:U$40,'TRA balance'!$C$5:$C$40,Assumptions!$C49,'TRA balance'!$D$5:$D$40,Assumptions!$B49)*DO49*X49,"")</f>
        <v>0</v>
      </c>
      <c r="BU49" s="40">
        <f ca="1">IFERROR(SUMIFS('TRA balance'!V$5:V$40,'TRA balance'!$C$5:$C$40,Assumptions!$C49,'TRA balance'!$D$5:$D$40,Assumptions!$B49)*DP49*Y49,"")</f>
        <v>0</v>
      </c>
      <c r="BV49" s="40">
        <f ca="1">IFERROR(SUMIFS('TRA balance'!W$5:W$40,'TRA balance'!$C$5:$C$40,Assumptions!$C49,'TRA balance'!$D$5:$D$40,Assumptions!$B49)*DQ49*Z49,"")</f>
        <v>0</v>
      </c>
      <c r="BW49" s="40">
        <f ca="1">IFERROR(SUMIFS('TRA balance'!X$5:X$40,'TRA balance'!$C$5:$C$40,Assumptions!$C49,'TRA balance'!$D$5:$D$40,Assumptions!$B49)*DR49*AA49,"")</f>
        <v>0</v>
      </c>
      <c r="BX49" s="40">
        <f ca="1">IFERROR(SUMIFS('TRA balance'!Y$5:Y$40,'TRA balance'!$C$5:$C$40,Assumptions!$C49,'TRA balance'!$D$5:$D$40,Assumptions!$B49)*DS49*AB49,"")</f>
        <v>0</v>
      </c>
      <c r="BY49" s="40">
        <f ca="1">IFERROR(SUMIFS('TRA balance'!Z$5:Z$40,'TRA balance'!$C$5:$C$40,Assumptions!$C49,'TRA balance'!$D$5:$D$40,Assumptions!$B49)*DT49*AC49,"")</f>
        <v>0</v>
      </c>
      <c r="BZ49" s="40">
        <f ca="1">IFERROR(SUMIFS('TRA balance'!AA$5:AA$40,'TRA balance'!$C$5:$C$40,Assumptions!$C49,'TRA balance'!$D$5:$D$40,Assumptions!$B49)*DU49*AD49,"")</f>
        <v>0</v>
      </c>
      <c r="CA49" s="40">
        <f ca="1">IFERROR(SUMIFS('TRA balance'!AB$5:AB$40,'TRA balance'!$C$5:$C$40,Assumptions!$C49,'TRA balance'!$D$5:$D$40,Assumptions!$B49)*DV49*AE49,"")</f>
        <v>0</v>
      </c>
      <c r="CB49" s="40">
        <f ca="1">IFERROR(SUMIFS('TRA balance'!AC$5:AC$40,'TRA balance'!$C$5:$C$40,Assumptions!$C49,'TRA balance'!$D$5:$D$40,Assumptions!$B49)*DW49*AF49,"")</f>
        <v>0</v>
      </c>
      <c r="CC49" s="40">
        <f ca="1">IFERROR(SUMIFS('TRA balance'!AD$5:AD$40,'TRA balance'!$C$5:$C$40,Assumptions!$C49,'TRA balance'!$D$5:$D$40,Assumptions!$B49)*DX49*AG49,"")</f>
        <v>0</v>
      </c>
      <c r="CD49" s="40">
        <f ca="1">IFERROR(SUMIFS('TRA balance'!AE$5:AE$40,'TRA balance'!$C$5:$C$40,Assumptions!$C49,'TRA balance'!$D$5:$D$40,Assumptions!$B49)*DY49*AH49,"")</f>
        <v>0</v>
      </c>
      <c r="CE49" s="40">
        <f ca="1">IFERROR(SUMIFS('TRA balance'!AF$5:AF$40,'TRA balance'!$C$5:$C$40,Assumptions!$C49,'TRA balance'!$D$5:$D$40,Assumptions!$B49)*DZ49*AI49,"")</f>
        <v>0</v>
      </c>
      <c r="CF49" s="40">
        <f ca="1">IFERROR(SUMIFS('TRA balance'!AG$5:AG$40,'TRA balance'!$C$5:$C$40,Assumptions!$C49,'TRA balance'!$D$5:$D$40,Assumptions!$B49)*EA49*AJ49,"")</f>
        <v>0</v>
      </c>
      <c r="CG49" s="40">
        <f ca="1">IFERROR(SUMIFS('TRA balance'!AH$5:AH$40,'TRA balance'!$C$5:$C$40,Assumptions!$C49,'TRA balance'!$D$5:$D$40,Assumptions!$B49)*EB49*AK49,"")</f>
        <v>0</v>
      </c>
      <c r="CH49" s="40">
        <f ca="1">IFERROR(SUMIFS('TRA balance'!AI$5:AI$40,'TRA balance'!$C$5:$C$40,Assumptions!$C49,'TRA balance'!$D$5:$D$40,Assumptions!$B49)*EC49*AL49,"")</f>
        <v>0</v>
      </c>
      <c r="CI49" s="40">
        <f ca="1">IFERROR(SUMIFS('TRA balance'!AJ$5:AJ$40,'TRA balance'!$C$5:$C$40,Assumptions!$C49,'TRA balance'!$D$5:$D$40,Assumptions!$B49)*ED49*AM49,"")</f>
        <v>0</v>
      </c>
      <c r="CJ49" s="40">
        <f ca="1">IFERROR(SUMIFS('TRA balance'!AK$5:AK$40,'TRA balance'!$C$5:$C$40,Assumptions!$C49,'TRA balance'!$D$5:$D$40,Assumptions!$B49)*EE49*AN49,"")</f>
        <v>0</v>
      </c>
      <c r="CK49" s="40">
        <f ca="1">IFERROR(SUMIFS('TRA balance'!AL$5:AL$40,'TRA balance'!$C$5:$C$40,Assumptions!$C49,'TRA balance'!$D$5:$D$40,Assumptions!$B49)*EF49*AO49,"")</f>
        <v>0</v>
      </c>
      <c r="CL49" s="40">
        <f ca="1">IFERROR(SUMIFS('TRA balance'!AM$5:AM$40,'TRA balance'!$C$5:$C$40,Assumptions!$C49,'TRA balance'!$D$5:$D$40,Assumptions!$B49)*EG49*AP49,"")</f>
        <v>0</v>
      </c>
      <c r="CM49" s="40">
        <f ca="1">IFERROR(SUMIFS('TRA balance'!AN$5:AN$40,'TRA balance'!$C$5:$C$40,Assumptions!$C49,'TRA balance'!$D$5:$D$40,Assumptions!$B49)*EH49*AQ49,"")</f>
        <v>0</v>
      </c>
      <c r="CN49" s="40">
        <f ca="1">IFERROR(SUMIFS('TRA balance'!AO$5:AO$40,'TRA balance'!$C$5:$C$40,Assumptions!$C49,'TRA balance'!$D$5:$D$40,Assumptions!$B49)*EI49*AR49,"")</f>
        <v>0</v>
      </c>
      <c r="CO49" s="40">
        <f ca="1">IFERROR(SUMIFS('TRA balance'!AP$5:AP$40,'TRA balance'!$C$5:$C$40,Assumptions!$C49,'TRA balance'!$D$5:$D$40,Assumptions!$B49)*EJ49*AS49,"")</f>
        <v>0</v>
      </c>
      <c r="CP49" s="40">
        <f ca="1">IFERROR(SUMIFS('TRA balance'!AQ$5:AQ$40,'TRA balance'!$C$5:$C$40,Assumptions!$C49,'TRA balance'!$D$5:$D$40,Assumptions!$B49)*EK49*AT49,"")</f>
        <v>0</v>
      </c>
      <c r="CQ49" s="40">
        <f ca="1">IFERROR(SUMIFS('TRA balance'!AR$5:AR$40,'TRA balance'!$C$5:$C$40,Assumptions!$C49,'TRA balance'!$D$5:$D$40,Assumptions!$B49)*EL49*AU49,"")</f>
        <v>0</v>
      </c>
      <c r="CR49" s="40">
        <f ca="1">IFERROR(SUMIFS('TRA balance'!AS$5:AS$40,'TRA balance'!$C$5:$C$40,Assumptions!$C49,'TRA balance'!$D$5:$D$40,Assumptions!$B49)*EM49*AV49,"")</f>
        <v>0</v>
      </c>
      <c r="CS49" s="40">
        <f ca="1">IFERROR(SUMIFS('TRA balance'!AT$5:AT$40,'TRA balance'!$C$5:$C$40,Assumptions!$C49,'TRA balance'!$D$5:$D$40,Assumptions!$B49)*EN49*AW49,"")</f>
        <v>0</v>
      </c>
      <c r="CT49" s="40">
        <f ca="1">IFERROR(SUMIFS('TRA balance'!AU$5:AU$40,'TRA balance'!$C$5:$C$40,Assumptions!$C49,'TRA balance'!$D$5:$D$40,Assumptions!$B49)*EO49*AX49,"")</f>
        <v>0</v>
      </c>
      <c r="CU49" s="40">
        <f ca="1">IFERROR(SUMIFS('TRA balance'!AV$5:AV$40,'TRA balance'!$C$5:$C$40,Assumptions!$C49,'TRA balance'!$D$5:$D$40,Assumptions!$B49)*EP49*AY49,"")</f>
        <v>0</v>
      </c>
      <c r="CV49" s="40">
        <f ca="1">IFERROR(SUMIFS('TRA balance'!AW$5:AW$40,'TRA balance'!$C$5:$C$40,Assumptions!$C49,'TRA balance'!$D$5:$D$40,Assumptions!$B49)*EQ49*AZ49,"")</f>
        <v>0</v>
      </c>
      <c r="CW49" s="40">
        <f ca="1">IFERROR(SUMIFS('TRA balance'!AX$5:AX$40,'TRA balance'!$C$5:$C$40,Assumptions!$C49,'TRA balance'!$D$5:$D$40,Assumptions!$B49)*ER49*BA49,"")</f>
        <v>0</v>
      </c>
      <c r="CY49" s="39">
        <f ca="1" t="shared" si="66"/>
        <v>1</v>
      </c>
      <c r="CZ49" s="39">
        <f ca="1" t="shared" si="3"/>
        <v>1</v>
      </c>
      <c r="DA49" s="39">
        <f ca="1" t="shared" si="4"/>
        <v>1</v>
      </c>
      <c r="DB49" s="39">
        <f ca="1" t="shared" si="5"/>
        <v>1</v>
      </c>
      <c r="DC49" s="39">
        <f ca="1" t="shared" si="6"/>
        <v>1</v>
      </c>
      <c r="DD49" s="39">
        <f ca="1" t="shared" si="7"/>
        <v>1</v>
      </c>
      <c r="DE49" s="39">
        <f ca="1" t="shared" si="8"/>
        <v>1</v>
      </c>
      <c r="DF49" s="39">
        <f ca="1" t="shared" si="9"/>
        <v>1</v>
      </c>
      <c r="DG49" s="39">
        <f ca="1" t="shared" si="10"/>
        <v>1</v>
      </c>
      <c r="DH49" s="39">
        <f ca="1" t="shared" si="11"/>
        <v>1</v>
      </c>
      <c r="DI49" s="39">
        <f ca="1" t="shared" si="12"/>
        <v>1</v>
      </c>
      <c r="DJ49" s="39">
        <f ca="1" t="shared" si="13"/>
        <v>1</v>
      </c>
      <c r="DK49" s="39">
        <f ca="1" t="shared" si="14"/>
        <v>1</v>
      </c>
      <c r="DL49" s="39">
        <f ca="1" t="shared" si="15"/>
        <v>1</v>
      </c>
      <c r="DM49" s="39">
        <f ca="1" t="shared" si="16"/>
        <v>1</v>
      </c>
      <c r="DN49" s="39">
        <f ca="1" t="shared" si="17"/>
        <v>1</v>
      </c>
      <c r="DO49" s="39">
        <f ca="1" t="shared" si="18"/>
        <v>1</v>
      </c>
      <c r="DP49" s="39">
        <f ca="1" t="shared" si="19"/>
        <v>1</v>
      </c>
      <c r="DQ49" s="39">
        <f ca="1" t="shared" si="20"/>
        <v>1</v>
      </c>
      <c r="DR49" s="39">
        <f ca="1" t="shared" si="21"/>
        <v>1</v>
      </c>
      <c r="DS49" s="39">
        <f ca="1" t="shared" si="22"/>
        <v>1</v>
      </c>
      <c r="DT49" s="39">
        <f ca="1" t="shared" si="23"/>
        <v>1</v>
      </c>
      <c r="DU49" s="39">
        <f ca="1" t="shared" si="24"/>
        <v>1</v>
      </c>
      <c r="DV49" s="39">
        <f ca="1" t="shared" si="25"/>
        <v>1</v>
      </c>
      <c r="DW49" s="39">
        <f ca="1" t="shared" si="26"/>
        <v>1</v>
      </c>
      <c r="DX49" s="39">
        <f ca="1" t="shared" si="27"/>
        <v>1</v>
      </c>
      <c r="DY49" s="39">
        <f ca="1" t="shared" si="28"/>
        <v>1</v>
      </c>
      <c r="DZ49" s="39">
        <f ca="1" t="shared" si="29"/>
        <v>1</v>
      </c>
      <c r="EA49" s="39">
        <f ca="1" t="shared" si="30"/>
        <v>1</v>
      </c>
      <c r="EB49" s="39">
        <f ca="1" t="shared" si="31"/>
        <v>1</v>
      </c>
      <c r="EC49" s="39">
        <f ca="1" t="shared" si="32"/>
        <v>1</v>
      </c>
      <c r="ED49" s="39">
        <f ca="1" t="shared" si="33"/>
        <v>1</v>
      </c>
      <c r="EE49" s="39">
        <f ca="1" t="shared" si="34"/>
        <v>1</v>
      </c>
      <c r="EF49" s="39">
        <f ca="1" t="shared" si="35"/>
        <v>1</v>
      </c>
      <c r="EG49" s="39">
        <f ca="1" t="shared" si="36"/>
        <v>1</v>
      </c>
      <c r="EH49" s="39">
        <f ca="1" t="shared" si="37"/>
        <v>1</v>
      </c>
      <c r="EI49" s="39">
        <f ca="1" t="shared" si="38"/>
        <v>1</v>
      </c>
      <c r="EJ49" s="39">
        <f ca="1" t="shared" si="39"/>
        <v>1</v>
      </c>
      <c r="EK49" s="39">
        <f ca="1" t="shared" si="40"/>
        <v>1</v>
      </c>
      <c r="EL49" s="39">
        <f ca="1" t="shared" si="41"/>
        <v>1</v>
      </c>
      <c r="EM49" s="39">
        <f ca="1" t="shared" si="42"/>
        <v>1</v>
      </c>
      <c r="EN49" s="39">
        <f ca="1" t="shared" si="43"/>
        <v>1</v>
      </c>
      <c r="EO49" s="39">
        <f ca="1" t="shared" si="44"/>
        <v>1</v>
      </c>
      <c r="EP49" s="39">
        <f ca="1" t="shared" si="45"/>
        <v>1</v>
      </c>
      <c r="EQ49" s="39">
        <f ca="1" t="shared" si="46"/>
        <v>1</v>
      </c>
      <c r="ER49" s="39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4" t="str">
        <f t="shared" si="48"/>
        <v>TT</v>
      </c>
      <c r="D50" s="55" t="s">
        <v>192</v>
      </c>
      <c r="E50" s="55" t="s">
        <v>197</v>
      </c>
      <c r="F50" s="56" t="str">
        <f t="shared" si="74"/>
        <v>Liquified Petroleum Gases</v>
      </c>
      <c r="G50" s="54" t="s">
        <v>198</v>
      </c>
      <c r="H50" s="57">
        <f ca="1">OFFSET(TIAM15_assumptions!$G50,0,MATCH(VLOOKUP(Assumptions!H$2,TIAM15_assumptions!$Y$3:$Z$87,2,FALSE),TIAM15_assumptions!$H$2:$V$2,0))</f>
        <v>0</v>
      </c>
      <c r="I50" s="57">
        <f ca="1">OFFSET(TIAM15_assumptions!$G50,0,MATCH(VLOOKUP(Assumptions!I$2,TIAM15_assumptions!$Y$3:$Z$87,2,FALSE),TIAM15_assumptions!$H$2:$V$2,0))</f>
        <v>0</v>
      </c>
      <c r="J50" s="57">
        <f ca="1">OFFSET(TIAM15_assumptions!$G50,0,MATCH(VLOOKUP(Assumptions!J$2,TIAM15_assumptions!$Y$3:$Z$87,2,FALSE),TIAM15_assumptions!$H$2:$V$2,0))</f>
        <v>0.5</v>
      </c>
      <c r="K50" s="57">
        <f ca="1">OFFSET(TIAM15_assumptions!$G50,0,MATCH(VLOOKUP(Assumptions!K$2,TIAM15_assumptions!$Y$3:$Z$87,2,FALSE),TIAM15_assumptions!$H$2:$V$2,0))</f>
        <v>0</v>
      </c>
      <c r="L50" s="57">
        <f ca="1">OFFSET(TIAM15_assumptions!$G50,0,MATCH(VLOOKUP(Assumptions!L$2,TIAM15_assumptions!$Y$3:$Z$87,2,FALSE),TIAM15_assumptions!$H$2:$V$2,0))</f>
        <v>0</v>
      </c>
      <c r="M50" s="57">
        <f ca="1">OFFSET(TIAM15_assumptions!$G50,0,MATCH(VLOOKUP(Assumptions!M$2,TIAM15_assumptions!$Y$3:$Z$87,2,FALSE),TIAM15_assumptions!$H$2:$V$2,0))</f>
        <v>0</v>
      </c>
      <c r="N50" s="57">
        <f ca="1">OFFSET(TIAM15_assumptions!$G50,0,MATCH(VLOOKUP(Assumptions!N$2,TIAM15_assumptions!$Y$3:$Z$87,2,FALSE),TIAM15_assumptions!$H$2:$V$2,0))</f>
        <v>0</v>
      </c>
      <c r="O50" s="57">
        <f ca="1">OFFSET(TIAM15_assumptions!$G50,0,MATCH(VLOOKUP(Assumptions!O$2,TIAM15_assumptions!$Y$3:$Z$87,2,FALSE),TIAM15_assumptions!$H$2:$V$2,0))</f>
        <v>0.5</v>
      </c>
      <c r="P50" s="57">
        <f ca="1">OFFSET(TIAM15_assumptions!$G50,0,MATCH(VLOOKUP(Assumptions!P$2,TIAM15_assumptions!$Y$3:$Z$87,2,FALSE),TIAM15_assumptions!$H$2:$V$2,0))</f>
        <v>0</v>
      </c>
      <c r="Q50" s="57">
        <f ca="1">OFFSET(TIAM15_assumptions!$G50,0,MATCH(VLOOKUP(Assumptions!Q$2,TIAM15_assumptions!$Y$3:$Z$87,2,FALSE),TIAM15_assumptions!$H$2:$V$2,0))</f>
        <v>0</v>
      </c>
      <c r="R50" s="57">
        <f ca="1">OFFSET(TIAM15_assumptions!$G50,0,MATCH(VLOOKUP(Assumptions!R$2,TIAM15_assumptions!$Y$3:$Z$87,2,FALSE),TIAM15_assumptions!$H$2:$V$2,0))</f>
        <v>0</v>
      </c>
      <c r="S50" s="57">
        <f ca="1">OFFSET(TIAM15_assumptions!$G50,0,MATCH(VLOOKUP(Assumptions!S$2,TIAM15_assumptions!$Y$3:$Z$87,2,FALSE),TIAM15_assumptions!$H$2:$V$2,0))</f>
        <v>0</v>
      </c>
      <c r="T50" s="57">
        <f ca="1">OFFSET(TIAM15_assumptions!$G50,0,MATCH(VLOOKUP(Assumptions!T$2,TIAM15_assumptions!$Y$3:$Z$87,2,FALSE),TIAM15_assumptions!$H$2:$V$2,0))</f>
        <v>0</v>
      </c>
      <c r="U50" s="57">
        <f ca="1">OFFSET(TIAM15_assumptions!$G50,0,MATCH(VLOOKUP(Assumptions!U$2,TIAM15_assumptions!$Y$3:$Z$87,2,FALSE),TIAM15_assumptions!$H$2:$V$2,0))</f>
        <v>0</v>
      </c>
      <c r="V50" s="57">
        <f ca="1">OFFSET(TIAM15_assumptions!$G50,0,MATCH(VLOOKUP(Assumptions!V$2,TIAM15_assumptions!$Y$3:$Z$87,2,FALSE),TIAM15_assumptions!$H$2:$V$2,0))</f>
        <v>0</v>
      </c>
      <c r="W50" s="57">
        <f ca="1">OFFSET(TIAM15_assumptions!$G50,0,MATCH(VLOOKUP(Assumptions!W$2,TIAM15_assumptions!$Y$3:$Z$87,2,FALSE),TIAM15_assumptions!$H$2:$V$2,0))</f>
        <v>0.5</v>
      </c>
      <c r="X50" s="57">
        <f ca="1">OFFSET(TIAM15_assumptions!$G50,0,MATCH(VLOOKUP(Assumptions!X$2,TIAM15_assumptions!$Y$3:$Z$87,2,FALSE),TIAM15_assumptions!$H$2:$V$2,0))</f>
        <v>0</v>
      </c>
      <c r="Y50" s="57">
        <f ca="1">OFFSET(TIAM15_assumptions!$G50,0,MATCH(VLOOKUP(Assumptions!Y$2,TIAM15_assumptions!$Y$3:$Z$87,2,FALSE),TIAM15_assumptions!$H$2:$V$2,0))</f>
        <v>0</v>
      </c>
      <c r="Z50" s="57">
        <f ca="1">OFFSET(TIAM15_assumptions!$G50,0,MATCH(VLOOKUP(Assumptions!Z$2,TIAM15_assumptions!$Y$3:$Z$87,2,FALSE),TIAM15_assumptions!$H$2:$V$2,0))</f>
        <v>0.93</v>
      </c>
      <c r="AA50" s="57">
        <f ca="1">OFFSET(TIAM15_assumptions!$G50,0,MATCH(VLOOKUP(Assumptions!AA$2,TIAM15_assumptions!$Y$3:$Z$87,2,FALSE),TIAM15_assumptions!$H$2:$V$2,0))</f>
        <v>0</v>
      </c>
      <c r="AB50" s="57">
        <f ca="1">OFFSET(TIAM15_assumptions!$G50,0,MATCH(VLOOKUP(Assumptions!AB$2,TIAM15_assumptions!$Y$3:$Z$87,2,FALSE),TIAM15_assumptions!$H$2:$V$2,0))</f>
        <v>0</v>
      </c>
      <c r="AC50" s="57">
        <f ca="1">OFFSET(TIAM15_assumptions!$G50,0,MATCH(VLOOKUP(Assumptions!AC$2,TIAM15_assumptions!$Y$3:$Z$87,2,FALSE),TIAM15_assumptions!$H$2:$V$2,0))</f>
        <v>0.5</v>
      </c>
      <c r="AD50" s="57">
        <f ca="1">OFFSET(TIAM15_assumptions!$G50,0,MATCH(VLOOKUP(Assumptions!AD$2,TIAM15_assumptions!$Y$3:$Z$87,2,FALSE),TIAM15_assumptions!$H$2:$V$2,0))</f>
        <v>0</v>
      </c>
      <c r="AE50" s="57">
        <f ca="1">OFFSET(TIAM15_assumptions!$G50,0,MATCH(VLOOKUP(Assumptions!AE$2,TIAM15_assumptions!$Y$3:$Z$87,2,FALSE),TIAM15_assumptions!$H$2:$V$2,0))</f>
        <v>0</v>
      </c>
      <c r="AF50" s="57">
        <f ca="1">OFFSET(TIAM15_assumptions!$G50,0,MATCH(VLOOKUP(Assumptions!AF$2,TIAM15_assumptions!$Y$3:$Z$87,2,FALSE),TIAM15_assumptions!$H$2:$V$2,0))</f>
        <v>0.5</v>
      </c>
      <c r="AG50" s="57">
        <f ca="1">OFFSET(TIAM15_assumptions!$G50,0,MATCH(VLOOKUP(Assumptions!AG$2,TIAM15_assumptions!$Y$3:$Z$87,2,FALSE),TIAM15_assumptions!$H$2:$V$2,0))</f>
        <v>0</v>
      </c>
      <c r="AH50" s="57">
        <f ca="1">OFFSET(TIAM15_assumptions!$G50,0,MATCH(VLOOKUP(Assumptions!AH$2,TIAM15_assumptions!$Y$3:$Z$87,2,FALSE),TIAM15_assumptions!$H$2:$V$2,0))</f>
        <v>0</v>
      </c>
      <c r="AI50" s="57">
        <f ca="1">OFFSET(TIAM15_assumptions!$G50,0,MATCH(VLOOKUP(Assumptions!AI$2,TIAM15_assumptions!$Y$3:$Z$87,2,FALSE),TIAM15_assumptions!$H$2:$V$2,0))</f>
        <v>0</v>
      </c>
      <c r="AJ50" s="57">
        <f ca="1">OFFSET(TIAM15_assumptions!$G50,0,MATCH(VLOOKUP(Assumptions!AJ$2,TIAM15_assumptions!$Y$3:$Z$87,2,FALSE),TIAM15_assumptions!$H$2:$V$2,0))</f>
        <v>0</v>
      </c>
      <c r="AK50" s="57">
        <f ca="1">OFFSET(TIAM15_assumptions!$G50,0,MATCH(VLOOKUP(Assumptions!AK$2,TIAM15_assumptions!$Y$3:$Z$87,2,FALSE),TIAM15_assumptions!$H$2:$V$2,0))</f>
        <v>0</v>
      </c>
      <c r="AL50" s="57">
        <f ca="1">OFFSET(TIAM15_assumptions!$G50,0,MATCH(VLOOKUP(Assumptions!AL$2,TIAM15_assumptions!$Y$3:$Z$87,2,FALSE),TIAM15_assumptions!$H$2:$V$2,0))</f>
        <v>0</v>
      </c>
      <c r="AM50" s="57">
        <f ca="1">OFFSET(TIAM15_assumptions!$G50,0,MATCH(VLOOKUP(Assumptions!AM$2,TIAM15_assumptions!$Y$3:$Z$87,2,FALSE),TIAM15_assumptions!$H$2:$V$2,0))</f>
        <v>0</v>
      </c>
      <c r="AN50" s="57">
        <f ca="1">OFFSET(TIAM15_assumptions!$G50,0,MATCH(VLOOKUP(Assumptions!AN$2,TIAM15_assumptions!$Y$3:$Z$87,2,FALSE),TIAM15_assumptions!$H$2:$V$2,0))</f>
        <v>0</v>
      </c>
      <c r="AO50" s="57">
        <f ca="1">OFFSET(TIAM15_assumptions!$G50,0,MATCH(VLOOKUP(Assumptions!AO$2,TIAM15_assumptions!$Y$3:$Z$87,2,FALSE),TIAM15_assumptions!$H$2:$V$2,0))</f>
        <v>0</v>
      </c>
      <c r="AP50" s="57">
        <f ca="1">OFFSET(TIAM15_assumptions!$G50,0,MATCH(VLOOKUP(Assumptions!AP$2,TIAM15_assumptions!$Y$3:$Z$87,2,FALSE),TIAM15_assumptions!$H$2:$V$2,0))</f>
        <v>0</v>
      </c>
      <c r="AQ50" s="57">
        <f ca="1">OFFSET(TIAM15_assumptions!$G50,0,MATCH(VLOOKUP(Assumptions!AQ$2,TIAM15_assumptions!$Y$3:$Z$87,2,FALSE),TIAM15_assumptions!$H$2:$V$2,0))</f>
        <v>0.5</v>
      </c>
      <c r="AR50" s="57">
        <f ca="1">OFFSET(TIAM15_assumptions!$G50,0,MATCH(VLOOKUP(Assumptions!AR$2,TIAM15_assumptions!$Y$3:$Z$87,2,FALSE),TIAM15_assumptions!$H$2:$V$2,0))</f>
        <v>0.5</v>
      </c>
      <c r="AS50" s="57">
        <f ca="1">OFFSET(TIAM15_assumptions!$G50,0,MATCH(VLOOKUP(Assumptions!AS$2,TIAM15_assumptions!$Y$3:$Z$87,2,FALSE),TIAM15_assumptions!$H$2:$V$2,0))</f>
        <v>0.5</v>
      </c>
      <c r="AT50" s="57">
        <f ca="1">OFFSET(TIAM15_assumptions!$G50,0,MATCH(VLOOKUP(Assumptions!AT$2,TIAM15_assumptions!$Y$3:$Z$87,2,FALSE),TIAM15_assumptions!$H$2:$V$2,0))</f>
        <v>0.5</v>
      </c>
      <c r="AU50" s="57">
        <f ca="1">OFFSET(TIAM15_assumptions!$G50,0,MATCH(VLOOKUP(Assumptions!AU$2,TIAM15_assumptions!$Y$3:$Z$87,2,FALSE),TIAM15_assumptions!$H$2:$V$2,0))</f>
        <v>0.5</v>
      </c>
      <c r="AV50" s="57">
        <f ca="1">OFFSET(TIAM15_assumptions!$G50,0,MATCH(VLOOKUP(Assumptions!AV$2,TIAM15_assumptions!$Y$3:$Z$87,2,FALSE),TIAM15_assumptions!$H$2:$V$2,0))</f>
        <v>0.5</v>
      </c>
      <c r="AW50" s="57">
        <f ca="1">OFFSET(TIAM15_assumptions!$G50,0,MATCH(VLOOKUP(Assumptions!AW$2,TIAM15_assumptions!$Y$3:$Z$87,2,FALSE),TIAM15_assumptions!$H$2:$V$2,0))</f>
        <v>0.5</v>
      </c>
      <c r="AX50" s="57">
        <f ca="1">OFFSET(TIAM15_assumptions!$G50,0,MATCH(VLOOKUP(Assumptions!AX$2,TIAM15_assumptions!$Y$3:$Z$87,2,FALSE),TIAM15_assumptions!$H$2:$V$2,0))</f>
        <v>0.5</v>
      </c>
      <c r="AY50" s="57">
        <f ca="1">OFFSET(TIAM15_assumptions!$G50,0,MATCH(VLOOKUP(Assumptions!AY$2,TIAM15_assumptions!$Y$3:$Z$87,2,FALSE),TIAM15_assumptions!$H$2:$V$2,0))</f>
        <v>0.5</v>
      </c>
      <c r="AZ50" s="57">
        <f ca="1">OFFSET(TIAM15_assumptions!$G50,0,MATCH(VLOOKUP(Assumptions!AZ$2,TIAM15_assumptions!$Y$3:$Z$87,2,FALSE),TIAM15_assumptions!$H$2:$V$2,0))</f>
        <v>0.5</v>
      </c>
      <c r="BA50" s="57">
        <f ca="1">OFFSET(TIAM15_assumptions!$G50,0,MATCH(VLOOKUP(Assumptions!BA$2,TIAM15_assumptions!$Y$3:$Z$87,2,FALSE),TIAM15_assumptions!$H$2:$V$2,0))</f>
        <v>0.5</v>
      </c>
      <c r="BD50" s="40">
        <f ca="1">IFERROR(SUMIFS('TRA balance'!E$5:E$40,'TRA balance'!$C$5:$C$40,Assumptions!$C50,'TRA balance'!$D$5:$D$40,Assumptions!$B50)*CY50*H50,"")</f>
        <v>0</v>
      </c>
      <c r="BE50" s="40">
        <f ca="1">IFERROR(SUMIFS('TRA balance'!F$5:F$40,'TRA balance'!$C$5:$C$40,Assumptions!$C50,'TRA balance'!$D$5:$D$40,Assumptions!$B50)*CZ50*I50,"")</f>
        <v>0</v>
      </c>
      <c r="BF50" s="40">
        <f ca="1">IFERROR(SUMIFS('TRA balance'!G$5:G$40,'TRA balance'!$C$5:$C$40,Assumptions!$C50,'TRA balance'!$D$5:$D$40,Assumptions!$B50)*DA50*J50,"")</f>
        <v>0</v>
      </c>
      <c r="BG50" s="40">
        <f ca="1">IFERROR(SUMIFS('TRA balance'!H$5:H$40,'TRA balance'!$C$5:$C$40,Assumptions!$C50,'TRA balance'!$D$5:$D$40,Assumptions!$B50)*DB50*K50,"")</f>
        <v>0</v>
      </c>
      <c r="BH50" s="40">
        <f ca="1">IFERROR(SUMIFS('TRA balance'!I$5:I$40,'TRA balance'!$C$5:$C$40,Assumptions!$C50,'TRA balance'!$D$5:$D$40,Assumptions!$B50)*DC50*L50,"")</f>
        <v>0</v>
      </c>
      <c r="BI50" s="40">
        <f ca="1">IFERROR(SUMIFS('TRA balance'!J$5:J$40,'TRA balance'!$C$5:$C$40,Assumptions!$C50,'TRA balance'!$D$5:$D$40,Assumptions!$B50)*DD50*M50,"")</f>
        <v>0</v>
      </c>
      <c r="BJ50" s="40">
        <f ca="1">IFERROR(SUMIFS('TRA balance'!K$5:K$40,'TRA balance'!$C$5:$C$40,Assumptions!$C50,'TRA balance'!$D$5:$D$40,Assumptions!$B50)*DE50*N50,"")</f>
        <v>0</v>
      </c>
      <c r="BK50" s="40">
        <f ca="1">IFERROR(SUMIFS('TRA balance'!L$5:L$40,'TRA balance'!$C$5:$C$40,Assumptions!$C50,'TRA balance'!$D$5:$D$40,Assumptions!$B50)*DF50*O50,"")</f>
        <v>0</v>
      </c>
      <c r="BL50" s="40">
        <f ca="1">IFERROR(SUMIFS('TRA balance'!M$5:M$40,'TRA balance'!$C$5:$C$40,Assumptions!$C50,'TRA balance'!$D$5:$D$40,Assumptions!$B50)*DG50*P50,"")</f>
        <v>0</v>
      </c>
      <c r="BM50" s="40">
        <f ca="1">IFERROR(SUMIFS('TRA balance'!N$5:N$40,'TRA balance'!$C$5:$C$40,Assumptions!$C50,'TRA balance'!$D$5:$D$40,Assumptions!$B50)*DH50*Q50,"")</f>
        <v>0</v>
      </c>
      <c r="BN50" s="40">
        <f ca="1">IFERROR(SUMIFS('TRA balance'!O$5:O$40,'TRA balance'!$C$5:$C$40,Assumptions!$C50,'TRA balance'!$D$5:$D$40,Assumptions!$B50)*DI50*R50,"")</f>
        <v>0</v>
      </c>
      <c r="BO50" s="40">
        <f ca="1">IFERROR(SUMIFS('TRA balance'!P$5:P$40,'TRA balance'!$C$5:$C$40,Assumptions!$C50,'TRA balance'!$D$5:$D$40,Assumptions!$B50)*DJ50*S50,"")</f>
        <v>0</v>
      </c>
      <c r="BP50" s="40">
        <f ca="1">IFERROR(SUMIFS('TRA balance'!Q$5:Q$40,'TRA balance'!$C$5:$C$40,Assumptions!$C50,'TRA balance'!$D$5:$D$40,Assumptions!$B50)*DK50*T50,"")</f>
        <v>0</v>
      </c>
      <c r="BQ50" s="40">
        <f ca="1">IFERROR(SUMIFS('TRA balance'!R$5:R$40,'TRA balance'!$C$5:$C$40,Assumptions!$C50,'TRA balance'!$D$5:$D$40,Assumptions!$B50)*DL50*U50,"")</f>
        <v>0</v>
      </c>
      <c r="BR50" s="40">
        <f ca="1">IFERROR(SUMIFS('TRA balance'!S$5:S$40,'TRA balance'!$C$5:$C$40,Assumptions!$C50,'TRA balance'!$D$5:$D$40,Assumptions!$B50)*DM50*V50,"")</f>
        <v>0</v>
      </c>
      <c r="BS50" s="40">
        <f ca="1">IFERROR(SUMIFS('TRA balance'!T$5:T$40,'TRA balance'!$C$5:$C$40,Assumptions!$C50,'TRA balance'!$D$5:$D$40,Assumptions!$B50)*DN50*W50,"")</f>
        <v>0</v>
      </c>
      <c r="BT50" s="40">
        <f ca="1">IFERROR(SUMIFS('TRA balance'!U$5:U$40,'TRA balance'!$C$5:$C$40,Assumptions!$C50,'TRA balance'!$D$5:$D$40,Assumptions!$B50)*DO50*X50,"")</f>
        <v>0</v>
      </c>
      <c r="BU50" s="40">
        <f ca="1">IFERROR(SUMIFS('TRA balance'!V$5:V$40,'TRA balance'!$C$5:$C$40,Assumptions!$C50,'TRA balance'!$D$5:$D$40,Assumptions!$B50)*DP50*Y50,"")</f>
        <v>0</v>
      </c>
      <c r="BV50" s="40">
        <f ca="1">IFERROR(SUMIFS('TRA balance'!W$5:W$40,'TRA balance'!$C$5:$C$40,Assumptions!$C50,'TRA balance'!$D$5:$D$40,Assumptions!$B50)*DQ50*Z50,"")</f>
        <v>0</v>
      </c>
      <c r="BW50" s="40">
        <f ca="1">IFERROR(SUMIFS('TRA balance'!X$5:X$40,'TRA balance'!$C$5:$C$40,Assumptions!$C50,'TRA balance'!$D$5:$D$40,Assumptions!$B50)*DR50*AA50,"")</f>
        <v>0</v>
      </c>
      <c r="BX50" s="40">
        <f ca="1">IFERROR(SUMIFS('TRA balance'!Y$5:Y$40,'TRA balance'!$C$5:$C$40,Assumptions!$C50,'TRA balance'!$D$5:$D$40,Assumptions!$B50)*DS50*AB50,"")</f>
        <v>0</v>
      </c>
      <c r="BY50" s="40">
        <f ca="1">IFERROR(SUMIFS('TRA balance'!Z$5:Z$40,'TRA balance'!$C$5:$C$40,Assumptions!$C50,'TRA balance'!$D$5:$D$40,Assumptions!$B50)*DT50*AC50,"")</f>
        <v>0</v>
      </c>
      <c r="BZ50" s="40">
        <f ca="1">IFERROR(SUMIFS('TRA balance'!AA$5:AA$40,'TRA balance'!$C$5:$C$40,Assumptions!$C50,'TRA balance'!$D$5:$D$40,Assumptions!$B50)*DU50*AD50,"")</f>
        <v>0</v>
      </c>
      <c r="CA50" s="40">
        <f ca="1">IFERROR(SUMIFS('TRA balance'!AB$5:AB$40,'TRA balance'!$C$5:$C$40,Assumptions!$C50,'TRA balance'!$D$5:$D$40,Assumptions!$B50)*DV50*AE50,"")</f>
        <v>0</v>
      </c>
      <c r="CB50" s="40">
        <f ca="1">IFERROR(SUMIFS('TRA balance'!AC$5:AC$40,'TRA balance'!$C$5:$C$40,Assumptions!$C50,'TRA balance'!$D$5:$D$40,Assumptions!$B50)*DW50*AF50,"")</f>
        <v>0</v>
      </c>
      <c r="CC50" s="40">
        <f ca="1">IFERROR(SUMIFS('TRA balance'!AD$5:AD$40,'TRA balance'!$C$5:$C$40,Assumptions!$C50,'TRA balance'!$D$5:$D$40,Assumptions!$B50)*DX50*AG50,"")</f>
        <v>0</v>
      </c>
      <c r="CD50" s="40">
        <f ca="1">IFERROR(SUMIFS('TRA balance'!AE$5:AE$40,'TRA balance'!$C$5:$C$40,Assumptions!$C50,'TRA balance'!$D$5:$D$40,Assumptions!$B50)*DY50*AH50,"")</f>
        <v>0</v>
      </c>
      <c r="CE50" s="40">
        <f ca="1">IFERROR(SUMIFS('TRA balance'!AF$5:AF$40,'TRA balance'!$C$5:$C$40,Assumptions!$C50,'TRA balance'!$D$5:$D$40,Assumptions!$B50)*DZ50*AI50,"")</f>
        <v>0</v>
      </c>
      <c r="CF50" s="40">
        <f ca="1">IFERROR(SUMIFS('TRA balance'!AG$5:AG$40,'TRA balance'!$C$5:$C$40,Assumptions!$C50,'TRA balance'!$D$5:$D$40,Assumptions!$B50)*EA50*AJ50,"")</f>
        <v>0</v>
      </c>
      <c r="CG50" s="40">
        <f ca="1">IFERROR(SUMIFS('TRA balance'!AH$5:AH$40,'TRA balance'!$C$5:$C$40,Assumptions!$C50,'TRA balance'!$D$5:$D$40,Assumptions!$B50)*EB50*AK50,"")</f>
        <v>0</v>
      </c>
      <c r="CH50" s="40">
        <f ca="1">IFERROR(SUMIFS('TRA balance'!AI$5:AI$40,'TRA balance'!$C$5:$C$40,Assumptions!$C50,'TRA balance'!$D$5:$D$40,Assumptions!$B50)*EC50*AL50,"")</f>
        <v>0</v>
      </c>
      <c r="CI50" s="40">
        <f ca="1">IFERROR(SUMIFS('TRA balance'!AJ$5:AJ$40,'TRA balance'!$C$5:$C$40,Assumptions!$C50,'TRA balance'!$D$5:$D$40,Assumptions!$B50)*ED50*AM50,"")</f>
        <v>0</v>
      </c>
      <c r="CJ50" s="40">
        <f ca="1">IFERROR(SUMIFS('TRA balance'!AK$5:AK$40,'TRA balance'!$C$5:$C$40,Assumptions!$C50,'TRA balance'!$D$5:$D$40,Assumptions!$B50)*EE50*AN50,"")</f>
        <v>0</v>
      </c>
      <c r="CK50" s="40">
        <f ca="1">IFERROR(SUMIFS('TRA balance'!AL$5:AL$40,'TRA balance'!$C$5:$C$40,Assumptions!$C50,'TRA balance'!$D$5:$D$40,Assumptions!$B50)*EF50*AO50,"")</f>
        <v>0</v>
      </c>
      <c r="CL50" s="40">
        <f ca="1">IFERROR(SUMIFS('TRA balance'!AM$5:AM$40,'TRA balance'!$C$5:$C$40,Assumptions!$C50,'TRA balance'!$D$5:$D$40,Assumptions!$B50)*EG50*AP50,"")</f>
        <v>0</v>
      </c>
      <c r="CM50" s="40">
        <f ca="1">IFERROR(SUMIFS('TRA balance'!AN$5:AN$40,'TRA balance'!$C$5:$C$40,Assumptions!$C50,'TRA balance'!$D$5:$D$40,Assumptions!$B50)*EH50*AQ50,"")</f>
        <v>0</v>
      </c>
      <c r="CN50" s="40">
        <f ca="1">IFERROR(SUMIFS('TRA balance'!AO$5:AO$40,'TRA balance'!$C$5:$C$40,Assumptions!$C50,'TRA balance'!$D$5:$D$40,Assumptions!$B50)*EI50*AR50,"")</f>
        <v>0</v>
      </c>
      <c r="CO50" s="40">
        <f ca="1">IFERROR(SUMIFS('TRA balance'!AP$5:AP$40,'TRA balance'!$C$5:$C$40,Assumptions!$C50,'TRA balance'!$D$5:$D$40,Assumptions!$B50)*EJ50*AS50,"")</f>
        <v>0</v>
      </c>
      <c r="CP50" s="40">
        <f ca="1">IFERROR(SUMIFS('TRA balance'!AQ$5:AQ$40,'TRA balance'!$C$5:$C$40,Assumptions!$C50,'TRA balance'!$D$5:$D$40,Assumptions!$B50)*EK50*AT50,"")</f>
        <v>0</v>
      </c>
      <c r="CQ50" s="40">
        <f ca="1">IFERROR(SUMIFS('TRA balance'!AR$5:AR$40,'TRA balance'!$C$5:$C$40,Assumptions!$C50,'TRA balance'!$D$5:$D$40,Assumptions!$B50)*EL50*AU50,"")</f>
        <v>0</v>
      </c>
      <c r="CR50" s="40">
        <f ca="1">IFERROR(SUMIFS('TRA balance'!AS$5:AS$40,'TRA balance'!$C$5:$C$40,Assumptions!$C50,'TRA balance'!$D$5:$D$40,Assumptions!$B50)*EM50*AV50,"")</f>
        <v>0</v>
      </c>
      <c r="CS50" s="40">
        <f ca="1">IFERROR(SUMIFS('TRA balance'!AT$5:AT$40,'TRA balance'!$C$5:$C$40,Assumptions!$C50,'TRA balance'!$D$5:$D$40,Assumptions!$B50)*EN50*AW50,"")</f>
        <v>0</v>
      </c>
      <c r="CT50" s="40">
        <f ca="1">IFERROR(SUMIFS('TRA balance'!AU$5:AU$40,'TRA balance'!$C$5:$C$40,Assumptions!$C50,'TRA balance'!$D$5:$D$40,Assumptions!$B50)*EO50*AX50,"")</f>
        <v>0</v>
      </c>
      <c r="CU50" s="40">
        <f ca="1">IFERROR(SUMIFS('TRA balance'!AV$5:AV$40,'TRA balance'!$C$5:$C$40,Assumptions!$C50,'TRA balance'!$D$5:$D$40,Assumptions!$B50)*EP50*AY50,"")</f>
        <v>0</v>
      </c>
      <c r="CV50" s="40">
        <f ca="1">IFERROR(SUMIFS('TRA balance'!AW$5:AW$40,'TRA balance'!$C$5:$C$40,Assumptions!$C50,'TRA balance'!$D$5:$D$40,Assumptions!$B50)*EQ50*AZ50,"")</f>
        <v>0</v>
      </c>
      <c r="CW50" s="40">
        <f ca="1">IFERROR(SUMIFS('TRA balance'!AX$5:AX$40,'TRA balance'!$C$5:$C$40,Assumptions!$C50,'TRA balance'!$D$5:$D$40,Assumptions!$B50)*ER50*BA50,"")</f>
        <v>0</v>
      </c>
      <c r="CY50" s="39">
        <f ca="1" t="shared" si="66"/>
        <v>1</v>
      </c>
      <c r="CZ50" s="39">
        <f ca="1" t="shared" si="3"/>
        <v>1</v>
      </c>
      <c r="DA50" s="39">
        <f ca="1" t="shared" si="4"/>
        <v>1</v>
      </c>
      <c r="DB50" s="39">
        <f ca="1" t="shared" si="5"/>
        <v>1</v>
      </c>
      <c r="DC50" s="39">
        <f ca="1" t="shared" si="6"/>
        <v>1</v>
      </c>
      <c r="DD50" s="39">
        <f ca="1" t="shared" si="7"/>
        <v>1</v>
      </c>
      <c r="DE50" s="39">
        <f ca="1" t="shared" si="8"/>
        <v>1</v>
      </c>
      <c r="DF50" s="39">
        <f ca="1" t="shared" si="9"/>
        <v>1</v>
      </c>
      <c r="DG50" s="39">
        <f ca="1" t="shared" si="10"/>
        <v>1</v>
      </c>
      <c r="DH50" s="39">
        <f ca="1" t="shared" si="11"/>
        <v>1</v>
      </c>
      <c r="DI50" s="39">
        <f ca="1" t="shared" si="12"/>
        <v>1</v>
      </c>
      <c r="DJ50" s="39">
        <f ca="1" t="shared" si="13"/>
        <v>1</v>
      </c>
      <c r="DK50" s="39">
        <f ca="1" t="shared" si="14"/>
        <v>1</v>
      </c>
      <c r="DL50" s="39">
        <f ca="1" t="shared" si="15"/>
        <v>1</v>
      </c>
      <c r="DM50" s="39">
        <f ca="1" t="shared" si="16"/>
        <v>1</v>
      </c>
      <c r="DN50" s="39">
        <f ca="1" t="shared" si="17"/>
        <v>1</v>
      </c>
      <c r="DO50" s="39">
        <f ca="1" t="shared" si="18"/>
        <v>1</v>
      </c>
      <c r="DP50" s="39">
        <f ca="1" t="shared" si="19"/>
        <v>1</v>
      </c>
      <c r="DQ50" s="39">
        <f ca="1" t="shared" si="20"/>
        <v>1</v>
      </c>
      <c r="DR50" s="39">
        <f ca="1" t="shared" si="21"/>
        <v>1</v>
      </c>
      <c r="DS50" s="39">
        <f ca="1" t="shared" si="22"/>
        <v>1</v>
      </c>
      <c r="DT50" s="39">
        <f ca="1" t="shared" si="23"/>
        <v>1</v>
      </c>
      <c r="DU50" s="39">
        <f ca="1" t="shared" si="24"/>
        <v>1</v>
      </c>
      <c r="DV50" s="39">
        <f ca="1" t="shared" si="25"/>
        <v>1</v>
      </c>
      <c r="DW50" s="39">
        <f ca="1" t="shared" si="26"/>
        <v>1</v>
      </c>
      <c r="DX50" s="39">
        <f ca="1" t="shared" si="27"/>
        <v>1</v>
      </c>
      <c r="DY50" s="39">
        <f ca="1" t="shared" si="28"/>
        <v>1</v>
      </c>
      <c r="DZ50" s="39">
        <f ca="1" t="shared" si="29"/>
        <v>1</v>
      </c>
      <c r="EA50" s="39">
        <f ca="1" t="shared" si="30"/>
        <v>1</v>
      </c>
      <c r="EB50" s="39">
        <f ca="1" t="shared" si="31"/>
        <v>1</v>
      </c>
      <c r="EC50" s="39">
        <f ca="1" t="shared" si="32"/>
        <v>1</v>
      </c>
      <c r="ED50" s="39">
        <f ca="1" t="shared" si="33"/>
        <v>1</v>
      </c>
      <c r="EE50" s="39">
        <f ca="1" t="shared" si="34"/>
        <v>1</v>
      </c>
      <c r="EF50" s="39">
        <f ca="1" t="shared" si="35"/>
        <v>1</v>
      </c>
      <c r="EG50" s="39">
        <f ca="1" t="shared" si="36"/>
        <v>1</v>
      </c>
      <c r="EH50" s="39">
        <f ca="1" t="shared" si="37"/>
        <v>1</v>
      </c>
      <c r="EI50" s="39">
        <f ca="1" t="shared" si="38"/>
        <v>1</v>
      </c>
      <c r="EJ50" s="39">
        <f ca="1" t="shared" si="39"/>
        <v>1</v>
      </c>
      <c r="EK50" s="39">
        <f ca="1" t="shared" si="40"/>
        <v>1</v>
      </c>
      <c r="EL50" s="39">
        <f ca="1" t="shared" si="41"/>
        <v>1</v>
      </c>
      <c r="EM50" s="39">
        <f ca="1" t="shared" si="42"/>
        <v>1</v>
      </c>
      <c r="EN50" s="39">
        <f ca="1" t="shared" si="43"/>
        <v>1</v>
      </c>
      <c r="EO50" s="39">
        <f ca="1" t="shared" si="44"/>
        <v>1</v>
      </c>
      <c r="EP50" s="39">
        <f ca="1" t="shared" si="45"/>
        <v>1</v>
      </c>
      <c r="EQ50" s="39">
        <f ca="1" t="shared" si="46"/>
        <v>1</v>
      </c>
      <c r="ER50" s="39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8"/>
      <c r="D51" s="58"/>
      <c r="E51" s="59" t="s">
        <v>199</v>
      </c>
      <c r="F51" s="60" t="str">
        <f t="shared" si="74"/>
        <v>Liquified Petroleum Gases</v>
      </c>
      <c r="G51" s="58"/>
      <c r="H51" s="59" t="str">
        <f ca="1" t="shared" ref="H51" si="76">IF(SUM(H49:H50)=1,"-","&lt;&gt;1!!")</f>
        <v>-</v>
      </c>
      <c r="I51" s="59" t="str">
        <f ca="1" t="shared" ref="I51:BA51" si="77">IF(SUM(I49:I50)=1,"-","&lt;&gt;1!!")</f>
        <v>-</v>
      </c>
      <c r="J51" s="59" t="str">
        <f ca="1" t="shared" si="77"/>
        <v>-</v>
      </c>
      <c r="K51" s="59" t="str">
        <f ca="1" t="shared" si="77"/>
        <v>-</v>
      </c>
      <c r="L51" s="59" t="str">
        <f ca="1" t="shared" si="77"/>
        <v>-</v>
      </c>
      <c r="M51" s="59" t="str">
        <f ca="1" t="shared" si="77"/>
        <v>-</v>
      </c>
      <c r="N51" s="59" t="str">
        <f ca="1" t="shared" si="77"/>
        <v>-</v>
      </c>
      <c r="O51" s="59" t="str">
        <f ca="1" t="shared" si="77"/>
        <v>-</v>
      </c>
      <c r="P51" s="59" t="str">
        <f ca="1" t="shared" si="77"/>
        <v>-</v>
      </c>
      <c r="Q51" s="59" t="str">
        <f ca="1" t="shared" si="77"/>
        <v>-</v>
      </c>
      <c r="R51" s="59" t="str">
        <f ca="1" t="shared" si="77"/>
        <v>-</v>
      </c>
      <c r="S51" s="59" t="str">
        <f ca="1" t="shared" si="77"/>
        <v>-</v>
      </c>
      <c r="T51" s="59" t="str">
        <f ca="1" t="shared" si="77"/>
        <v>-</v>
      </c>
      <c r="U51" s="59" t="str">
        <f ca="1" t="shared" si="77"/>
        <v>-</v>
      </c>
      <c r="V51" s="59" t="str">
        <f ca="1" t="shared" si="77"/>
        <v>-</v>
      </c>
      <c r="W51" s="59" t="str">
        <f ca="1" t="shared" si="77"/>
        <v>-</v>
      </c>
      <c r="X51" s="59" t="str">
        <f ca="1" t="shared" si="77"/>
        <v>-</v>
      </c>
      <c r="Y51" s="59" t="str">
        <f ca="1" t="shared" si="77"/>
        <v>-</v>
      </c>
      <c r="Z51" s="59" t="str">
        <f ca="1" t="shared" si="77"/>
        <v>-</v>
      </c>
      <c r="AA51" s="59" t="str">
        <f ca="1" t="shared" si="77"/>
        <v>-</v>
      </c>
      <c r="AB51" s="59" t="str">
        <f ca="1" t="shared" si="77"/>
        <v>-</v>
      </c>
      <c r="AC51" s="59" t="str">
        <f ca="1" t="shared" si="77"/>
        <v>-</v>
      </c>
      <c r="AD51" s="59" t="str">
        <f ca="1" t="shared" si="77"/>
        <v>-</v>
      </c>
      <c r="AE51" s="59" t="str">
        <f ca="1" t="shared" si="77"/>
        <v>-</v>
      </c>
      <c r="AF51" s="59" t="str">
        <f ca="1" t="shared" si="77"/>
        <v>-</v>
      </c>
      <c r="AG51" s="59" t="str">
        <f ca="1" t="shared" si="77"/>
        <v>-</v>
      </c>
      <c r="AH51" s="59" t="str">
        <f ca="1" t="shared" si="77"/>
        <v>-</v>
      </c>
      <c r="AI51" s="59" t="str">
        <f ca="1" t="shared" si="77"/>
        <v>-</v>
      </c>
      <c r="AJ51" s="59" t="str">
        <f ca="1" t="shared" si="77"/>
        <v>-</v>
      </c>
      <c r="AK51" s="59" t="str">
        <f ca="1" t="shared" si="77"/>
        <v>-</v>
      </c>
      <c r="AL51" s="59" t="str">
        <f ca="1" t="shared" si="77"/>
        <v>-</v>
      </c>
      <c r="AM51" s="59" t="str">
        <f ca="1" t="shared" si="77"/>
        <v>-</v>
      </c>
      <c r="AN51" s="59" t="str">
        <f ca="1" t="shared" si="77"/>
        <v>-</v>
      </c>
      <c r="AO51" s="59" t="str">
        <f ca="1" t="shared" si="77"/>
        <v>-</v>
      </c>
      <c r="AP51" s="59" t="str">
        <f ca="1" t="shared" si="77"/>
        <v>-</v>
      </c>
      <c r="AQ51" s="59" t="str">
        <f ca="1" t="shared" si="77"/>
        <v>-</v>
      </c>
      <c r="AR51" s="59" t="str">
        <f ca="1" t="shared" si="77"/>
        <v>-</v>
      </c>
      <c r="AS51" s="59" t="str">
        <f ca="1" t="shared" si="77"/>
        <v>-</v>
      </c>
      <c r="AT51" s="59" t="str">
        <f ca="1" t="shared" si="77"/>
        <v>-</v>
      </c>
      <c r="AU51" s="59" t="str">
        <f ca="1" t="shared" si="77"/>
        <v>-</v>
      </c>
      <c r="AV51" s="59" t="str">
        <f ca="1" t="shared" si="77"/>
        <v>-</v>
      </c>
      <c r="AW51" s="59" t="str">
        <f ca="1" t="shared" si="77"/>
        <v>-</v>
      </c>
      <c r="AX51" s="59" t="str">
        <f ca="1" t="shared" si="77"/>
        <v>-</v>
      </c>
      <c r="AY51" s="59" t="str">
        <f ca="1" t="shared" si="77"/>
        <v>-</v>
      </c>
      <c r="AZ51" s="59" t="str">
        <f ca="1" t="shared" si="77"/>
        <v>-</v>
      </c>
      <c r="BA51" s="59" t="str">
        <f ca="1" t="shared" si="77"/>
        <v>-</v>
      </c>
      <c r="BD51" s="40" t="str">
        <f ca="1">IFERROR(SUMIFS('TRA balance'!E$5:E$40,'TRA balance'!$C$5:$C$40,Assumptions!$C51,'TRA balance'!$D$5:$D$40,Assumptions!$B51)*CY51*H51,"")</f>
        <v/>
      </c>
      <c r="BE51" s="40" t="str">
        <f ca="1">IFERROR(SUMIFS('TRA balance'!F$5:F$40,'TRA balance'!$C$5:$C$40,Assumptions!$C51,'TRA balance'!$D$5:$D$40,Assumptions!$B51)*CZ51*I51,"")</f>
        <v/>
      </c>
      <c r="BF51" s="40" t="str">
        <f ca="1">IFERROR(SUMIFS('TRA balance'!G$5:G$40,'TRA balance'!$C$5:$C$40,Assumptions!$C51,'TRA balance'!$D$5:$D$40,Assumptions!$B51)*DA51*J51,"")</f>
        <v/>
      </c>
      <c r="BG51" s="40" t="str">
        <f ca="1">IFERROR(SUMIFS('TRA balance'!H$5:H$40,'TRA balance'!$C$5:$C$40,Assumptions!$C51,'TRA balance'!$D$5:$D$40,Assumptions!$B51)*DB51*K51,"")</f>
        <v/>
      </c>
      <c r="BH51" s="40" t="str">
        <f ca="1">IFERROR(SUMIFS('TRA balance'!I$5:I$40,'TRA balance'!$C$5:$C$40,Assumptions!$C51,'TRA balance'!$D$5:$D$40,Assumptions!$B51)*DC51*L51,"")</f>
        <v/>
      </c>
      <c r="BI51" s="40" t="str">
        <f ca="1">IFERROR(SUMIFS('TRA balance'!J$5:J$40,'TRA balance'!$C$5:$C$40,Assumptions!$C51,'TRA balance'!$D$5:$D$40,Assumptions!$B51)*DD51*M51,"")</f>
        <v/>
      </c>
      <c r="BJ51" s="40" t="str">
        <f ca="1">IFERROR(SUMIFS('TRA balance'!K$5:K$40,'TRA balance'!$C$5:$C$40,Assumptions!$C51,'TRA balance'!$D$5:$D$40,Assumptions!$B51)*DE51*N51,"")</f>
        <v/>
      </c>
      <c r="BK51" s="40" t="str">
        <f ca="1">IFERROR(SUMIFS('TRA balance'!L$5:L$40,'TRA balance'!$C$5:$C$40,Assumptions!$C51,'TRA balance'!$D$5:$D$40,Assumptions!$B51)*DF51*O51,"")</f>
        <v/>
      </c>
      <c r="BL51" s="40" t="str">
        <f ca="1">IFERROR(SUMIFS('TRA balance'!M$5:M$40,'TRA balance'!$C$5:$C$40,Assumptions!$C51,'TRA balance'!$D$5:$D$40,Assumptions!$B51)*DG51*P51,"")</f>
        <v/>
      </c>
      <c r="BM51" s="40" t="str">
        <f ca="1">IFERROR(SUMIFS('TRA balance'!N$5:N$40,'TRA balance'!$C$5:$C$40,Assumptions!$C51,'TRA balance'!$D$5:$D$40,Assumptions!$B51)*DH51*Q51,"")</f>
        <v/>
      </c>
      <c r="BN51" s="40" t="str">
        <f ca="1">IFERROR(SUMIFS('TRA balance'!O$5:O$40,'TRA balance'!$C$5:$C$40,Assumptions!$C51,'TRA balance'!$D$5:$D$40,Assumptions!$B51)*DI51*R51,"")</f>
        <v/>
      </c>
      <c r="BO51" s="40" t="str">
        <f ca="1">IFERROR(SUMIFS('TRA balance'!P$5:P$40,'TRA balance'!$C$5:$C$40,Assumptions!$C51,'TRA balance'!$D$5:$D$40,Assumptions!$B51)*DJ51*S51,"")</f>
        <v/>
      </c>
      <c r="BP51" s="40" t="str">
        <f ca="1">IFERROR(SUMIFS('TRA balance'!Q$5:Q$40,'TRA balance'!$C$5:$C$40,Assumptions!$C51,'TRA balance'!$D$5:$D$40,Assumptions!$B51)*DK51*T51,"")</f>
        <v/>
      </c>
      <c r="BQ51" s="40" t="str">
        <f ca="1">IFERROR(SUMIFS('TRA balance'!R$5:R$40,'TRA balance'!$C$5:$C$40,Assumptions!$C51,'TRA balance'!$D$5:$D$40,Assumptions!$B51)*DL51*U51,"")</f>
        <v/>
      </c>
      <c r="BR51" s="40" t="str">
        <f ca="1">IFERROR(SUMIFS('TRA balance'!S$5:S$40,'TRA balance'!$C$5:$C$40,Assumptions!$C51,'TRA balance'!$D$5:$D$40,Assumptions!$B51)*DM51*V51,"")</f>
        <v/>
      </c>
      <c r="BS51" s="40" t="str">
        <f ca="1">IFERROR(SUMIFS('TRA balance'!T$5:T$40,'TRA balance'!$C$5:$C$40,Assumptions!$C51,'TRA balance'!$D$5:$D$40,Assumptions!$B51)*DN51*W51,"")</f>
        <v/>
      </c>
      <c r="BT51" s="40" t="str">
        <f ca="1">IFERROR(SUMIFS('TRA balance'!U$5:U$40,'TRA balance'!$C$5:$C$40,Assumptions!$C51,'TRA balance'!$D$5:$D$40,Assumptions!$B51)*DO51*X51,"")</f>
        <v/>
      </c>
      <c r="BU51" s="40" t="str">
        <f ca="1">IFERROR(SUMIFS('TRA balance'!V$5:V$40,'TRA balance'!$C$5:$C$40,Assumptions!$C51,'TRA balance'!$D$5:$D$40,Assumptions!$B51)*DP51*Y51,"")</f>
        <v/>
      </c>
      <c r="BV51" s="40" t="str">
        <f ca="1">IFERROR(SUMIFS('TRA balance'!W$5:W$40,'TRA balance'!$C$5:$C$40,Assumptions!$C51,'TRA balance'!$D$5:$D$40,Assumptions!$B51)*DQ51*Z51,"")</f>
        <v/>
      </c>
      <c r="BW51" s="40" t="str">
        <f ca="1">IFERROR(SUMIFS('TRA balance'!X$5:X$40,'TRA balance'!$C$5:$C$40,Assumptions!$C51,'TRA balance'!$D$5:$D$40,Assumptions!$B51)*DR51*AA51,"")</f>
        <v/>
      </c>
      <c r="BX51" s="40" t="str">
        <f ca="1">IFERROR(SUMIFS('TRA balance'!Y$5:Y$40,'TRA balance'!$C$5:$C$40,Assumptions!$C51,'TRA balance'!$D$5:$D$40,Assumptions!$B51)*DS51*AB51,"")</f>
        <v/>
      </c>
      <c r="BY51" s="40" t="str">
        <f ca="1">IFERROR(SUMIFS('TRA balance'!Z$5:Z$40,'TRA balance'!$C$5:$C$40,Assumptions!$C51,'TRA balance'!$D$5:$D$40,Assumptions!$B51)*DT51*AC51,"")</f>
        <v/>
      </c>
      <c r="BZ51" s="40" t="str">
        <f ca="1">IFERROR(SUMIFS('TRA balance'!AA$5:AA$40,'TRA balance'!$C$5:$C$40,Assumptions!$C51,'TRA balance'!$D$5:$D$40,Assumptions!$B51)*DU51*AD51,"")</f>
        <v/>
      </c>
      <c r="CA51" s="40" t="str">
        <f ca="1">IFERROR(SUMIFS('TRA balance'!AB$5:AB$40,'TRA balance'!$C$5:$C$40,Assumptions!$C51,'TRA balance'!$D$5:$D$40,Assumptions!$B51)*DV51*AE51,"")</f>
        <v/>
      </c>
      <c r="CB51" s="40" t="str">
        <f ca="1">IFERROR(SUMIFS('TRA balance'!AC$5:AC$40,'TRA balance'!$C$5:$C$40,Assumptions!$C51,'TRA balance'!$D$5:$D$40,Assumptions!$B51)*DW51*AF51,"")</f>
        <v/>
      </c>
      <c r="CC51" s="40" t="str">
        <f ca="1">IFERROR(SUMIFS('TRA balance'!AD$5:AD$40,'TRA balance'!$C$5:$C$40,Assumptions!$C51,'TRA balance'!$D$5:$D$40,Assumptions!$B51)*DX51*AG51,"")</f>
        <v/>
      </c>
      <c r="CD51" s="40" t="str">
        <f ca="1">IFERROR(SUMIFS('TRA balance'!AE$5:AE$40,'TRA balance'!$C$5:$C$40,Assumptions!$C51,'TRA balance'!$D$5:$D$40,Assumptions!$B51)*DY51*AH51,"")</f>
        <v/>
      </c>
      <c r="CE51" s="40" t="str">
        <f ca="1">IFERROR(SUMIFS('TRA balance'!AF$5:AF$40,'TRA balance'!$C$5:$C$40,Assumptions!$C51,'TRA balance'!$D$5:$D$40,Assumptions!$B51)*DZ51*AI51,"")</f>
        <v/>
      </c>
      <c r="CF51" s="40" t="str">
        <f ca="1">IFERROR(SUMIFS('TRA balance'!AG$5:AG$40,'TRA balance'!$C$5:$C$40,Assumptions!$C51,'TRA balance'!$D$5:$D$40,Assumptions!$B51)*EA51*AJ51,"")</f>
        <v/>
      </c>
      <c r="CG51" s="40" t="str">
        <f ca="1">IFERROR(SUMIFS('TRA balance'!AH$5:AH$40,'TRA balance'!$C$5:$C$40,Assumptions!$C51,'TRA balance'!$D$5:$D$40,Assumptions!$B51)*EB51*AK51,"")</f>
        <v/>
      </c>
      <c r="CH51" s="40" t="str">
        <f ca="1">IFERROR(SUMIFS('TRA balance'!AI$5:AI$40,'TRA balance'!$C$5:$C$40,Assumptions!$C51,'TRA balance'!$D$5:$D$40,Assumptions!$B51)*EC51*AL51,"")</f>
        <v/>
      </c>
      <c r="CI51" s="40" t="str">
        <f ca="1">IFERROR(SUMIFS('TRA balance'!AJ$5:AJ$40,'TRA balance'!$C$5:$C$40,Assumptions!$C51,'TRA balance'!$D$5:$D$40,Assumptions!$B51)*ED51*AM51,"")</f>
        <v/>
      </c>
      <c r="CJ51" s="40" t="str">
        <f ca="1">IFERROR(SUMIFS('TRA balance'!AK$5:AK$40,'TRA balance'!$C$5:$C$40,Assumptions!$C51,'TRA balance'!$D$5:$D$40,Assumptions!$B51)*EE51*AN51,"")</f>
        <v/>
      </c>
      <c r="CK51" s="40" t="str">
        <f ca="1">IFERROR(SUMIFS('TRA balance'!AL$5:AL$40,'TRA balance'!$C$5:$C$40,Assumptions!$C51,'TRA balance'!$D$5:$D$40,Assumptions!$B51)*EF51*AO51,"")</f>
        <v/>
      </c>
      <c r="CL51" s="40" t="str">
        <f ca="1">IFERROR(SUMIFS('TRA balance'!AM$5:AM$40,'TRA balance'!$C$5:$C$40,Assumptions!$C51,'TRA balance'!$D$5:$D$40,Assumptions!$B51)*EG51*AP51,"")</f>
        <v/>
      </c>
      <c r="CM51" s="40" t="str">
        <f ca="1">IFERROR(SUMIFS('TRA balance'!AN$5:AN$40,'TRA balance'!$C$5:$C$40,Assumptions!$C51,'TRA balance'!$D$5:$D$40,Assumptions!$B51)*EH51*AQ51,"")</f>
        <v/>
      </c>
      <c r="CN51" s="40" t="str">
        <f ca="1">IFERROR(SUMIFS('TRA balance'!AO$5:AO$40,'TRA balance'!$C$5:$C$40,Assumptions!$C51,'TRA balance'!$D$5:$D$40,Assumptions!$B51)*EI51*AR51,"")</f>
        <v/>
      </c>
      <c r="CO51" s="40" t="str">
        <f ca="1">IFERROR(SUMIFS('TRA balance'!AP$5:AP$40,'TRA balance'!$C$5:$C$40,Assumptions!$C51,'TRA balance'!$D$5:$D$40,Assumptions!$B51)*EJ51*AS51,"")</f>
        <v/>
      </c>
      <c r="CP51" s="40" t="str">
        <f ca="1">IFERROR(SUMIFS('TRA balance'!AQ$5:AQ$40,'TRA balance'!$C$5:$C$40,Assumptions!$C51,'TRA balance'!$D$5:$D$40,Assumptions!$B51)*EK51*AT51,"")</f>
        <v/>
      </c>
      <c r="CQ51" s="40" t="str">
        <f ca="1">IFERROR(SUMIFS('TRA balance'!AR$5:AR$40,'TRA balance'!$C$5:$C$40,Assumptions!$C51,'TRA balance'!$D$5:$D$40,Assumptions!$B51)*EL51*AU51,"")</f>
        <v/>
      </c>
      <c r="CR51" s="40" t="str">
        <f ca="1">IFERROR(SUMIFS('TRA balance'!AS$5:AS$40,'TRA balance'!$C$5:$C$40,Assumptions!$C51,'TRA balance'!$D$5:$D$40,Assumptions!$B51)*EM51*AV51,"")</f>
        <v/>
      </c>
      <c r="CS51" s="40" t="str">
        <f ca="1">IFERROR(SUMIFS('TRA balance'!AT$5:AT$40,'TRA balance'!$C$5:$C$40,Assumptions!$C51,'TRA balance'!$D$5:$D$40,Assumptions!$B51)*EN51*AW51,"")</f>
        <v/>
      </c>
      <c r="CT51" s="40" t="str">
        <f ca="1">IFERROR(SUMIFS('TRA balance'!AU$5:AU$40,'TRA balance'!$C$5:$C$40,Assumptions!$C51,'TRA balance'!$D$5:$D$40,Assumptions!$B51)*EO51*AX51,"")</f>
        <v/>
      </c>
      <c r="CU51" s="40" t="str">
        <f ca="1">IFERROR(SUMIFS('TRA balance'!AV$5:AV$40,'TRA balance'!$C$5:$C$40,Assumptions!$C51,'TRA balance'!$D$5:$D$40,Assumptions!$B51)*EP51*AY51,"")</f>
        <v/>
      </c>
      <c r="CV51" s="40" t="str">
        <f ca="1">IFERROR(SUMIFS('TRA balance'!AW$5:AW$40,'TRA balance'!$C$5:$C$40,Assumptions!$C51,'TRA balance'!$D$5:$D$40,Assumptions!$B51)*EQ51*AZ51,"")</f>
        <v/>
      </c>
      <c r="CW51" s="40" t="str">
        <f ca="1">IFERROR(SUMIFS('TRA balance'!AX$5:AX$40,'TRA balance'!$C$5:$C$40,Assumptions!$C51,'TRA balance'!$D$5:$D$40,Assumptions!$B51)*ER51*BA51,"")</f>
        <v/>
      </c>
      <c r="CY51" s="39">
        <f ca="1" t="shared" si="66"/>
        <v>1</v>
      </c>
      <c r="CZ51" s="39">
        <f ca="1" t="shared" si="3"/>
        <v>1</v>
      </c>
      <c r="DA51" s="39">
        <f ca="1" t="shared" si="4"/>
        <v>1</v>
      </c>
      <c r="DB51" s="39">
        <f ca="1" t="shared" si="5"/>
        <v>1</v>
      </c>
      <c r="DC51" s="39">
        <f ca="1" t="shared" si="6"/>
        <v>1</v>
      </c>
      <c r="DD51" s="39">
        <f ca="1" t="shared" si="7"/>
        <v>1</v>
      </c>
      <c r="DE51" s="39">
        <f ca="1" t="shared" si="8"/>
        <v>1</v>
      </c>
      <c r="DF51" s="39">
        <f ca="1" t="shared" si="9"/>
        <v>1</v>
      </c>
      <c r="DG51" s="39">
        <f ca="1" t="shared" si="10"/>
        <v>1</v>
      </c>
      <c r="DH51" s="39">
        <f ca="1" t="shared" si="11"/>
        <v>1</v>
      </c>
      <c r="DI51" s="39">
        <f ca="1" t="shared" si="12"/>
        <v>1</v>
      </c>
      <c r="DJ51" s="39">
        <f ca="1" t="shared" si="13"/>
        <v>1</v>
      </c>
      <c r="DK51" s="39">
        <f ca="1" t="shared" si="14"/>
        <v>1</v>
      </c>
      <c r="DL51" s="39">
        <f ca="1" t="shared" si="15"/>
        <v>1</v>
      </c>
      <c r="DM51" s="39">
        <f ca="1" t="shared" si="16"/>
        <v>1</v>
      </c>
      <c r="DN51" s="39">
        <f ca="1" t="shared" si="17"/>
        <v>1</v>
      </c>
      <c r="DO51" s="39">
        <f ca="1" t="shared" si="18"/>
        <v>1</v>
      </c>
      <c r="DP51" s="39">
        <f ca="1" t="shared" si="19"/>
        <v>1</v>
      </c>
      <c r="DQ51" s="39">
        <f ca="1" t="shared" si="20"/>
        <v>1</v>
      </c>
      <c r="DR51" s="39">
        <f ca="1" t="shared" si="21"/>
        <v>1</v>
      </c>
      <c r="DS51" s="39">
        <f ca="1" t="shared" si="22"/>
        <v>1</v>
      </c>
      <c r="DT51" s="39">
        <f ca="1" t="shared" si="23"/>
        <v>1</v>
      </c>
      <c r="DU51" s="39">
        <f ca="1" t="shared" si="24"/>
        <v>1</v>
      </c>
      <c r="DV51" s="39">
        <f ca="1" t="shared" si="25"/>
        <v>1</v>
      </c>
      <c r="DW51" s="39">
        <f ca="1" t="shared" si="26"/>
        <v>1</v>
      </c>
      <c r="DX51" s="39">
        <f ca="1" t="shared" si="27"/>
        <v>1</v>
      </c>
      <c r="DY51" s="39">
        <f ca="1" t="shared" si="28"/>
        <v>1</v>
      </c>
      <c r="DZ51" s="39">
        <f ca="1" t="shared" si="29"/>
        <v>1</v>
      </c>
      <c r="EA51" s="39">
        <f ca="1" t="shared" si="30"/>
        <v>1</v>
      </c>
      <c r="EB51" s="39">
        <f ca="1" t="shared" si="31"/>
        <v>1</v>
      </c>
      <c r="EC51" s="39">
        <f ca="1" t="shared" si="32"/>
        <v>1</v>
      </c>
      <c r="ED51" s="39">
        <f ca="1" t="shared" si="33"/>
        <v>1</v>
      </c>
      <c r="EE51" s="39">
        <f ca="1" t="shared" si="34"/>
        <v>1</v>
      </c>
      <c r="EF51" s="39">
        <f ca="1" t="shared" si="35"/>
        <v>1</v>
      </c>
      <c r="EG51" s="39">
        <f ca="1" t="shared" si="36"/>
        <v>1</v>
      </c>
      <c r="EH51" s="39">
        <f ca="1" t="shared" si="37"/>
        <v>1</v>
      </c>
      <c r="EI51" s="39">
        <f ca="1" t="shared" si="38"/>
        <v>1</v>
      </c>
      <c r="EJ51" s="39">
        <f ca="1" t="shared" si="39"/>
        <v>1</v>
      </c>
      <c r="EK51" s="39">
        <f ca="1" t="shared" si="40"/>
        <v>1</v>
      </c>
      <c r="EL51" s="39">
        <f ca="1" t="shared" si="41"/>
        <v>1</v>
      </c>
      <c r="EM51" s="39">
        <f ca="1" t="shared" si="42"/>
        <v>1</v>
      </c>
      <c r="EN51" s="39">
        <f ca="1" t="shared" si="43"/>
        <v>1</v>
      </c>
      <c r="EO51" s="39">
        <f ca="1" t="shared" si="44"/>
        <v>1</v>
      </c>
      <c r="EP51" s="39">
        <f ca="1" t="shared" si="45"/>
        <v>1</v>
      </c>
      <c r="EQ51" s="39">
        <f ca="1" t="shared" si="46"/>
        <v>1</v>
      </c>
      <c r="ER51" s="39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2">
        <v>1</v>
      </c>
      <c r="D52" s="63" t="s">
        <v>200</v>
      </c>
      <c r="E52" s="63" t="s">
        <v>201</v>
      </c>
      <c r="F52" s="64" t="s">
        <v>77</v>
      </c>
      <c r="G52" s="62"/>
      <c r="H52" s="57">
        <f ca="1">OFFSET(TIAM15_assumptions!$G52,0,MATCH(VLOOKUP(Assumptions!H$2,TIAM15_assumptions!$Y$3:$Z$87,2,FALSE),TIAM15_assumptions!$H$2:$V$2,0))</f>
        <v>0.25</v>
      </c>
      <c r="I52" s="57">
        <f ca="1">OFFSET(TIAM15_assumptions!$G52,0,MATCH(VLOOKUP(Assumptions!I$2,TIAM15_assumptions!$Y$3:$Z$87,2,FALSE),TIAM15_assumptions!$H$2:$V$2,0))</f>
        <v>0.25</v>
      </c>
      <c r="J52" s="57">
        <f ca="1">OFFSET(TIAM15_assumptions!$G52,0,MATCH(VLOOKUP(Assumptions!J$2,TIAM15_assumptions!$Y$3:$Z$87,2,FALSE),TIAM15_assumptions!$H$2:$V$2,0))</f>
        <v>0.25</v>
      </c>
      <c r="K52" s="57">
        <f ca="1">OFFSET(TIAM15_assumptions!$G52,0,MATCH(VLOOKUP(Assumptions!K$2,TIAM15_assumptions!$Y$3:$Z$87,2,FALSE),TIAM15_assumptions!$H$2:$V$2,0))</f>
        <v>0.682</v>
      </c>
      <c r="L52" s="57">
        <f ca="1">OFFSET(TIAM15_assumptions!$G52,0,MATCH(VLOOKUP(Assumptions!L$2,TIAM15_assumptions!$Y$3:$Z$87,2,FALSE),TIAM15_assumptions!$H$2:$V$2,0))</f>
        <v>0.7</v>
      </c>
      <c r="M52" s="57">
        <f ca="1">OFFSET(TIAM15_assumptions!$G52,0,MATCH(VLOOKUP(Assumptions!M$2,TIAM15_assumptions!$Y$3:$Z$87,2,FALSE),TIAM15_assumptions!$H$2:$V$2,0))</f>
        <v>0.682</v>
      </c>
      <c r="N52" s="57">
        <f ca="1">OFFSET(TIAM15_assumptions!$G52,0,MATCH(VLOOKUP(Assumptions!N$2,TIAM15_assumptions!$Y$3:$Z$87,2,FALSE),TIAM15_assumptions!$H$2:$V$2,0))</f>
        <v>0.5</v>
      </c>
      <c r="O52" s="57">
        <f ca="1">OFFSET(TIAM15_assumptions!$G52,0,MATCH(VLOOKUP(Assumptions!O$2,TIAM15_assumptions!$Y$3:$Z$87,2,FALSE),TIAM15_assumptions!$H$2:$V$2,0))</f>
        <v>0.4</v>
      </c>
      <c r="P52" s="57">
        <f ca="1">OFFSET(TIAM15_assumptions!$G52,0,MATCH(VLOOKUP(Assumptions!P$2,TIAM15_assumptions!$Y$3:$Z$87,2,FALSE),TIAM15_assumptions!$H$2:$V$2,0))</f>
        <v>0</v>
      </c>
      <c r="Q52" s="57">
        <f ca="1">OFFSET(TIAM15_assumptions!$G52,0,MATCH(VLOOKUP(Assumptions!Q$2,TIAM15_assumptions!$Y$3:$Z$87,2,FALSE),TIAM15_assumptions!$H$2:$V$2,0))</f>
        <v>0</v>
      </c>
      <c r="R52" s="57">
        <f ca="1">OFFSET(TIAM15_assumptions!$G52,0,MATCH(VLOOKUP(Assumptions!R$2,TIAM15_assumptions!$Y$3:$Z$87,2,FALSE),TIAM15_assumptions!$H$2:$V$2,0))</f>
        <v>0.682</v>
      </c>
      <c r="S52" s="57">
        <f ca="1">OFFSET(TIAM15_assumptions!$G52,0,MATCH(VLOOKUP(Assumptions!S$2,TIAM15_assumptions!$Y$3:$Z$87,2,FALSE),TIAM15_assumptions!$H$2:$V$2,0))</f>
        <v>0.682</v>
      </c>
      <c r="T52" s="57">
        <f ca="1">OFFSET(TIAM15_assumptions!$G52,0,MATCH(VLOOKUP(Assumptions!T$2,TIAM15_assumptions!$Y$3:$Z$87,2,FALSE),TIAM15_assumptions!$H$2:$V$2,0))</f>
        <v>0.682</v>
      </c>
      <c r="U52" s="57">
        <f ca="1">OFFSET(TIAM15_assumptions!$G52,0,MATCH(VLOOKUP(Assumptions!U$2,TIAM15_assumptions!$Y$3:$Z$87,2,FALSE),TIAM15_assumptions!$H$2:$V$2,0))</f>
        <v>0</v>
      </c>
      <c r="V52" s="57">
        <f ca="1">OFFSET(TIAM15_assumptions!$G52,0,MATCH(VLOOKUP(Assumptions!V$2,TIAM15_assumptions!$Y$3:$Z$87,2,FALSE),TIAM15_assumptions!$H$2:$V$2,0))</f>
        <v>0.682</v>
      </c>
      <c r="W52" s="57">
        <f ca="1">OFFSET(TIAM15_assumptions!$G52,0,MATCH(VLOOKUP(Assumptions!W$2,TIAM15_assumptions!$Y$3:$Z$87,2,FALSE),TIAM15_assumptions!$H$2:$V$2,0))</f>
        <v>0.25</v>
      </c>
      <c r="X52" s="57">
        <f ca="1">OFFSET(TIAM15_assumptions!$G52,0,MATCH(VLOOKUP(Assumptions!X$2,TIAM15_assumptions!$Y$3:$Z$87,2,FALSE),TIAM15_assumptions!$H$2:$V$2,0))</f>
        <v>0.682</v>
      </c>
      <c r="Y52" s="57">
        <f ca="1">OFFSET(TIAM15_assumptions!$G52,0,MATCH(VLOOKUP(Assumptions!Y$2,TIAM15_assumptions!$Y$3:$Z$87,2,FALSE),TIAM15_assumptions!$H$2:$V$2,0))</f>
        <v>0.682</v>
      </c>
      <c r="Z52" s="57">
        <f ca="1">OFFSET(TIAM15_assumptions!$G52,0,MATCH(VLOOKUP(Assumptions!Z$2,TIAM15_assumptions!$Y$3:$Z$87,2,FALSE),TIAM15_assumptions!$H$2:$V$2,0))</f>
        <v>0.95</v>
      </c>
      <c r="AA52" s="57">
        <f ca="1">OFFSET(TIAM15_assumptions!$G52,0,MATCH(VLOOKUP(Assumptions!AA$2,TIAM15_assumptions!$Y$3:$Z$87,2,FALSE),TIAM15_assumptions!$H$2:$V$2,0))</f>
        <v>0.5</v>
      </c>
      <c r="AB52" s="57">
        <f ca="1">OFFSET(TIAM15_assumptions!$G52,0,MATCH(VLOOKUP(Assumptions!AB$2,TIAM15_assumptions!$Y$3:$Z$87,2,FALSE),TIAM15_assumptions!$H$2:$V$2,0))</f>
        <v>0.682</v>
      </c>
      <c r="AC52" s="57">
        <f ca="1">OFFSET(TIAM15_assumptions!$G52,0,MATCH(VLOOKUP(Assumptions!AC$2,TIAM15_assumptions!$Y$3:$Z$87,2,FALSE),TIAM15_assumptions!$H$2:$V$2,0))</f>
        <v>0.97916979455979</v>
      </c>
      <c r="AD52" s="57">
        <f ca="1">OFFSET(TIAM15_assumptions!$G52,0,MATCH(VLOOKUP(Assumptions!AD$2,TIAM15_assumptions!$Y$3:$Z$87,2,FALSE),TIAM15_assumptions!$H$2:$V$2,0))</f>
        <v>0.682</v>
      </c>
      <c r="AE52" s="57">
        <f ca="1">OFFSET(TIAM15_assumptions!$G52,0,MATCH(VLOOKUP(Assumptions!AE$2,TIAM15_assumptions!$Y$3:$Z$87,2,FALSE),TIAM15_assumptions!$H$2:$V$2,0))</f>
        <v>0</v>
      </c>
      <c r="AF52" s="57">
        <f ca="1">OFFSET(TIAM15_assumptions!$G52,0,MATCH(VLOOKUP(Assumptions!AF$2,TIAM15_assumptions!$Y$3:$Z$87,2,FALSE),TIAM15_assumptions!$H$2:$V$2,0))</f>
        <v>0.9</v>
      </c>
      <c r="AG52" s="57">
        <f ca="1">OFFSET(TIAM15_assumptions!$G52,0,MATCH(VLOOKUP(Assumptions!AG$2,TIAM15_assumptions!$Y$3:$Z$87,2,FALSE),TIAM15_assumptions!$H$2:$V$2,0))</f>
        <v>0.7</v>
      </c>
      <c r="AH52" s="57">
        <f ca="1">OFFSET(TIAM15_assumptions!$G52,0,MATCH(VLOOKUP(Assumptions!AH$2,TIAM15_assumptions!$Y$3:$Z$87,2,FALSE),TIAM15_assumptions!$H$2:$V$2,0))</f>
        <v>0.682</v>
      </c>
      <c r="AI52" s="57">
        <f ca="1">OFFSET(TIAM15_assumptions!$G52,0,MATCH(VLOOKUP(Assumptions!AI$2,TIAM15_assumptions!$Y$3:$Z$87,2,FALSE),TIAM15_assumptions!$H$2:$V$2,0))</f>
        <v>0.25</v>
      </c>
      <c r="AJ52" s="57">
        <f ca="1">OFFSET(TIAM15_assumptions!$G52,0,MATCH(VLOOKUP(Assumptions!AJ$2,TIAM15_assumptions!$Y$3:$Z$87,2,FALSE),TIAM15_assumptions!$H$2:$V$2,0))</f>
        <v>0.682</v>
      </c>
      <c r="AK52" s="57">
        <f ca="1">OFFSET(TIAM15_assumptions!$G52,0,MATCH(VLOOKUP(Assumptions!AK$2,TIAM15_assumptions!$Y$3:$Z$87,2,FALSE),TIAM15_assumptions!$H$2:$V$2,0))</f>
        <v>0.682</v>
      </c>
      <c r="AL52" s="57">
        <f ca="1">OFFSET(TIAM15_assumptions!$G52,0,MATCH(VLOOKUP(Assumptions!AL$2,TIAM15_assumptions!$Y$3:$Z$87,2,FALSE),TIAM15_assumptions!$H$2:$V$2,0))</f>
        <v>0.682</v>
      </c>
      <c r="AM52" s="57">
        <f ca="1">OFFSET(TIAM15_assumptions!$G52,0,MATCH(VLOOKUP(Assumptions!AM$2,TIAM15_assumptions!$Y$3:$Z$87,2,FALSE),TIAM15_assumptions!$H$2:$V$2,0))</f>
        <v>0.682</v>
      </c>
      <c r="AN52" s="57">
        <f ca="1">OFFSET(TIAM15_assumptions!$G52,0,MATCH(VLOOKUP(Assumptions!AN$2,TIAM15_assumptions!$Y$3:$Z$87,2,FALSE),TIAM15_assumptions!$H$2:$V$2,0))</f>
        <v>0.682</v>
      </c>
      <c r="AO52" s="57">
        <f ca="1">OFFSET(TIAM15_assumptions!$G52,0,MATCH(VLOOKUP(Assumptions!AO$2,TIAM15_assumptions!$Y$3:$Z$87,2,FALSE),TIAM15_assumptions!$H$2:$V$2,0))</f>
        <v>0.7</v>
      </c>
      <c r="AP52" s="57">
        <f ca="1">OFFSET(TIAM15_assumptions!$G52,0,MATCH(VLOOKUP(Assumptions!AP$2,TIAM15_assumptions!$Y$3:$Z$87,2,FALSE),TIAM15_assumptions!$H$2:$V$2,0))</f>
        <v>0</v>
      </c>
      <c r="AQ52" s="57">
        <f ca="1">OFFSET(TIAM15_assumptions!$G52,0,MATCH(VLOOKUP(Assumptions!AQ$2,TIAM15_assumptions!$Y$3:$Z$87,2,FALSE),TIAM15_assumptions!$H$2:$V$2,0))</f>
        <v>0.97916979455979</v>
      </c>
      <c r="AR52" s="57">
        <f ca="1">OFFSET(TIAM15_assumptions!$G52,0,MATCH(VLOOKUP(Assumptions!AR$2,TIAM15_assumptions!$Y$3:$Z$87,2,FALSE),TIAM15_assumptions!$H$2:$V$2,0))</f>
        <v>0.97916979455979</v>
      </c>
      <c r="AS52" s="57">
        <f ca="1">OFFSET(TIAM15_assumptions!$G52,0,MATCH(VLOOKUP(Assumptions!AS$2,TIAM15_assumptions!$Y$3:$Z$87,2,FALSE),TIAM15_assumptions!$H$2:$V$2,0))</f>
        <v>0.97916979455979</v>
      </c>
      <c r="AT52" s="57">
        <f ca="1">OFFSET(TIAM15_assumptions!$G52,0,MATCH(VLOOKUP(Assumptions!AT$2,TIAM15_assumptions!$Y$3:$Z$87,2,FALSE),TIAM15_assumptions!$H$2:$V$2,0))</f>
        <v>0.97916979455979</v>
      </c>
      <c r="AU52" s="57">
        <f ca="1">OFFSET(TIAM15_assumptions!$G52,0,MATCH(VLOOKUP(Assumptions!AU$2,TIAM15_assumptions!$Y$3:$Z$87,2,FALSE),TIAM15_assumptions!$H$2:$V$2,0))</f>
        <v>0.97916979455979</v>
      </c>
      <c r="AV52" s="57">
        <f ca="1">OFFSET(TIAM15_assumptions!$G52,0,MATCH(VLOOKUP(Assumptions!AV$2,TIAM15_assumptions!$Y$3:$Z$87,2,FALSE),TIAM15_assumptions!$H$2:$V$2,0))</f>
        <v>0.97916979455979</v>
      </c>
      <c r="AW52" s="57">
        <f ca="1">OFFSET(TIAM15_assumptions!$G52,0,MATCH(VLOOKUP(Assumptions!AW$2,TIAM15_assumptions!$Y$3:$Z$87,2,FALSE),TIAM15_assumptions!$H$2:$V$2,0))</f>
        <v>0.97916979455979</v>
      </c>
      <c r="AX52" s="57">
        <f ca="1">OFFSET(TIAM15_assumptions!$G52,0,MATCH(VLOOKUP(Assumptions!AX$2,TIAM15_assumptions!$Y$3:$Z$87,2,FALSE),TIAM15_assumptions!$H$2:$V$2,0))</f>
        <v>0.97916979455979</v>
      </c>
      <c r="AY52" s="57">
        <f ca="1">OFFSET(TIAM15_assumptions!$G52,0,MATCH(VLOOKUP(Assumptions!AY$2,TIAM15_assumptions!$Y$3:$Z$87,2,FALSE),TIAM15_assumptions!$H$2:$V$2,0))</f>
        <v>0.97916979455979</v>
      </c>
      <c r="AZ52" s="57">
        <f ca="1">OFFSET(TIAM15_assumptions!$G52,0,MATCH(VLOOKUP(Assumptions!AZ$2,TIAM15_assumptions!$Y$3:$Z$87,2,FALSE),TIAM15_assumptions!$H$2:$V$2,0))</f>
        <v>0.97916979455979</v>
      </c>
      <c r="BA52" s="57">
        <f ca="1">OFFSET(TIAM15_assumptions!$G52,0,MATCH(VLOOKUP(Assumptions!BA$2,TIAM15_assumptions!$Y$3:$Z$87,2,FALSE),TIAM15_assumptions!$H$2:$V$2,0))</f>
        <v>0.97916979455979</v>
      </c>
      <c r="BD52" s="40">
        <f ca="1">IFERROR(SUMIFS('TRA balance'!E$5:E$40,'TRA balance'!$C$5:$C$40,Assumptions!$C52,'TRA balance'!$D$5:$D$40,Assumptions!$B52)*CY52*H52,"")</f>
        <v>0</v>
      </c>
      <c r="BE52" s="40">
        <f ca="1">IFERROR(SUMIFS('TRA balance'!F$5:F$40,'TRA balance'!$C$5:$C$40,Assumptions!$C52,'TRA balance'!$D$5:$D$40,Assumptions!$B52)*CZ52*I52,"")</f>
        <v>0</v>
      </c>
      <c r="BF52" s="40">
        <f ca="1">IFERROR(SUMIFS('TRA balance'!G$5:G$40,'TRA balance'!$C$5:$C$40,Assumptions!$C52,'TRA balance'!$D$5:$D$40,Assumptions!$B52)*DA52*J52,"")</f>
        <v>0</v>
      </c>
      <c r="BG52" s="40">
        <f ca="1">IFERROR(SUMIFS('TRA balance'!H$5:H$40,'TRA balance'!$C$5:$C$40,Assumptions!$C52,'TRA balance'!$D$5:$D$40,Assumptions!$B52)*DB52*K52,"")</f>
        <v>0</v>
      </c>
      <c r="BH52" s="40">
        <f ca="1">IFERROR(SUMIFS('TRA balance'!I$5:I$40,'TRA balance'!$C$5:$C$40,Assumptions!$C52,'TRA balance'!$D$5:$D$40,Assumptions!$B52)*DC52*L52,"")</f>
        <v>0</v>
      </c>
      <c r="BI52" s="40">
        <f ca="1">IFERROR(SUMIFS('TRA balance'!J$5:J$40,'TRA balance'!$C$5:$C$40,Assumptions!$C52,'TRA balance'!$D$5:$D$40,Assumptions!$B52)*DD52*M52,"")</f>
        <v>0</v>
      </c>
      <c r="BJ52" s="40">
        <f ca="1">IFERROR(SUMIFS('TRA balance'!K$5:K$40,'TRA balance'!$C$5:$C$40,Assumptions!$C52,'TRA balance'!$D$5:$D$40,Assumptions!$B52)*DE52*N52,"")</f>
        <v>0</v>
      </c>
      <c r="BK52" s="40">
        <f ca="1">IFERROR(SUMIFS('TRA balance'!L$5:L$40,'TRA balance'!$C$5:$C$40,Assumptions!$C52,'TRA balance'!$D$5:$D$40,Assumptions!$B52)*DF52*O52,"")</f>
        <v>0</v>
      </c>
      <c r="BL52" s="40">
        <f ca="1">IFERROR(SUMIFS('TRA balance'!M$5:M$40,'TRA balance'!$C$5:$C$40,Assumptions!$C52,'TRA balance'!$D$5:$D$40,Assumptions!$B52)*DG52*P52,"")</f>
        <v>0</v>
      </c>
      <c r="BM52" s="40">
        <f ca="1">IFERROR(SUMIFS('TRA balance'!N$5:N$40,'TRA balance'!$C$5:$C$40,Assumptions!$C52,'TRA balance'!$D$5:$D$40,Assumptions!$B52)*DH52*Q52,"")</f>
        <v>0</v>
      </c>
      <c r="BN52" s="40">
        <f ca="1">IFERROR(SUMIFS('TRA balance'!O$5:O$40,'TRA balance'!$C$5:$C$40,Assumptions!$C52,'TRA balance'!$D$5:$D$40,Assumptions!$B52)*DI52*R52,"")</f>
        <v>0</v>
      </c>
      <c r="BO52" s="40">
        <f ca="1">IFERROR(SUMIFS('TRA balance'!P$5:P$40,'TRA balance'!$C$5:$C$40,Assumptions!$C52,'TRA balance'!$D$5:$D$40,Assumptions!$B52)*DJ52*S52,"")</f>
        <v>0</v>
      </c>
      <c r="BP52" s="40">
        <f ca="1">IFERROR(SUMIFS('TRA balance'!Q$5:Q$40,'TRA balance'!$C$5:$C$40,Assumptions!$C52,'TRA balance'!$D$5:$D$40,Assumptions!$B52)*DK52*T52,"")</f>
        <v>0</v>
      </c>
      <c r="BQ52" s="40">
        <f ca="1">IFERROR(SUMIFS('TRA balance'!R$5:R$40,'TRA balance'!$C$5:$C$40,Assumptions!$C52,'TRA balance'!$D$5:$D$40,Assumptions!$B52)*DL52*U52,"")</f>
        <v>0</v>
      </c>
      <c r="BR52" s="40">
        <f ca="1">IFERROR(SUMIFS('TRA balance'!S$5:S$40,'TRA balance'!$C$5:$C$40,Assumptions!$C52,'TRA balance'!$D$5:$D$40,Assumptions!$B52)*DM52*V52,"")</f>
        <v>0</v>
      </c>
      <c r="BS52" s="40">
        <f ca="1">IFERROR(SUMIFS('TRA balance'!T$5:T$40,'TRA balance'!$C$5:$C$40,Assumptions!$C52,'TRA balance'!$D$5:$D$40,Assumptions!$B52)*DN52*W52,"")</f>
        <v>0</v>
      </c>
      <c r="BT52" s="40">
        <f ca="1">IFERROR(SUMIFS('TRA balance'!U$5:U$40,'TRA balance'!$C$5:$C$40,Assumptions!$C52,'TRA balance'!$D$5:$D$40,Assumptions!$B52)*DO52*X52,"")</f>
        <v>0</v>
      </c>
      <c r="BU52" s="40">
        <f ca="1">IFERROR(SUMIFS('TRA balance'!V$5:V$40,'TRA balance'!$C$5:$C$40,Assumptions!$C52,'TRA balance'!$D$5:$D$40,Assumptions!$B52)*DP52*Y52,"")</f>
        <v>0</v>
      </c>
      <c r="BV52" s="40">
        <f ca="1">IFERROR(SUMIFS('TRA balance'!W$5:W$40,'TRA balance'!$C$5:$C$40,Assumptions!$C52,'TRA balance'!$D$5:$D$40,Assumptions!$B52)*DQ52*Z52,"")</f>
        <v>0</v>
      </c>
      <c r="BW52" s="40">
        <f ca="1">IFERROR(SUMIFS('TRA balance'!X$5:X$40,'TRA balance'!$C$5:$C$40,Assumptions!$C52,'TRA balance'!$D$5:$D$40,Assumptions!$B52)*DR52*AA52,"")</f>
        <v>0</v>
      </c>
      <c r="BX52" s="40">
        <f ca="1">IFERROR(SUMIFS('TRA balance'!Y$5:Y$40,'TRA balance'!$C$5:$C$40,Assumptions!$C52,'TRA balance'!$D$5:$D$40,Assumptions!$B52)*DS52*AB52,"")</f>
        <v>0</v>
      </c>
      <c r="BY52" s="40">
        <f ca="1">IFERROR(SUMIFS('TRA balance'!Z$5:Z$40,'TRA balance'!$C$5:$C$40,Assumptions!$C52,'TRA balance'!$D$5:$D$40,Assumptions!$B52)*DT52*AC52,"")</f>
        <v>0</v>
      </c>
      <c r="BZ52" s="40">
        <f ca="1">IFERROR(SUMIFS('TRA balance'!AA$5:AA$40,'TRA balance'!$C$5:$C$40,Assumptions!$C52,'TRA balance'!$D$5:$D$40,Assumptions!$B52)*DU52*AD52,"")</f>
        <v>0</v>
      </c>
      <c r="CA52" s="40">
        <f ca="1">IFERROR(SUMIFS('TRA balance'!AB$5:AB$40,'TRA balance'!$C$5:$C$40,Assumptions!$C52,'TRA balance'!$D$5:$D$40,Assumptions!$B52)*DV52*AE52,"")</f>
        <v>0</v>
      </c>
      <c r="CB52" s="40">
        <f ca="1">IFERROR(SUMIFS('TRA balance'!AC$5:AC$40,'TRA balance'!$C$5:$C$40,Assumptions!$C52,'TRA balance'!$D$5:$D$40,Assumptions!$B52)*DW52*AF52,"")</f>
        <v>0</v>
      </c>
      <c r="CC52" s="40">
        <f ca="1">IFERROR(SUMIFS('TRA balance'!AD$5:AD$40,'TRA balance'!$C$5:$C$40,Assumptions!$C52,'TRA balance'!$D$5:$D$40,Assumptions!$B52)*DX52*AG52,"")</f>
        <v>0</v>
      </c>
      <c r="CD52" s="40">
        <f ca="1">IFERROR(SUMIFS('TRA balance'!AE$5:AE$40,'TRA balance'!$C$5:$C$40,Assumptions!$C52,'TRA balance'!$D$5:$D$40,Assumptions!$B52)*DY52*AH52,"")</f>
        <v>0</v>
      </c>
      <c r="CE52" s="40">
        <f ca="1">IFERROR(SUMIFS('TRA balance'!AF$5:AF$40,'TRA balance'!$C$5:$C$40,Assumptions!$C52,'TRA balance'!$D$5:$D$40,Assumptions!$B52)*DZ52*AI52,"")</f>
        <v>0</v>
      </c>
      <c r="CF52" s="40">
        <f ca="1">IFERROR(SUMIFS('TRA balance'!AG$5:AG$40,'TRA balance'!$C$5:$C$40,Assumptions!$C52,'TRA balance'!$D$5:$D$40,Assumptions!$B52)*EA52*AJ52,"")</f>
        <v>0</v>
      </c>
      <c r="CG52" s="40">
        <f ca="1">IFERROR(SUMIFS('TRA balance'!AH$5:AH$40,'TRA balance'!$C$5:$C$40,Assumptions!$C52,'TRA balance'!$D$5:$D$40,Assumptions!$B52)*EB52*AK52,"")</f>
        <v>0</v>
      </c>
      <c r="CH52" s="40">
        <f ca="1">IFERROR(SUMIFS('TRA balance'!AI$5:AI$40,'TRA balance'!$C$5:$C$40,Assumptions!$C52,'TRA balance'!$D$5:$D$40,Assumptions!$B52)*EC52*AL52,"")</f>
        <v>0</v>
      </c>
      <c r="CI52" s="40">
        <f ca="1">IFERROR(SUMIFS('TRA balance'!AJ$5:AJ$40,'TRA balance'!$C$5:$C$40,Assumptions!$C52,'TRA balance'!$D$5:$D$40,Assumptions!$B52)*ED52*AM52,"")</f>
        <v>0</v>
      </c>
      <c r="CJ52" s="40">
        <f ca="1">IFERROR(SUMIFS('TRA balance'!AK$5:AK$40,'TRA balance'!$C$5:$C$40,Assumptions!$C52,'TRA balance'!$D$5:$D$40,Assumptions!$B52)*EE52*AN52,"")</f>
        <v>0</v>
      </c>
      <c r="CK52" s="40">
        <f ca="1">IFERROR(SUMIFS('TRA balance'!AL$5:AL$40,'TRA balance'!$C$5:$C$40,Assumptions!$C52,'TRA balance'!$D$5:$D$40,Assumptions!$B52)*EF52*AO52,"")</f>
        <v>0</v>
      </c>
      <c r="CL52" s="40">
        <f ca="1">IFERROR(SUMIFS('TRA balance'!AM$5:AM$40,'TRA balance'!$C$5:$C$40,Assumptions!$C52,'TRA balance'!$D$5:$D$40,Assumptions!$B52)*EG52*AP52,"")</f>
        <v>0</v>
      </c>
      <c r="CM52" s="40">
        <f ca="1">IFERROR(SUMIFS('TRA balance'!AN$5:AN$40,'TRA balance'!$C$5:$C$40,Assumptions!$C52,'TRA balance'!$D$5:$D$40,Assumptions!$B52)*EH52*AQ52,"")</f>
        <v>0</v>
      </c>
      <c r="CN52" s="40">
        <f ca="1">IFERROR(SUMIFS('TRA balance'!AO$5:AO$40,'TRA balance'!$C$5:$C$40,Assumptions!$C52,'TRA balance'!$D$5:$D$40,Assumptions!$B52)*EI52*AR52,"")</f>
        <v>0</v>
      </c>
      <c r="CO52" s="40">
        <f ca="1">IFERROR(SUMIFS('TRA balance'!AP$5:AP$40,'TRA balance'!$C$5:$C$40,Assumptions!$C52,'TRA balance'!$D$5:$D$40,Assumptions!$B52)*EJ52*AS52,"")</f>
        <v>0</v>
      </c>
      <c r="CP52" s="40">
        <f ca="1">IFERROR(SUMIFS('TRA balance'!AQ$5:AQ$40,'TRA balance'!$C$5:$C$40,Assumptions!$C52,'TRA balance'!$D$5:$D$40,Assumptions!$B52)*EK52*AT52,"")</f>
        <v>0</v>
      </c>
      <c r="CQ52" s="40">
        <f ca="1">IFERROR(SUMIFS('TRA balance'!AR$5:AR$40,'TRA balance'!$C$5:$C$40,Assumptions!$C52,'TRA balance'!$D$5:$D$40,Assumptions!$B52)*EL52*AU52,"")</f>
        <v>0</v>
      </c>
      <c r="CR52" s="40">
        <f ca="1">IFERROR(SUMIFS('TRA balance'!AS$5:AS$40,'TRA balance'!$C$5:$C$40,Assumptions!$C52,'TRA balance'!$D$5:$D$40,Assumptions!$B52)*EM52*AV52,"")</f>
        <v>0</v>
      </c>
      <c r="CS52" s="40">
        <f ca="1">IFERROR(SUMIFS('TRA balance'!AT$5:AT$40,'TRA balance'!$C$5:$C$40,Assumptions!$C52,'TRA balance'!$D$5:$D$40,Assumptions!$B52)*EN52*AW52,"")</f>
        <v>0</v>
      </c>
      <c r="CT52" s="40">
        <f ca="1">IFERROR(SUMIFS('TRA balance'!AU$5:AU$40,'TRA balance'!$C$5:$C$40,Assumptions!$C52,'TRA balance'!$D$5:$D$40,Assumptions!$B52)*EO52*AX52,"")</f>
        <v>0</v>
      </c>
      <c r="CU52" s="40">
        <f ca="1">IFERROR(SUMIFS('TRA balance'!AV$5:AV$40,'TRA balance'!$C$5:$C$40,Assumptions!$C52,'TRA balance'!$D$5:$D$40,Assumptions!$B52)*EP52*AY52,"")</f>
        <v>0</v>
      </c>
      <c r="CV52" s="40">
        <f ca="1">IFERROR(SUMIFS('TRA balance'!AW$5:AW$40,'TRA balance'!$C$5:$C$40,Assumptions!$C52,'TRA balance'!$D$5:$D$40,Assumptions!$B52)*EQ52*AZ52,"")</f>
        <v>0</v>
      </c>
      <c r="CW52" s="40">
        <f ca="1">IFERROR(SUMIFS('TRA balance'!AX$5:AX$40,'TRA balance'!$C$5:$C$40,Assumptions!$C52,'TRA balance'!$D$5:$D$40,Assumptions!$B52)*ER52*BA52,"")</f>
        <v>0</v>
      </c>
      <c r="CY52" s="39">
        <f ca="1" t="shared" si="66"/>
        <v>1</v>
      </c>
      <c r="CZ52" s="39">
        <f ca="1" t="shared" si="3"/>
        <v>1</v>
      </c>
      <c r="DA52" s="39">
        <f ca="1" t="shared" si="4"/>
        <v>1</v>
      </c>
      <c r="DB52" s="39">
        <f ca="1" t="shared" si="5"/>
        <v>1</v>
      </c>
      <c r="DC52" s="39">
        <f ca="1" t="shared" si="6"/>
        <v>1</v>
      </c>
      <c r="DD52" s="39">
        <f ca="1" t="shared" si="7"/>
        <v>1</v>
      </c>
      <c r="DE52" s="39">
        <f ca="1" t="shared" si="8"/>
        <v>1</v>
      </c>
      <c r="DF52" s="39">
        <f ca="1" t="shared" si="9"/>
        <v>1</v>
      </c>
      <c r="DG52" s="39">
        <f ca="1" t="shared" si="10"/>
        <v>1</v>
      </c>
      <c r="DH52" s="39">
        <f ca="1" t="shared" si="11"/>
        <v>1</v>
      </c>
      <c r="DI52" s="39">
        <f ca="1" t="shared" si="12"/>
        <v>1</v>
      </c>
      <c r="DJ52" s="39">
        <f ca="1" t="shared" si="13"/>
        <v>1</v>
      </c>
      <c r="DK52" s="39">
        <f ca="1" t="shared" si="14"/>
        <v>1</v>
      </c>
      <c r="DL52" s="39">
        <f ca="1" t="shared" si="15"/>
        <v>1</v>
      </c>
      <c r="DM52" s="39">
        <f ca="1" t="shared" si="16"/>
        <v>1</v>
      </c>
      <c r="DN52" s="39">
        <f ca="1" t="shared" si="17"/>
        <v>1</v>
      </c>
      <c r="DO52" s="39">
        <f ca="1" t="shared" si="18"/>
        <v>1</v>
      </c>
      <c r="DP52" s="39">
        <f ca="1" t="shared" si="19"/>
        <v>1</v>
      </c>
      <c r="DQ52" s="39">
        <f ca="1" t="shared" si="20"/>
        <v>1</v>
      </c>
      <c r="DR52" s="39">
        <f ca="1" t="shared" si="21"/>
        <v>1</v>
      </c>
      <c r="DS52" s="39">
        <f ca="1" t="shared" si="22"/>
        <v>1</v>
      </c>
      <c r="DT52" s="39">
        <f ca="1" t="shared" si="23"/>
        <v>1</v>
      </c>
      <c r="DU52" s="39">
        <f ca="1" t="shared" si="24"/>
        <v>1</v>
      </c>
      <c r="DV52" s="39">
        <f ca="1" t="shared" si="25"/>
        <v>1</v>
      </c>
      <c r="DW52" s="39">
        <f ca="1" t="shared" si="26"/>
        <v>1</v>
      </c>
      <c r="DX52" s="39">
        <f ca="1" t="shared" si="27"/>
        <v>1</v>
      </c>
      <c r="DY52" s="39">
        <f ca="1" t="shared" si="28"/>
        <v>1</v>
      </c>
      <c r="DZ52" s="39">
        <f ca="1" t="shared" si="29"/>
        <v>1</v>
      </c>
      <c r="EA52" s="39">
        <f ca="1" t="shared" si="30"/>
        <v>1</v>
      </c>
      <c r="EB52" s="39">
        <f ca="1" t="shared" si="31"/>
        <v>1</v>
      </c>
      <c r="EC52" s="39">
        <f ca="1" t="shared" si="32"/>
        <v>1</v>
      </c>
      <c r="ED52" s="39">
        <f ca="1" t="shared" si="33"/>
        <v>1</v>
      </c>
      <c r="EE52" s="39">
        <f ca="1" t="shared" si="34"/>
        <v>1</v>
      </c>
      <c r="EF52" s="39">
        <f ca="1" t="shared" si="35"/>
        <v>1</v>
      </c>
      <c r="EG52" s="39">
        <f ca="1" t="shared" si="36"/>
        <v>1</v>
      </c>
      <c r="EH52" s="39">
        <f ca="1" t="shared" si="37"/>
        <v>1</v>
      </c>
      <c r="EI52" s="39">
        <f ca="1" t="shared" si="38"/>
        <v>1</v>
      </c>
      <c r="EJ52" s="39">
        <f ca="1" t="shared" si="39"/>
        <v>1</v>
      </c>
      <c r="EK52" s="39">
        <f ca="1" t="shared" si="40"/>
        <v>1</v>
      </c>
      <c r="EL52" s="39">
        <f ca="1" t="shared" si="41"/>
        <v>1</v>
      </c>
      <c r="EM52" s="39">
        <f ca="1" t="shared" si="42"/>
        <v>1</v>
      </c>
      <c r="EN52" s="39">
        <f ca="1" t="shared" si="43"/>
        <v>1</v>
      </c>
      <c r="EO52" s="39">
        <f ca="1" t="shared" si="44"/>
        <v>1</v>
      </c>
      <c r="EP52" s="39">
        <f ca="1" t="shared" si="45"/>
        <v>1</v>
      </c>
      <c r="EQ52" s="39">
        <f ca="1" t="shared" si="46"/>
        <v>1</v>
      </c>
      <c r="ER52" s="39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4" t="str">
        <f t="shared" si="48"/>
        <v>TR</v>
      </c>
      <c r="D53" s="55" t="s">
        <v>200</v>
      </c>
      <c r="E53" s="66" t="s">
        <v>202</v>
      </c>
      <c r="F53" s="56" t="str">
        <f>F52</f>
        <v>Natural Gas</v>
      </c>
      <c r="G53" s="54" t="s">
        <v>203</v>
      </c>
      <c r="H53" s="57">
        <f ca="1">OFFSET(TIAM15_assumptions!$G53,0,MATCH(VLOOKUP(Assumptions!H$2,TIAM15_assumptions!$Y$3:$Z$87,2,FALSE),TIAM15_assumptions!$H$2:$V$2,0))</f>
        <v>0.5</v>
      </c>
      <c r="I53" s="57">
        <f ca="1">OFFSET(TIAM15_assumptions!$G53,0,MATCH(VLOOKUP(Assumptions!I$2,TIAM15_assumptions!$Y$3:$Z$87,2,FALSE),TIAM15_assumptions!$H$2:$V$2,0))</f>
        <v>0.5</v>
      </c>
      <c r="J53" s="57">
        <f ca="1">OFFSET(TIAM15_assumptions!$G53,0,MATCH(VLOOKUP(Assumptions!J$2,TIAM15_assumptions!$Y$3:$Z$87,2,FALSE),TIAM15_assumptions!$H$2:$V$2,0))</f>
        <v>0.5</v>
      </c>
      <c r="K53" s="57">
        <f ca="1">OFFSET(TIAM15_assumptions!$G53,0,MATCH(VLOOKUP(Assumptions!K$2,TIAM15_assumptions!$Y$3:$Z$87,2,FALSE),TIAM15_assumptions!$H$2:$V$2,0))</f>
        <v>0.92</v>
      </c>
      <c r="L53" s="57">
        <f ca="1">OFFSET(TIAM15_assumptions!$G53,0,MATCH(VLOOKUP(Assumptions!L$2,TIAM15_assumptions!$Y$3:$Z$87,2,FALSE),TIAM15_assumptions!$H$2:$V$2,0))</f>
        <v>0.8</v>
      </c>
      <c r="M53" s="57">
        <f ca="1">OFFSET(TIAM15_assumptions!$G53,0,MATCH(VLOOKUP(Assumptions!M$2,TIAM15_assumptions!$Y$3:$Z$87,2,FALSE),TIAM15_assumptions!$H$2:$V$2,0))</f>
        <v>0.92</v>
      </c>
      <c r="N53" s="57">
        <f ca="1">OFFSET(TIAM15_assumptions!$G53,0,MATCH(VLOOKUP(Assumptions!N$2,TIAM15_assumptions!$Y$3:$Z$87,2,FALSE),TIAM15_assumptions!$H$2:$V$2,0))</f>
        <v>0.6</v>
      </c>
      <c r="O53" s="57">
        <f ca="1">OFFSET(TIAM15_assumptions!$G53,0,MATCH(VLOOKUP(Assumptions!O$2,TIAM15_assumptions!$Y$3:$Z$87,2,FALSE),TIAM15_assumptions!$H$2:$V$2,0))</f>
        <v>0.67</v>
      </c>
      <c r="P53" s="57">
        <f ca="1">OFFSET(TIAM15_assumptions!$G53,0,MATCH(VLOOKUP(Assumptions!P$2,TIAM15_assumptions!$Y$3:$Z$87,2,FALSE),TIAM15_assumptions!$H$2:$V$2,0))</f>
        <v>0.92</v>
      </c>
      <c r="Q53" s="57">
        <f ca="1">OFFSET(TIAM15_assumptions!$G53,0,MATCH(VLOOKUP(Assumptions!Q$2,TIAM15_assumptions!$Y$3:$Z$87,2,FALSE),TIAM15_assumptions!$H$2:$V$2,0))</f>
        <v>0.92</v>
      </c>
      <c r="R53" s="57">
        <f ca="1">OFFSET(TIAM15_assumptions!$G53,0,MATCH(VLOOKUP(Assumptions!R$2,TIAM15_assumptions!$Y$3:$Z$87,2,FALSE),TIAM15_assumptions!$H$2:$V$2,0))</f>
        <v>0.92</v>
      </c>
      <c r="S53" s="57">
        <f ca="1">OFFSET(TIAM15_assumptions!$G53,0,MATCH(VLOOKUP(Assumptions!S$2,TIAM15_assumptions!$Y$3:$Z$87,2,FALSE),TIAM15_assumptions!$H$2:$V$2,0))</f>
        <v>0.92</v>
      </c>
      <c r="T53" s="57">
        <f ca="1">OFFSET(TIAM15_assumptions!$G53,0,MATCH(VLOOKUP(Assumptions!T$2,TIAM15_assumptions!$Y$3:$Z$87,2,FALSE),TIAM15_assumptions!$H$2:$V$2,0))</f>
        <v>0.92</v>
      </c>
      <c r="U53" s="57">
        <f ca="1">OFFSET(TIAM15_assumptions!$G53,0,MATCH(VLOOKUP(Assumptions!U$2,TIAM15_assumptions!$Y$3:$Z$87,2,FALSE),TIAM15_assumptions!$H$2:$V$2,0))</f>
        <v>0.92</v>
      </c>
      <c r="V53" s="57">
        <f ca="1">OFFSET(TIAM15_assumptions!$G53,0,MATCH(VLOOKUP(Assumptions!V$2,TIAM15_assumptions!$Y$3:$Z$87,2,FALSE),TIAM15_assumptions!$H$2:$V$2,0))</f>
        <v>0.92</v>
      </c>
      <c r="W53" s="57">
        <f ca="1">OFFSET(TIAM15_assumptions!$G53,0,MATCH(VLOOKUP(Assumptions!W$2,TIAM15_assumptions!$Y$3:$Z$87,2,FALSE),TIAM15_assumptions!$H$2:$V$2,0))</f>
        <v>0.5</v>
      </c>
      <c r="X53" s="57">
        <f ca="1">OFFSET(TIAM15_assumptions!$G53,0,MATCH(VLOOKUP(Assumptions!X$2,TIAM15_assumptions!$Y$3:$Z$87,2,FALSE),TIAM15_assumptions!$H$2:$V$2,0))</f>
        <v>0.92</v>
      </c>
      <c r="Y53" s="57">
        <f ca="1">OFFSET(TIAM15_assumptions!$G53,0,MATCH(VLOOKUP(Assumptions!Y$2,TIAM15_assumptions!$Y$3:$Z$87,2,FALSE),TIAM15_assumptions!$H$2:$V$2,0))</f>
        <v>0.92</v>
      </c>
      <c r="Z53" s="57">
        <f ca="1">OFFSET(TIAM15_assumptions!$G53,0,MATCH(VLOOKUP(Assumptions!Z$2,TIAM15_assumptions!$Y$3:$Z$87,2,FALSE),TIAM15_assumptions!$H$2:$V$2,0))</f>
        <v>0.8</v>
      </c>
      <c r="AA53" s="57">
        <f ca="1">OFFSET(TIAM15_assumptions!$G53,0,MATCH(VLOOKUP(Assumptions!AA$2,TIAM15_assumptions!$Y$3:$Z$87,2,FALSE),TIAM15_assumptions!$H$2:$V$2,0))</f>
        <v>0.6</v>
      </c>
      <c r="AB53" s="57">
        <f ca="1">OFFSET(TIAM15_assumptions!$G53,0,MATCH(VLOOKUP(Assumptions!AB$2,TIAM15_assumptions!$Y$3:$Z$87,2,FALSE),TIAM15_assumptions!$H$2:$V$2,0))</f>
        <v>0.92</v>
      </c>
      <c r="AC53" s="57">
        <f ca="1">OFFSET(TIAM15_assumptions!$G53,0,MATCH(VLOOKUP(Assumptions!AC$2,TIAM15_assumptions!$Y$3:$Z$87,2,FALSE),TIAM15_assumptions!$H$2:$V$2,0))</f>
        <v>0.523697274532045</v>
      </c>
      <c r="AD53" s="57">
        <f ca="1">OFFSET(TIAM15_assumptions!$G53,0,MATCH(VLOOKUP(Assumptions!AD$2,TIAM15_assumptions!$Y$3:$Z$87,2,FALSE),TIAM15_assumptions!$H$2:$V$2,0))</f>
        <v>0.92</v>
      </c>
      <c r="AE53" s="57">
        <f ca="1">OFFSET(TIAM15_assumptions!$G53,0,MATCH(VLOOKUP(Assumptions!AE$2,TIAM15_assumptions!$Y$3:$Z$87,2,FALSE),TIAM15_assumptions!$H$2:$V$2,0))</f>
        <v>0.92</v>
      </c>
      <c r="AF53" s="57">
        <f ca="1">OFFSET(TIAM15_assumptions!$G53,0,MATCH(VLOOKUP(Assumptions!AF$2,TIAM15_assumptions!$Y$3:$Z$87,2,FALSE),TIAM15_assumptions!$H$2:$V$2,0))</f>
        <v>0.8</v>
      </c>
      <c r="AG53" s="57">
        <f ca="1">OFFSET(TIAM15_assumptions!$G53,0,MATCH(VLOOKUP(Assumptions!AG$2,TIAM15_assumptions!$Y$3:$Z$87,2,FALSE),TIAM15_assumptions!$H$2:$V$2,0))</f>
        <v>0.8</v>
      </c>
      <c r="AH53" s="57">
        <f ca="1">OFFSET(TIAM15_assumptions!$G53,0,MATCH(VLOOKUP(Assumptions!AH$2,TIAM15_assumptions!$Y$3:$Z$87,2,FALSE),TIAM15_assumptions!$H$2:$V$2,0))</f>
        <v>0.92</v>
      </c>
      <c r="AI53" s="57">
        <f ca="1">OFFSET(TIAM15_assumptions!$G53,0,MATCH(VLOOKUP(Assumptions!AI$2,TIAM15_assumptions!$Y$3:$Z$87,2,FALSE),TIAM15_assumptions!$H$2:$V$2,0))</f>
        <v>0.5</v>
      </c>
      <c r="AJ53" s="57">
        <f ca="1">OFFSET(TIAM15_assumptions!$G53,0,MATCH(VLOOKUP(Assumptions!AJ$2,TIAM15_assumptions!$Y$3:$Z$87,2,FALSE),TIAM15_assumptions!$H$2:$V$2,0))</f>
        <v>0.92</v>
      </c>
      <c r="AK53" s="57">
        <f ca="1">OFFSET(TIAM15_assumptions!$G53,0,MATCH(VLOOKUP(Assumptions!AK$2,TIAM15_assumptions!$Y$3:$Z$87,2,FALSE),TIAM15_assumptions!$H$2:$V$2,0))</f>
        <v>0.92</v>
      </c>
      <c r="AL53" s="57">
        <f ca="1">OFFSET(TIAM15_assumptions!$G53,0,MATCH(VLOOKUP(Assumptions!AL$2,TIAM15_assumptions!$Y$3:$Z$87,2,FALSE),TIAM15_assumptions!$H$2:$V$2,0))</f>
        <v>0.92</v>
      </c>
      <c r="AM53" s="57">
        <f ca="1">OFFSET(TIAM15_assumptions!$G53,0,MATCH(VLOOKUP(Assumptions!AM$2,TIAM15_assumptions!$Y$3:$Z$87,2,FALSE),TIAM15_assumptions!$H$2:$V$2,0))</f>
        <v>0.92</v>
      </c>
      <c r="AN53" s="57">
        <f ca="1">OFFSET(TIAM15_assumptions!$G53,0,MATCH(VLOOKUP(Assumptions!AN$2,TIAM15_assumptions!$Y$3:$Z$87,2,FALSE),TIAM15_assumptions!$H$2:$V$2,0))</f>
        <v>0.92</v>
      </c>
      <c r="AO53" s="57">
        <f ca="1">OFFSET(TIAM15_assumptions!$G53,0,MATCH(VLOOKUP(Assumptions!AO$2,TIAM15_assumptions!$Y$3:$Z$87,2,FALSE),TIAM15_assumptions!$H$2:$V$2,0))</f>
        <v>0.8</v>
      </c>
      <c r="AP53" s="57">
        <f ca="1">OFFSET(TIAM15_assumptions!$G53,0,MATCH(VLOOKUP(Assumptions!AP$2,TIAM15_assumptions!$Y$3:$Z$87,2,FALSE),TIAM15_assumptions!$H$2:$V$2,0))</f>
        <v>0.92</v>
      </c>
      <c r="AQ53" s="57">
        <f ca="1">OFFSET(TIAM15_assumptions!$G53,0,MATCH(VLOOKUP(Assumptions!AQ$2,TIAM15_assumptions!$Y$3:$Z$87,2,FALSE),TIAM15_assumptions!$H$2:$V$2,0))</f>
        <v>0.523697274532045</v>
      </c>
      <c r="AR53" s="57">
        <f ca="1">OFFSET(TIAM15_assumptions!$G53,0,MATCH(VLOOKUP(Assumptions!AR$2,TIAM15_assumptions!$Y$3:$Z$87,2,FALSE),TIAM15_assumptions!$H$2:$V$2,0))</f>
        <v>0.523697274532045</v>
      </c>
      <c r="AS53" s="57">
        <f ca="1">OFFSET(TIAM15_assumptions!$G53,0,MATCH(VLOOKUP(Assumptions!AS$2,TIAM15_assumptions!$Y$3:$Z$87,2,FALSE),TIAM15_assumptions!$H$2:$V$2,0))</f>
        <v>0.523697274532045</v>
      </c>
      <c r="AT53" s="57">
        <f ca="1">OFFSET(TIAM15_assumptions!$G53,0,MATCH(VLOOKUP(Assumptions!AT$2,TIAM15_assumptions!$Y$3:$Z$87,2,FALSE),TIAM15_assumptions!$H$2:$V$2,0))</f>
        <v>0.523697274532045</v>
      </c>
      <c r="AU53" s="57">
        <f ca="1">OFFSET(TIAM15_assumptions!$G53,0,MATCH(VLOOKUP(Assumptions!AU$2,TIAM15_assumptions!$Y$3:$Z$87,2,FALSE),TIAM15_assumptions!$H$2:$V$2,0))</f>
        <v>0.523697274532045</v>
      </c>
      <c r="AV53" s="57">
        <f ca="1">OFFSET(TIAM15_assumptions!$G53,0,MATCH(VLOOKUP(Assumptions!AV$2,TIAM15_assumptions!$Y$3:$Z$87,2,FALSE),TIAM15_assumptions!$H$2:$V$2,0))</f>
        <v>0.523697274532045</v>
      </c>
      <c r="AW53" s="57">
        <f ca="1">OFFSET(TIAM15_assumptions!$G53,0,MATCH(VLOOKUP(Assumptions!AW$2,TIAM15_assumptions!$Y$3:$Z$87,2,FALSE),TIAM15_assumptions!$H$2:$V$2,0))</f>
        <v>0.523697274532045</v>
      </c>
      <c r="AX53" s="57">
        <f ca="1">OFFSET(TIAM15_assumptions!$G53,0,MATCH(VLOOKUP(Assumptions!AX$2,TIAM15_assumptions!$Y$3:$Z$87,2,FALSE),TIAM15_assumptions!$H$2:$V$2,0))</f>
        <v>0.523697274532045</v>
      </c>
      <c r="AY53" s="57">
        <f ca="1">OFFSET(TIAM15_assumptions!$G53,0,MATCH(VLOOKUP(Assumptions!AY$2,TIAM15_assumptions!$Y$3:$Z$87,2,FALSE),TIAM15_assumptions!$H$2:$V$2,0))</f>
        <v>0.523697274532045</v>
      </c>
      <c r="AZ53" s="57">
        <f ca="1">OFFSET(TIAM15_assumptions!$G53,0,MATCH(VLOOKUP(Assumptions!AZ$2,TIAM15_assumptions!$Y$3:$Z$87,2,FALSE),TIAM15_assumptions!$H$2:$V$2,0))</f>
        <v>0.523697274532045</v>
      </c>
      <c r="BA53" s="57">
        <f ca="1">OFFSET(TIAM15_assumptions!$G53,0,MATCH(VLOOKUP(Assumptions!BA$2,TIAM15_assumptions!$Y$3:$Z$87,2,FALSE),TIAM15_assumptions!$H$2:$V$2,0))</f>
        <v>0.523697274532045</v>
      </c>
      <c r="BD53" s="40">
        <f ca="1">IFERROR(SUMIFS('TRA balance'!E$5:E$40,'TRA balance'!$C$5:$C$40,Assumptions!$C53,'TRA balance'!$D$5:$D$40,Assumptions!$B53)*CY53*H53,"")</f>
        <v>2.54350664415</v>
      </c>
      <c r="BE53" s="40">
        <f ca="1">IFERROR(SUMIFS('TRA balance'!F$5:F$40,'TRA balance'!$C$5:$C$40,Assumptions!$C53,'TRA balance'!$D$5:$D$40,Assumptions!$B53)*CZ53*I53,"")</f>
        <v>0.00933604065</v>
      </c>
      <c r="BF53" s="40">
        <f ca="1">IFERROR(SUMIFS('TRA balance'!G$5:G$40,'TRA balance'!$C$5:$C$40,Assumptions!$C53,'TRA balance'!$D$5:$D$40,Assumptions!$B53)*DA53*J53,"")</f>
        <v>0.3904316604</v>
      </c>
      <c r="BG53" s="40">
        <f ca="1">IFERROR(SUMIFS('TRA balance'!H$5:H$40,'TRA balance'!$C$5:$C$40,Assumptions!$C53,'TRA balance'!$D$5:$D$40,Assumptions!$B53)*DB53*K53,"")</f>
        <v>0.491904598483584</v>
      </c>
      <c r="BH53" s="40">
        <f ca="1">IFERROR(SUMIFS('TRA balance'!I$5:I$40,'TRA balance'!$C$5:$C$40,Assumptions!$C53,'TRA balance'!$D$5:$D$40,Assumptions!$B53)*DC53*L53,"")</f>
        <v>0.450380439936</v>
      </c>
      <c r="BI53" s="40">
        <f ca="1">IFERROR(SUMIFS('TRA balance'!J$5:J$40,'TRA balance'!$C$5:$C$40,Assumptions!$C53,'TRA balance'!$D$5:$D$40,Assumptions!$B53)*DD53*M53,"")</f>
        <v>2.4074171259336</v>
      </c>
      <c r="BJ53" s="40">
        <f ca="1">IFERROR(SUMIFS('TRA balance'!K$5:K$40,'TRA balance'!$C$5:$C$40,Assumptions!$C53,'TRA balance'!$D$5:$D$40,Assumptions!$B53)*DE53*N53,"")</f>
        <v>25.25192052768</v>
      </c>
      <c r="BK53" s="40">
        <f ca="1">IFERROR(SUMIFS('TRA balance'!L$5:L$40,'TRA balance'!$C$5:$C$40,Assumptions!$C53,'TRA balance'!$D$5:$D$40,Assumptions!$B53)*DF53*O53,"")</f>
        <v>275.595208263763</v>
      </c>
      <c r="BL53" s="40">
        <f ca="1">IFERROR(SUMIFS('TRA balance'!M$5:M$40,'TRA balance'!$C$5:$C$40,Assumptions!$C53,'TRA balance'!$D$5:$D$40,Assumptions!$B53)*DG53*P53,"")</f>
        <v>0</v>
      </c>
      <c r="BM53" s="40">
        <f ca="1">IFERROR(SUMIFS('TRA balance'!N$5:N$40,'TRA balance'!$C$5:$C$40,Assumptions!$C53,'TRA balance'!$D$5:$D$40,Assumptions!$B53)*DH53*Q53,"")</f>
        <v>0</v>
      </c>
      <c r="BN53" s="40">
        <f ca="1">IFERROR(SUMIFS('TRA balance'!O$5:O$40,'TRA balance'!$C$5:$C$40,Assumptions!$C53,'TRA balance'!$D$5:$D$40,Assumptions!$B53)*DI53*R53,"")</f>
        <v>4.27416528738672</v>
      </c>
      <c r="BO53" s="40">
        <f ca="1">IFERROR(SUMIFS('TRA balance'!P$5:P$40,'TRA balance'!$C$5:$C$40,Assumptions!$C53,'TRA balance'!$D$5:$D$40,Assumptions!$B53)*DJ53*S53,"")</f>
        <v>5.23068556370659</v>
      </c>
      <c r="BP53" s="40">
        <f ca="1">IFERROR(SUMIFS('TRA balance'!Q$5:Q$40,'TRA balance'!$C$5:$C$40,Assumptions!$C53,'TRA balance'!$D$5:$D$40,Assumptions!$B53)*DK53*T53,"")</f>
        <v>0.46999044984672</v>
      </c>
      <c r="BQ53" s="40">
        <f ca="1">IFERROR(SUMIFS('TRA balance'!R$5:R$40,'TRA balance'!$C$5:$C$40,Assumptions!$C53,'TRA balance'!$D$5:$D$40,Assumptions!$B53)*DL53*U53,"")</f>
        <v>0</v>
      </c>
      <c r="BR53" s="40">
        <f ca="1">IFERROR(SUMIFS('TRA balance'!S$5:S$40,'TRA balance'!$C$5:$C$40,Assumptions!$C53,'TRA balance'!$D$5:$D$40,Assumptions!$B53)*DM53*V53,"")</f>
        <v>0.04670745178176</v>
      </c>
      <c r="BS53" s="40">
        <f ca="1">IFERROR(SUMIFS('TRA balance'!T$5:T$40,'TRA balance'!$C$5:$C$40,Assumptions!$C53,'TRA balance'!$D$5:$D$40,Assumptions!$B53)*DN53*W53,"")</f>
        <v>15.4225927764</v>
      </c>
      <c r="BT53" s="40">
        <f ca="1">IFERROR(SUMIFS('TRA balance'!U$5:U$40,'TRA balance'!$C$5:$C$40,Assumptions!$C53,'TRA balance'!$D$5:$D$40,Assumptions!$B53)*DO53*X53,"")</f>
        <v>0</v>
      </c>
      <c r="BU53" s="40">
        <f ca="1">IFERROR(SUMIFS('TRA balance'!V$5:V$40,'TRA balance'!$C$5:$C$40,Assumptions!$C53,'TRA balance'!$D$5:$D$40,Assumptions!$B53)*DP53*Y53,"")</f>
        <v>25.2161106621526</v>
      </c>
      <c r="BV53" s="40">
        <f ca="1">IFERROR(SUMIFS('TRA balance'!W$5:W$40,'TRA balance'!$C$5:$C$40,Assumptions!$C53,'TRA balance'!$D$5:$D$40,Assumptions!$B53)*DQ53*Z53,"")</f>
        <v>1.063245061296</v>
      </c>
      <c r="BW53" s="40">
        <f ca="1">IFERROR(SUMIFS('TRA balance'!X$5:X$40,'TRA balance'!$C$5:$C$40,Assumptions!$C53,'TRA balance'!$D$5:$D$40,Assumptions!$B53)*DR53*AA53,"")</f>
        <v>48.56458814568</v>
      </c>
      <c r="BX53" s="40">
        <f ca="1">IFERROR(SUMIFS('TRA balance'!Y$5:Y$40,'TRA balance'!$C$5:$C$40,Assumptions!$C53,'TRA balance'!$D$5:$D$40,Assumptions!$B53)*DS53*AB53,"")</f>
        <v>175.333787133687</v>
      </c>
      <c r="BY53" s="40">
        <f ca="1">IFERROR(SUMIFS('TRA balance'!Z$5:Z$40,'TRA balance'!$C$5:$C$40,Assumptions!$C53,'TRA balance'!$D$5:$D$40,Assumptions!$B53)*DT53*AC53,"")</f>
        <v>27.8692602899771</v>
      </c>
      <c r="BZ53" s="40">
        <f ca="1">IFERROR(SUMIFS('TRA balance'!AA$5:AA$40,'TRA balance'!$C$5:$C$40,Assumptions!$C53,'TRA balance'!$D$5:$D$40,Assumptions!$B53)*DU53*AD53,"")</f>
        <v>1.48692305848522</v>
      </c>
      <c r="CA53" s="40">
        <f ca="1">IFERROR(SUMIFS('TRA balance'!AB$5:AB$40,'TRA balance'!$C$5:$C$40,Assumptions!$C53,'TRA balance'!$D$5:$D$40,Assumptions!$B53)*DV53*AE53,"")</f>
        <v>0</v>
      </c>
      <c r="CB53" s="40">
        <f ca="1">IFERROR(SUMIFS('TRA balance'!AC$5:AC$40,'TRA balance'!$C$5:$C$40,Assumptions!$C53,'TRA balance'!$D$5:$D$40,Assumptions!$B53)*DW53*AF53,"")</f>
        <v>262.724425774272</v>
      </c>
      <c r="CC53" s="40">
        <f ca="1">IFERROR(SUMIFS('TRA balance'!AD$5:AD$40,'TRA balance'!$C$5:$C$40,Assumptions!$C53,'TRA balance'!$D$5:$D$40,Assumptions!$B53)*DX53*AG53,"")</f>
        <v>4.98714533856</v>
      </c>
      <c r="CD53" s="40">
        <f ca="1">IFERROR(SUMIFS('TRA balance'!AE$5:AE$40,'TRA balance'!$C$5:$C$40,Assumptions!$C53,'TRA balance'!$D$5:$D$40,Assumptions!$B53)*DY53*AH53,"")</f>
        <v>0</v>
      </c>
      <c r="CE53" s="40">
        <f ca="1">IFERROR(SUMIFS('TRA balance'!AF$5:AF$40,'TRA balance'!$C$5:$C$40,Assumptions!$C53,'TRA balance'!$D$5:$D$40,Assumptions!$B53)*DZ53*AI53,"")</f>
        <v>0.00091638585</v>
      </c>
      <c r="CF53" s="40">
        <f ca="1">IFERROR(SUMIFS('TRA balance'!AG$5:AG$40,'TRA balance'!$C$5:$C$40,Assumptions!$C53,'TRA balance'!$D$5:$D$40,Assumptions!$B53)*EA53*AJ53,"")</f>
        <v>5.56424191818</v>
      </c>
      <c r="CG53" s="40">
        <f ca="1">IFERROR(SUMIFS('TRA balance'!AH$5:AH$40,'TRA balance'!$C$5:$C$40,Assumptions!$C53,'TRA balance'!$D$5:$D$40,Assumptions!$B53)*EB53*AK53,"")</f>
        <v>3.31041297424147</v>
      </c>
      <c r="CH53" s="40">
        <f ca="1">IFERROR(SUMIFS('TRA balance'!AI$5:AI$40,'TRA balance'!$C$5:$C$40,Assumptions!$C53,'TRA balance'!$D$5:$D$40,Assumptions!$B53)*EC53*AL53,"")</f>
        <v>0.366480116744544</v>
      </c>
      <c r="CI53" s="40">
        <f ca="1">IFERROR(SUMIFS('TRA balance'!AJ$5:AJ$40,'TRA balance'!$C$5:$C$40,Assumptions!$C53,'TRA balance'!$D$5:$D$40,Assumptions!$B53)*ED53*AM53,"")</f>
        <v>2.09790276238858</v>
      </c>
      <c r="CJ53" s="40">
        <f ca="1">IFERROR(SUMIFS('TRA balance'!AK$5:AK$40,'TRA balance'!$C$5:$C$40,Assumptions!$C53,'TRA balance'!$D$5:$D$40,Assumptions!$B53)*EE53*AN53,"")</f>
        <v>0.357453862283232</v>
      </c>
      <c r="CK53" s="40">
        <f ca="1">IFERROR(SUMIFS('TRA balance'!AL$5:AL$40,'TRA balance'!$C$5:$C$40,Assumptions!$C53,'TRA balance'!$D$5:$D$40,Assumptions!$B53)*EF53*AO53,"")</f>
        <v>0.753479639136</v>
      </c>
      <c r="CL53" s="40">
        <f ca="1">IFERROR(SUMIFS('TRA balance'!AM$5:AM$40,'TRA balance'!$C$5:$C$40,Assumptions!$C53,'TRA balance'!$D$5:$D$40,Assumptions!$B53)*EG53*AP53,"")</f>
        <v>0</v>
      </c>
      <c r="CM53" s="40">
        <f ca="1">IFERROR(SUMIFS('TRA balance'!AN$5:AN$40,'TRA balance'!$C$5:$C$40,Assumptions!$C53,'TRA balance'!$D$5:$D$40,Assumptions!$B53)*EH53*AQ53,"")</f>
        <v>0</v>
      </c>
      <c r="CN53" s="40">
        <f ca="1">IFERROR(SUMIFS('TRA balance'!AO$5:AO$40,'TRA balance'!$C$5:$C$40,Assumptions!$C53,'TRA balance'!$D$5:$D$40,Assumptions!$B53)*EI53*AR53,"")</f>
        <v>0</v>
      </c>
      <c r="CO53" s="40">
        <f ca="1">IFERROR(SUMIFS('TRA balance'!AP$5:AP$40,'TRA balance'!$C$5:$C$40,Assumptions!$C53,'TRA balance'!$D$5:$D$40,Assumptions!$B53)*EJ53*AS53,"")</f>
        <v>0</v>
      </c>
      <c r="CP53" s="40">
        <f ca="1">IFERROR(SUMIFS('TRA balance'!AQ$5:AQ$40,'TRA balance'!$C$5:$C$40,Assumptions!$C53,'TRA balance'!$D$5:$D$40,Assumptions!$B53)*EK53*AT53,"")</f>
        <v>0</v>
      </c>
      <c r="CQ53" s="40">
        <f ca="1">IFERROR(SUMIFS('TRA balance'!AR$5:AR$40,'TRA balance'!$C$5:$C$40,Assumptions!$C53,'TRA balance'!$D$5:$D$40,Assumptions!$B53)*EL53*AU53,"")</f>
        <v>0</v>
      </c>
      <c r="CR53" s="40">
        <f ca="1">IFERROR(SUMIFS('TRA balance'!AS$5:AS$40,'TRA balance'!$C$5:$C$40,Assumptions!$C53,'TRA balance'!$D$5:$D$40,Assumptions!$B53)*EM53*AV53,"")</f>
        <v>0</v>
      </c>
      <c r="CS53" s="40">
        <f ca="1">IFERROR(SUMIFS('TRA balance'!AT$5:AT$40,'TRA balance'!$C$5:$C$40,Assumptions!$C53,'TRA balance'!$D$5:$D$40,Assumptions!$B53)*EN53*AW53,"")</f>
        <v>0</v>
      </c>
      <c r="CT53" s="40">
        <f ca="1">IFERROR(SUMIFS('TRA balance'!AU$5:AU$40,'TRA balance'!$C$5:$C$40,Assumptions!$C53,'TRA balance'!$D$5:$D$40,Assumptions!$B53)*EO53*AX53,"")</f>
        <v>0</v>
      </c>
      <c r="CU53" s="40">
        <f ca="1">IFERROR(SUMIFS('TRA balance'!AV$5:AV$40,'TRA balance'!$C$5:$C$40,Assumptions!$C53,'TRA balance'!$D$5:$D$40,Assumptions!$B53)*EP53*AY53,"")</f>
        <v>0</v>
      </c>
      <c r="CV53" s="40">
        <f ca="1">IFERROR(SUMIFS('TRA balance'!AW$5:AW$40,'TRA balance'!$C$5:$C$40,Assumptions!$C53,'TRA balance'!$D$5:$D$40,Assumptions!$B53)*EQ53*AZ53,"")</f>
        <v>0</v>
      </c>
      <c r="CW53" s="40">
        <f ca="1">IFERROR(SUMIFS('TRA balance'!AX$5:AX$40,'TRA balance'!$C$5:$C$40,Assumptions!$C53,'TRA balance'!$D$5:$D$40,Assumptions!$B53)*ER53*BA53,"")</f>
        <v>0</v>
      </c>
      <c r="CY53" s="39">
        <f ca="1" t="shared" si="66"/>
        <v>0.25</v>
      </c>
      <c r="CZ53" s="39">
        <f ca="1" t="shared" si="3"/>
        <v>0.25</v>
      </c>
      <c r="DA53" s="39">
        <f ca="1" t="shared" si="4"/>
        <v>0.25</v>
      </c>
      <c r="DB53" s="39">
        <f ca="1" t="shared" si="5"/>
        <v>0.682</v>
      </c>
      <c r="DC53" s="39">
        <f ca="1" t="shared" si="6"/>
        <v>0.7</v>
      </c>
      <c r="DD53" s="39">
        <f ca="1" t="shared" si="7"/>
        <v>0.682</v>
      </c>
      <c r="DE53" s="39">
        <f ca="1" t="shared" si="8"/>
        <v>0.5</v>
      </c>
      <c r="DF53" s="39">
        <f ca="1" t="shared" si="9"/>
        <v>0.4</v>
      </c>
      <c r="DG53" s="39">
        <f ca="1" t="shared" si="10"/>
        <v>0</v>
      </c>
      <c r="DH53" s="39">
        <f ca="1" t="shared" si="11"/>
        <v>0</v>
      </c>
      <c r="DI53" s="39">
        <f ca="1" t="shared" si="12"/>
        <v>0.682</v>
      </c>
      <c r="DJ53" s="39">
        <f ca="1" t="shared" si="13"/>
        <v>0.682</v>
      </c>
      <c r="DK53" s="39">
        <f ca="1" t="shared" si="14"/>
        <v>0.682</v>
      </c>
      <c r="DL53" s="39">
        <f ca="1" t="shared" si="15"/>
        <v>0</v>
      </c>
      <c r="DM53" s="39">
        <f ca="1" t="shared" si="16"/>
        <v>0.682</v>
      </c>
      <c r="DN53" s="39">
        <f ca="1" t="shared" si="17"/>
        <v>0.25</v>
      </c>
      <c r="DO53" s="39">
        <f ca="1" t="shared" si="18"/>
        <v>0.682</v>
      </c>
      <c r="DP53" s="39">
        <f ca="1" t="shared" si="19"/>
        <v>0.682</v>
      </c>
      <c r="DQ53" s="39">
        <f ca="1" t="shared" si="20"/>
        <v>0.95</v>
      </c>
      <c r="DR53" s="39">
        <f ca="1" t="shared" si="21"/>
        <v>0.5</v>
      </c>
      <c r="DS53" s="39">
        <f ca="1" t="shared" si="22"/>
        <v>0.682</v>
      </c>
      <c r="DT53" s="39">
        <f ca="1" t="shared" si="23"/>
        <v>0.97916979455979</v>
      </c>
      <c r="DU53" s="39">
        <f ca="1" t="shared" si="24"/>
        <v>0.682</v>
      </c>
      <c r="DV53" s="39">
        <f ca="1" t="shared" si="25"/>
        <v>0</v>
      </c>
      <c r="DW53" s="39">
        <f ca="1" t="shared" si="26"/>
        <v>0.9</v>
      </c>
      <c r="DX53" s="39">
        <f ca="1" t="shared" si="27"/>
        <v>0.7</v>
      </c>
      <c r="DY53" s="39">
        <f ca="1" t="shared" si="28"/>
        <v>0.682</v>
      </c>
      <c r="DZ53" s="39">
        <f ca="1" t="shared" si="29"/>
        <v>0.25</v>
      </c>
      <c r="EA53" s="39">
        <f ca="1" t="shared" si="30"/>
        <v>0.682</v>
      </c>
      <c r="EB53" s="39">
        <f ca="1" t="shared" si="31"/>
        <v>0.682</v>
      </c>
      <c r="EC53" s="39">
        <f ca="1" t="shared" si="32"/>
        <v>0.682</v>
      </c>
      <c r="ED53" s="39">
        <f ca="1" t="shared" si="33"/>
        <v>0.682</v>
      </c>
      <c r="EE53" s="39">
        <f ca="1" t="shared" si="34"/>
        <v>0.682</v>
      </c>
      <c r="EF53" s="39">
        <f ca="1" t="shared" si="35"/>
        <v>0.7</v>
      </c>
      <c r="EG53" s="39">
        <f ca="1" t="shared" si="36"/>
        <v>0</v>
      </c>
      <c r="EH53" s="39">
        <f ca="1" t="shared" si="37"/>
        <v>0.97916979455979</v>
      </c>
      <c r="EI53" s="39">
        <f ca="1" t="shared" si="38"/>
        <v>0.97916979455979</v>
      </c>
      <c r="EJ53" s="39">
        <f ca="1" t="shared" si="39"/>
        <v>0.97916979455979</v>
      </c>
      <c r="EK53" s="39">
        <f ca="1" t="shared" si="40"/>
        <v>0.97916979455979</v>
      </c>
      <c r="EL53" s="39">
        <f ca="1" t="shared" si="41"/>
        <v>0.97916979455979</v>
      </c>
      <c r="EM53" s="39">
        <f ca="1" t="shared" si="42"/>
        <v>0.97916979455979</v>
      </c>
      <c r="EN53" s="39">
        <f ca="1" t="shared" si="43"/>
        <v>0.97916979455979</v>
      </c>
      <c r="EO53" s="39">
        <f ca="1" t="shared" si="44"/>
        <v>0.97916979455979</v>
      </c>
      <c r="EP53" s="39">
        <f ca="1" t="shared" si="45"/>
        <v>0.97916979455979</v>
      </c>
      <c r="EQ53" s="39">
        <f ca="1" t="shared" si="46"/>
        <v>0.97916979455979</v>
      </c>
      <c r="ER53" s="39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4" t="str">
        <f t="shared" si="48"/>
        <v>TR</v>
      </c>
      <c r="D54" s="55" t="s">
        <v>200</v>
      </c>
      <c r="E54" s="66" t="s">
        <v>204</v>
      </c>
      <c r="F54" s="56" t="str">
        <f t="shared" ref="F54:F57" si="78">F53</f>
        <v>Natural Gas</v>
      </c>
      <c r="G54" s="54" t="s">
        <v>205</v>
      </c>
      <c r="H54" s="57">
        <f ca="1">OFFSET(TIAM15_assumptions!$G54,0,MATCH(VLOOKUP(Assumptions!H$2,TIAM15_assumptions!$Y$3:$Z$87,2,FALSE),TIAM15_assumptions!$H$2:$V$2,0))</f>
        <v>0.5</v>
      </c>
      <c r="I54" s="57">
        <f ca="1">OFFSET(TIAM15_assumptions!$G54,0,MATCH(VLOOKUP(Assumptions!I$2,TIAM15_assumptions!$Y$3:$Z$87,2,FALSE),TIAM15_assumptions!$H$2:$V$2,0))</f>
        <v>0.5</v>
      </c>
      <c r="J54" s="57">
        <f ca="1">OFFSET(TIAM15_assumptions!$G54,0,MATCH(VLOOKUP(Assumptions!J$2,TIAM15_assumptions!$Y$3:$Z$87,2,FALSE),TIAM15_assumptions!$H$2:$V$2,0))</f>
        <v>0.5</v>
      </c>
      <c r="K54" s="57">
        <f ca="1">OFFSET(TIAM15_assumptions!$G54,0,MATCH(VLOOKUP(Assumptions!K$2,TIAM15_assumptions!$Y$3:$Z$87,2,FALSE),TIAM15_assumptions!$H$2:$V$2,0))</f>
        <v>0.08</v>
      </c>
      <c r="L54" s="57">
        <f ca="1">OFFSET(TIAM15_assumptions!$G54,0,MATCH(VLOOKUP(Assumptions!L$2,TIAM15_assumptions!$Y$3:$Z$87,2,FALSE),TIAM15_assumptions!$H$2:$V$2,0))</f>
        <v>0.2</v>
      </c>
      <c r="M54" s="57">
        <f ca="1">OFFSET(TIAM15_assumptions!$G54,0,MATCH(VLOOKUP(Assumptions!M$2,TIAM15_assumptions!$Y$3:$Z$87,2,FALSE),TIAM15_assumptions!$H$2:$V$2,0))</f>
        <v>0.08</v>
      </c>
      <c r="N54" s="57">
        <f ca="1">OFFSET(TIAM15_assumptions!$G54,0,MATCH(VLOOKUP(Assumptions!N$2,TIAM15_assumptions!$Y$3:$Z$87,2,FALSE),TIAM15_assumptions!$H$2:$V$2,0))</f>
        <v>0.4</v>
      </c>
      <c r="O54" s="57">
        <f ca="1">OFFSET(TIAM15_assumptions!$G54,0,MATCH(VLOOKUP(Assumptions!O$2,TIAM15_assumptions!$Y$3:$Z$87,2,FALSE),TIAM15_assumptions!$H$2:$V$2,0))</f>
        <v>0.33</v>
      </c>
      <c r="P54" s="57">
        <f ca="1">OFFSET(TIAM15_assumptions!$G54,0,MATCH(VLOOKUP(Assumptions!P$2,TIAM15_assumptions!$Y$3:$Z$87,2,FALSE),TIAM15_assumptions!$H$2:$V$2,0))</f>
        <v>0.08</v>
      </c>
      <c r="Q54" s="57">
        <f ca="1">OFFSET(TIAM15_assumptions!$G54,0,MATCH(VLOOKUP(Assumptions!Q$2,TIAM15_assumptions!$Y$3:$Z$87,2,FALSE),TIAM15_assumptions!$H$2:$V$2,0))</f>
        <v>0.08</v>
      </c>
      <c r="R54" s="57">
        <f ca="1">OFFSET(TIAM15_assumptions!$G54,0,MATCH(VLOOKUP(Assumptions!R$2,TIAM15_assumptions!$Y$3:$Z$87,2,FALSE),TIAM15_assumptions!$H$2:$V$2,0))</f>
        <v>0.08</v>
      </c>
      <c r="S54" s="57">
        <f ca="1">OFFSET(TIAM15_assumptions!$G54,0,MATCH(VLOOKUP(Assumptions!S$2,TIAM15_assumptions!$Y$3:$Z$87,2,FALSE),TIAM15_assumptions!$H$2:$V$2,0))</f>
        <v>0.08</v>
      </c>
      <c r="T54" s="57">
        <f ca="1">OFFSET(TIAM15_assumptions!$G54,0,MATCH(VLOOKUP(Assumptions!T$2,TIAM15_assumptions!$Y$3:$Z$87,2,FALSE),TIAM15_assumptions!$H$2:$V$2,0))</f>
        <v>0.08</v>
      </c>
      <c r="U54" s="57">
        <f ca="1">OFFSET(TIAM15_assumptions!$G54,0,MATCH(VLOOKUP(Assumptions!U$2,TIAM15_assumptions!$Y$3:$Z$87,2,FALSE),TIAM15_assumptions!$H$2:$V$2,0))</f>
        <v>0.08</v>
      </c>
      <c r="V54" s="57">
        <f ca="1">OFFSET(TIAM15_assumptions!$G54,0,MATCH(VLOOKUP(Assumptions!V$2,TIAM15_assumptions!$Y$3:$Z$87,2,FALSE),TIAM15_assumptions!$H$2:$V$2,0))</f>
        <v>0.08</v>
      </c>
      <c r="W54" s="57">
        <f ca="1">OFFSET(TIAM15_assumptions!$G54,0,MATCH(VLOOKUP(Assumptions!W$2,TIAM15_assumptions!$Y$3:$Z$87,2,FALSE),TIAM15_assumptions!$H$2:$V$2,0))</f>
        <v>0.5</v>
      </c>
      <c r="X54" s="57">
        <f ca="1">OFFSET(TIAM15_assumptions!$G54,0,MATCH(VLOOKUP(Assumptions!X$2,TIAM15_assumptions!$Y$3:$Z$87,2,FALSE),TIAM15_assumptions!$H$2:$V$2,0))</f>
        <v>0.08</v>
      </c>
      <c r="Y54" s="57">
        <f ca="1">OFFSET(TIAM15_assumptions!$G54,0,MATCH(VLOOKUP(Assumptions!Y$2,TIAM15_assumptions!$Y$3:$Z$87,2,FALSE),TIAM15_assumptions!$H$2:$V$2,0))</f>
        <v>0.08</v>
      </c>
      <c r="Z54" s="57">
        <f ca="1">OFFSET(TIAM15_assumptions!$G54,0,MATCH(VLOOKUP(Assumptions!Z$2,TIAM15_assumptions!$Y$3:$Z$87,2,FALSE),TIAM15_assumptions!$H$2:$V$2,0))</f>
        <v>0.2</v>
      </c>
      <c r="AA54" s="57">
        <f ca="1">OFFSET(TIAM15_assumptions!$G54,0,MATCH(VLOOKUP(Assumptions!AA$2,TIAM15_assumptions!$Y$3:$Z$87,2,FALSE),TIAM15_assumptions!$H$2:$V$2,0))</f>
        <v>0.4</v>
      </c>
      <c r="AB54" s="57">
        <f ca="1">OFFSET(TIAM15_assumptions!$G54,0,MATCH(VLOOKUP(Assumptions!AB$2,TIAM15_assumptions!$Y$3:$Z$87,2,FALSE),TIAM15_assumptions!$H$2:$V$2,0))</f>
        <v>0.08</v>
      </c>
      <c r="AC54" s="57">
        <f ca="1">OFFSET(TIAM15_assumptions!$G54,0,MATCH(VLOOKUP(Assumptions!AC$2,TIAM15_assumptions!$Y$3:$Z$87,2,FALSE),TIAM15_assumptions!$H$2:$V$2,0))</f>
        <v>0.476302725467955</v>
      </c>
      <c r="AD54" s="57">
        <f ca="1">OFFSET(TIAM15_assumptions!$G54,0,MATCH(VLOOKUP(Assumptions!AD$2,TIAM15_assumptions!$Y$3:$Z$87,2,FALSE),TIAM15_assumptions!$H$2:$V$2,0))</f>
        <v>0.08</v>
      </c>
      <c r="AE54" s="57">
        <f ca="1">OFFSET(TIAM15_assumptions!$G54,0,MATCH(VLOOKUP(Assumptions!AE$2,TIAM15_assumptions!$Y$3:$Z$87,2,FALSE),TIAM15_assumptions!$H$2:$V$2,0))</f>
        <v>0.08</v>
      </c>
      <c r="AF54" s="57">
        <f ca="1">OFFSET(TIAM15_assumptions!$G54,0,MATCH(VLOOKUP(Assumptions!AF$2,TIAM15_assumptions!$Y$3:$Z$87,2,FALSE),TIAM15_assumptions!$H$2:$V$2,0))</f>
        <v>0.2</v>
      </c>
      <c r="AG54" s="57">
        <f ca="1">OFFSET(TIAM15_assumptions!$G54,0,MATCH(VLOOKUP(Assumptions!AG$2,TIAM15_assumptions!$Y$3:$Z$87,2,FALSE),TIAM15_assumptions!$H$2:$V$2,0))</f>
        <v>0.2</v>
      </c>
      <c r="AH54" s="57">
        <f ca="1">OFFSET(TIAM15_assumptions!$G54,0,MATCH(VLOOKUP(Assumptions!AH$2,TIAM15_assumptions!$Y$3:$Z$87,2,FALSE),TIAM15_assumptions!$H$2:$V$2,0))</f>
        <v>0.08</v>
      </c>
      <c r="AI54" s="57">
        <f ca="1">OFFSET(TIAM15_assumptions!$G54,0,MATCH(VLOOKUP(Assumptions!AI$2,TIAM15_assumptions!$Y$3:$Z$87,2,FALSE),TIAM15_assumptions!$H$2:$V$2,0))</f>
        <v>0.5</v>
      </c>
      <c r="AJ54" s="57">
        <f ca="1">OFFSET(TIAM15_assumptions!$G54,0,MATCH(VLOOKUP(Assumptions!AJ$2,TIAM15_assumptions!$Y$3:$Z$87,2,FALSE),TIAM15_assumptions!$H$2:$V$2,0))</f>
        <v>0.08</v>
      </c>
      <c r="AK54" s="57">
        <f ca="1">OFFSET(TIAM15_assumptions!$G54,0,MATCH(VLOOKUP(Assumptions!AK$2,TIAM15_assumptions!$Y$3:$Z$87,2,FALSE),TIAM15_assumptions!$H$2:$V$2,0))</f>
        <v>0.08</v>
      </c>
      <c r="AL54" s="57">
        <f ca="1">OFFSET(TIAM15_assumptions!$G54,0,MATCH(VLOOKUP(Assumptions!AL$2,TIAM15_assumptions!$Y$3:$Z$87,2,FALSE),TIAM15_assumptions!$H$2:$V$2,0))</f>
        <v>0.08</v>
      </c>
      <c r="AM54" s="57">
        <f ca="1">OFFSET(TIAM15_assumptions!$G54,0,MATCH(VLOOKUP(Assumptions!AM$2,TIAM15_assumptions!$Y$3:$Z$87,2,FALSE),TIAM15_assumptions!$H$2:$V$2,0))</f>
        <v>0.08</v>
      </c>
      <c r="AN54" s="57">
        <f ca="1">OFFSET(TIAM15_assumptions!$G54,0,MATCH(VLOOKUP(Assumptions!AN$2,TIAM15_assumptions!$Y$3:$Z$87,2,FALSE),TIAM15_assumptions!$H$2:$V$2,0))</f>
        <v>0.08</v>
      </c>
      <c r="AO54" s="57">
        <f ca="1">OFFSET(TIAM15_assumptions!$G54,0,MATCH(VLOOKUP(Assumptions!AO$2,TIAM15_assumptions!$Y$3:$Z$87,2,FALSE),TIAM15_assumptions!$H$2:$V$2,0))</f>
        <v>0.2</v>
      </c>
      <c r="AP54" s="57">
        <f ca="1">OFFSET(TIAM15_assumptions!$G54,0,MATCH(VLOOKUP(Assumptions!AP$2,TIAM15_assumptions!$Y$3:$Z$87,2,FALSE),TIAM15_assumptions!$H$2:$V$2,0))</f>
        <v>0.08</v>
      </c>
      <c r="AQ54" s="57">
        <f ca="1">OFFSET(TIAM15_assumptions!$G54,0,MATCH(VLOOKUP(Assumptions!AQ$2,TIAM15_assumptions!$Y$3:$Z$87,2,FALSE),TIAM15_assumptions!$H$2:$V$2,0))</f>
        <v>0.476302725467955</v>
      </c>
      <c r="AR54" s="57">
        <f ca="1">OFFSET(TIAM15_assumptions!$G54,0,MATCH(VLOOKUP(Assumptions!AR$2,TIAM15_assumptions!$Y$3:$Z$87,2,FALSE),TIAM15_assumptions!$H$2:$V$2,0))</f>
        <v>0.476302725467955</v>
      </c>
      <c r="AS54" s="57">
        <f ca="1">OFFSET(TIAM15_assumptions!$G54,0,MATCH(VLOOKUP(Assumptions!AS$2,TIAM15_assumptions!$Y$3:$Z$87,2,FALSE),TIAM15_assumptions!$H$2:$V$2,0))</f>
        <v>0.476302725467955</v>
      </c>
      <c r="AT54" s="57">
        <f ca="1">OFFSET(TIAM15_assumptions!$G54,0,MATCH(VLOOKUP(Assumptions!AT$2,TIAM15_assumptions!$Y$3:$Z$87,2,FALSE),TIAM15_assumptions!$H$2:$V$2,0))</f>
        <v>0.476302725467955</v>
      </c>
      <c r="AU54" s="57">
        <f ca="1">OFFSET(TIAM15_assumptions!$G54,0,MATCH(VLOOKUP(Assumptions!AU$2,TIAM15_assumptions!$Y$3:$Z$87,2,FALSE),TIAM15_assumptions!$H$2:$V$2,0))</f>
        <v>0.476302725467955</v>
      </c>
      <c r="AV54" s="57">
        <f ca="1">OFFSET(TIAM15_assumptions!$G54,0,MATCH(VLOOKUP(Assumptions!AV$2,TIAM15_assumptions!$Y$3:$Z$87,2,FALSE),TIAM15_assumptions!$H$2:$V$2,0))</f>
        <v>0.476302725467955</v>
      </c>
      <c r="AW54" s="57">
        <f ca="1">OFFSET(TIAM15_assumptions!$G54,0,MATCH(VLOOKUP(Assumptions!AW$2,TIAM15_assumptions!$Y$3:$Z$87,2,FALSE),TIAM15_assumptions!$H$2:$V$2,0))</f>
        <v>0.476302725467955</v>
      </c>
      <c r="AX54" s="57">
        <f ca="1">OFFSET(TIAM15_assumptions!$G54,0,MATCH(VLOOKUP(Assumptions!AX$2,TIAM15_assumptions!$Y$3:$Z$87,2,FALSE),TIAM15_assumptions!$H$2:$V$2,0))</f>
        <v>0.476302725467955</v>
      </c>
      <c r="AY54" s="57">
        <f ca="1">OFFSET(TIAM15_assumptions!$G54,0,MATCH(VLOOKUP(Assumptions!AY$2,TIAM15_assumptions!$Y$3:$Z$87,2,FALSE),TIAM15_assumptions!$H$2:$V$2,0))</f>
        <v>0.476302725467955</v>
      </c>
      <c r="AZ54" s="57">
        <f ca="1">OFFSET(TIAM15_assumptions!$G54,0,MATCH(VLOOKUP(Assumptions!AZ$2,TIAM15_assumptions!$Y$3:$Z$87,2,FALSE),TIAM15_assumptions!$H$2:$V$2,0))</f>
        <v>0.476302725467955</v>
      </c>
      <c r="BA54" s="57">
        <f ca="1">OFFSET(TIAM15_assumptions!$G54,0,MATCH(VLOOKUP(Assumptions!BA$2,TIAM15_assumptions!$Y$3:$Z$87,2,FALSE),TIAM15_assumptions!$H$2:$V$2,0))</f>
        <v>0.476302725467955</v>
      </c>
      <c r="BD54" s="40">
        <f ca="1">IFERROR(SUMIFS('TRA balance'!E$5:E$40,'TRA balance'!$C$5:$C$40,Assumptions!$C54,'TRA balance'!$D$5:$D$40,Assumptions!$B54)*CY54*H54,"")</f>
        <v>2.54350664415</v>
      </c>
      <c r="BE54" s="40">
        <f ca="1">IFERROR(SUMIFS('TRA balance'!F$5:F$40,'TRA balance'!$C$5:$C$40,Assumptions!$C54,'TRA balance'!$D$5:$D$40,Assumptions!$B54)*CZ54*I54,"")</f>
        <v>0.00933604065</v>
      </c>
      <c r="BF54" s="40">
        <f ca="1">IFERROR(SUMIFS('TRA balance'!G$5:G$40,'TRA balance'!$C$5:$C$40,Assumptions!$C54,'TRA balance'!$D$5:$D$40,Assumptions!$B54)*DA54*J54,"")</f>
        <v>0.3904316604</v>
      </c>
      <c r="BG54" s="40">
        <f ca="1">IFERROR(SUMIFS('TRA balance'!H$5:H$40,'TRA balance'!$C$5:$C$40,Assumptions!$C54,'TRA balance'!$D$5:$D$40,Assumptions!$B54)*DB54*K54,"")</f>
        <v>0.042774312911616</v>
      </c>
      <c r="BH54" s="40">
        <f ca="1">IFERROR(SUMIFS('TRA balance'!I$5:I$40,'TRA balance'!$C$5:$C$40,Assumptions!$C54,'TRA balance'!$D$5:$D$40,Assumptions!$B54)*DC54*L54,"")</f>
        <v>0.112595109984</v>
      </c>
      <c r="BI54" s="40">
        <f ca="1">IFERROR(SUMIFS('TRA balance'!J$5:J$40,'TRA balance'!$C$5:$C$40,Assumptions!$C54,'TRA balance'!$D$5:$D$40,Assumptions!$B54)*DD54*M54,"")</f>
        <v>0.2093406196464</v>
      </c>
      <c r="BJ54" s="40">
        <f ca="1">IFERROR(SUMIFS('TRA balance'!K$5:K$40,'TRA balance'!$C$5:$C$40,Assumptions!$C54,'TRA balance'!$D$5:$D$40,Assumptions!$B54)*DE54*N54,"")</f>
        <v>16.83461368512</v>
      </c>
      <c r="BK54" s="40">
        <f ca="1">IFERROR(SUMIFS('TRA balance'!L$5:L$40,'TRA balance'!$C$5:$C$40,Assumptions!$C54,'TRA balance'!$D$5:$D$40,Assumptions!$B54)*DF54*O54,"")</f>
        <v>135.740923473197</v>
      </c>
      <c r="BL54" s="40">
        <f ca="1">IFERROR(SUMIFS('TRA balance'!M$5:M$40,'TRA balance'!$C$5:$C$40,Assumptions!$C54,'TRA balance'!$D$5:$D$40,Assumptions!$B54)*DG54*P54,"")</f>
        <v>0</v>
      </c>
      <c r="BM54" s="40">
        <f ca="1">IFERROR(SUMIFS('TRA balance'!N$5:N$40,'TRA balance'!$C$5:$C$40,Assumptions!$C54,'TRA balance'!$D$5:$D$40,Assumptions!$B54)*DH54*Q54,"")</f>
        <v>0</v>
      </c>
      <c r="BN54" s="40">
        <f ca="1">IFERROR(SUMIFS('TRA balance'!O$5:O$40,'TRA balance'!$C$5:$C$40,Assumptions!$C54,'TRA balance'!$D$5:$D$40,Assumptions!$B54)*DI54*R54,"")</f>
        <v>0.37166654672928</v>
      </c>
      <c r="BO54" s="40">
        <f ca="1">IFERROR(SUMIFS('TRA balance'!P$5:P$40,'TRA balance'!$C$5:$C$40,Assumptions!$C54,'TRA balance'!$D$5:$D$40,Assumptions!$B54)*DJ54*S54,"")</f>
        <v>0.454842222931008</v>
      </c>
      <c r="BP54" s="40">
        <f ca="1">IFERROR(SUMIFS('TRA balance'!Q$5:Q$40,'TRA balance'!$C$5:$C$40,Assumptions!$C54,'TRA balance'!$D$5:$D$40,Assumptions!$B54)*DK54*T54,"")</f>
        <v>0.04086873476928</v>
      </c>
      <c r="BQ54" s="40">
        <f ca="1">IFERROR(SUMIFS('TRA balance'!R$5:R$40,'TRA balance'!$C$5:$C$40,Assumptions!$C54,'TRA balance'!$D$5:$D$40,Assumptions!$B54)*DL54*U54,"")</f>
        <v>0</v>
      </c>
      <c r="BR54" s="40">
        <f ca="1">IFERROR(SUMIFS('TRA balance'!S$5:S$40,'TRA balance'!$C$5:$C$40,Assumptions!$C54,'TRA balance'!$D$5:$D$40,Assumptions!$B54)*DM54*V54,"")</f>
        <v>0.00406151754624</v>
      </c>
      <c r="BS54" s="40">
        <f ca="1">IFERROR(SUMIFS('TRA balance'!T$5:T$40,'TRA balance'!$C$5:$C$40,Assumptions!$C54,'TRA balance'!$D$5:$D$40,Assumptions!$B54)*DN54*W54,"")</f>
        <v>15.4225927764</v>
      </c>
      <c r="BT54" s="40">
        <f ca="1">IFERROR(SUMIFS('TRA balance'!U$5:U$40,'TRA balance'!$C$5:$C$40,Assumptions!$C54,'TRA balance'!$D$5:$D$40,Assumptions!$B54)*DO54*X54,"")</f>
        <v>0</v>
      </c>
      <c r="BU54" s="40">
        <f ca="1">IFERROR(SUMIFS('TRA balance'!V$5:V$40,'TRA balance'!$C$5:$C$40,Assumptions!$C54,'TRA balance'!$D$5:$D$40,Assumptions!$B54)*DP54*Y54,"")</f>
        <v>2.19270527496979</v>
      </c>
      <c r="BV54" s="40">
        <f ca="1">IFERROR(SUMIFS('TRA balance'!W$5:W$40,'TRA balance'!$C$5:$C$40,Assumptions!$C54,'TRA balance'!$D$5:$D$40,Assumptions!$B54)*DQ54*Z54,"")</f>
        <v>0.265811265324</v>
      </c>
      <c r="BW54" s="40">
        <f ca="1">IFERROR(SUMIFS('TRA balance'!X$5:X$40,'TRA balance'!$C$5:$C$40,Assumptions!$C54,'TRA balance'!$D$5:$D$40,Assumptions!$B54)*DR54*AA54,"")</f>
        <v>32.37639209712</v>
      </c>
      <c r="BX54" s="40">
        <f ca="1">IFERROR(SUMIFS('TRA balance'!Y$5:Y$40,'TRA balance'!$C$5:$C$40,Assumptions!$C54,'TRA balance'!$D$5:$D$40,Assumptions!$B54)*DS54*AB54,"")</f>
        <v>15.2464162724945</v>
      </c>
      <c r="BY54" s="40">
        <f ca="1">IFERROR(SUMIFS('TRA balance'!Z$5:Z$40,'TRA balance'!$C$5:$C$40,Assumptions!$C54,'TRA balance'!$D$5:$D$40,Assumptions!$B54)*DT54*AC54,"")</f>
        <v>25.3470951223743</v>
      </c>
      <c r="BZ54" s="40">
        <f ca="1">IFERROR(SUMIFS('TRA balance'!AA$5:AA$40,'TRA balance'!$C$5:$C$40,Assumptions!$C54,'TRA balance'!$D$5:$D$40,Assumptions!$B54)*DU54*AD54,"")</f>
        <v>0.129297657259584</v>
      </c>
      <c r="CA54" s="40">
        <f ca="1">IFERROR(SUMIFS('TRA balance'!AB$5:AB$40,'TRA balance'!$C$5:$C$40,Assumptions!$C54,'TRA balance'!$D$5:$D$40,Assumptions!$B54)*DV54*AE54,"")</f>
        <v>0</v>
      </c>
      <c r="CB54" s="40">
        <f ca="1">IFERROR(SUMIFS('TRA balance'!AC$5:AC$40,'TRA balance'!$C$5:$C$40,Assumptions!$C54,'TRA balance'!$D$5:$D$40,Assumptions!$B54)*DW54*AF54,"")</f>
        <v>65.681106443568</v>
      </c>
      <c r="CC54" s="40">
        <f ca="1">IFERROR(SUMIFS('TRA balance'!AD$5:AD$40,'TRA balance'!$C$5:$C$40,Assumptions!$C54,'TRA balance'!$D$5:$D$40,Assumptions!$B54)*DX54*AG54,"")</f>
        <v>1.24678633464</v>
      </c>
      <c r="CD54" s="40">
        <f ca="1">IFERROR(SUMIFS('TRA balance'!AE$5:AE$40,'TRA balance'!$C$5:$C$40,Assumptions!$C54,'TRA balance'!$D$5:$D$40,Assumptions!$B54)*DY54*AH54,"")</f>
        <v>0</v>
      </c>
      <c r="CE54" s="40">
        <f ca="1">IFERROR(SUMIFS('TRA balance'!AF$5:AF$40,'TRA balance'!$C$5:$C$40,Assumptions!$C54,'TRA balance'!$D$5:$D$40,Assumptions!$B54)*DZ54*AI54,"")</f>
        <v>0.00091638585</v>
      </c>
      <c r="CF54" s="40">
        <f ca="1">IFERROR(SUMIFS('TRA balance'!AG$5:AG$40,'TRA balance'!$C$5:$C$40,Assumptions!$C54,'TRA balance'!$D$5:$D$40,Assumptions!$B54)*EA54*AJ54,"")</f>
        <v>0.48384712332</v>
      </c>
      <c r="CG54" s="40">
        <f ca="1">IFERROR(SUMIFS('TRA balance'!AH$5:AH$40,'TRA balance'!$C$5:$C$40,Assumptions!$C54,'TRA balance'!$D$5:$D$40,Assumptions!$B54)*EB54*AK54,"")</f>
        <v>0.287861997760128</v>
      </c>
      <c r="CH54" s="40">
        <f ca="1">IFERROR(SUMIFS('TRA balance'!AI$5:AI$40,'TRA balance'!$C$5:$C$40,Assumptions!$C54,'TRA balance'!$D$5:$D$40,Assumptions!$B54)*EC54*AL54,"")</f>
        <v>0.031867836238656</v>
      </c>
      <c r="CI54" s="40">
        <f ca="1">IFERROR(SUMIFS('TRA balance'!AJ$5:AJ$40,'TRA balance'!$C$5:$C$40,Assumptions!$C54,'TRA balance'!$D$5:$D$40,Assumptions!$B54)*ED54*AM54,"")</f>
        <v>0.182426327164224</v>
      </c>
      <c r="CJ54" s="40">
        <f ca="1">IFERROR(SUMIFS('TRA balance'!AK$5:AK$40,'TRA balance'!$C$5:$C$40,Assumptions!$C54,'TRA balance'!$D$5:$D$40,Assumptions!$B54)*EE54*AN54,"")</f>
        <v>0.031082944546368</v>
      </c>
      <c r="CK54" s="40">
        <f ca="1">IFERROR(SUMIFS('TRA balance'!AL$5:AL$40,'TRA balance'!$C$5:$C$40,Assumptions!$C54,'TRA balance'!$D$5:$D$40,Assumptions!$B54)*EF54*AO54,"")</f>
        <v>0.188369909784</v>
      </c>
      <c r="CL54" s="40">
        <f ca="1">IFERROR(SUMIFS('TRA balance'!AM$5:AM$40,'TRA balance'!$C$5:$C$40,Assumptions!$C54,'TRA balance'!$D$5:$D$40,Assumptions!$B54)*EG54*AP54,"")</f>
        <v>0</v>
      </c>
      <c r="CM54" s="40">
        <f ca="1">IFERROR(SUMIFS('TRA balance'!AN$5:AN$40,'TRA balance'!$C$5:$C$40,Assumptions!$C54,'TRA balance'!$D$5:$D$40,Assumptions!$B54)*EH54*AQ54,"")</f>
        <v>0</v>
      </c>
      <c r="CN54" s="40">
        <f ca="1">IFERROR(SUMIFS('TRA balance'!AO$5:AO$40,'TRA balance'!$C$5:$C$40,Assumptions!$C54,'TRA balance'!$D$5:$D$40,Assumptions!$B54)*EI54*AR54,"")</f>
        <v>0</v>
      </c>
      <c r="CO54" s="40">
        <f ca="1">IFERROR(SUMIFS('TRA balance'!AP$5:AP$40,'TRA balance'!$C$5:$C$40,Assumptions!$C54,'TRA balance'!$D$5:$D$40,Assumptions!$B54)*EJ54*AS54,"")</f>
        <v>0</v>
      </c>
      <c r="CP54" s="40">
        <f ca="1">IFERROR(SUMIFS('TRA balance'!AQ$5:AQ$40,'TRA balance'!$C$5:$C$40,Assumptions!$C54,'TRA balance'!$D$5:$D$40,Assumptions!$B54)*EK54*AT54,"")</f>
        <v>0</v>
      </c>
      <c r="CQ54" s="40">
        <f ca="1">IFERROR(SUMIFS('TRA balance'!AR$5:AR$40,'TRA balance'!$C$5:$C$40,Assumptions!$C54,'TRA balance'!$D$5:$D$40,Assumptions!$B54)*EL54*AU54,"")</f>
        <v>0</v>
      </c>
      <c r="CR54" s="40">
        <f ca="1">IFERROR(SUMIFS('TRA balance'!AS$5:AS$40,'TRA balance'!$C$5:$C$40,Assumptions!$C54,'TRA balance'!$D$5:$D$40,Assumptions!$B54)*EM54*AV54,"")</f>
        <v>0</v>
      </c>
      <c r="CS54" s="40">
        <f ca="1">IFERROR(SUMIFS('TRA balance'!AT$5:AT$40,'TRA balance'!$C$5:$C$40,Assumptions!$C54,'TRA balance'!$D$5:$D$40,Assumptions!$B54)*EN54*AW54,"")</f>
        <v>0</v>
      </c>
      <c r="CT54" s="40">
        <f ca="1">IFERROR(SUMIFS('TRA balance'!AU$5:AU$40,'TRA balance'!$C$5:$C$40,Assumptions!$C54,'TRA balance'!$D$5:$D$40,Assumptions!$B54)*EO54*AX54,"")</f>
        <v>0</v>
      </c>
      <c r="CU54" s="40">
        <f ca="1">IFERROR(SUMIFS('TRA balance'!AV$5:AV$40,'TRA balance'!$C$5:$C$40,Assumptions!$C54,'TRA balance'!$D$5:$D$40,Assumptions!$B54)*EP54*AY54,"")</f>
        <v>0</v>
      </c>
      <c r="CV54" s="40">
        <f ca="1">IFERROR(SUMIFS('TRA balance'!AW$5:AW$40,'TRA balance'!$C$5:$C$40,Assumptions!$C54,'TRA balance'!$D$5:$D$40,Assumptions!$B54)*EQ54*AZ54,"")</f>
        <v>0</v>
      </c>
      <c r="CW54" s="40">
        <f ca="1">IFERROR(SUMIFS('TRA balance'!AX$5:AX$40,'TRA balance'!$C$5:$C$40,Assumptions!$C54,'TRA balance'!$D$5:$D$40,Assumptions!$B54)*ER54*BA54,"")</f>
        <v>0</v>
      </c>
      <c r="CY54" s="39">
        <f ca="1" t="shared" si="66"/>
        <v>0.25</v>
      </c>
      <c r="CZ54" s="39">
        <f ca="1" t="shared" si="3"/>
        <v>0.25</v>
      </c>
      <c r="DA54" s="39">
        <f ca="1" t="shared" si="4"/>
        <v>0.25</v>
      </c>
      <c r="DB54" s="39">
        <f ca="1" t="shared" si="5"/>
        <v>0.682</v>
      </c>
      <c r="DC54" s="39">
        <f ca="1" t="shared" si="6"/>
        <v>0.7</v>
      </c>
      <c r="DD54" s="39">
        <f ca="1" t="shared" si="7"/>
        <v>0.682</v>
      </c>
      <c r="DE54" s="39">
        <f ca="1" t="shared" si="8"/>
        <v>0.5</v>
      </c>
      <c r="DF54" s="39">
        <f ca="1" t="shared" si="9"/>
        <v>0.4</v>
      </c>
      <c r="DG54" s="39">
        <f ca="1" t="shared" si="10"/>
        <v>0</v>
      </c>
      <c r="DH54" s="39">
        <f ca="1" t="shared" si="11"/>
        <v>0</v>
      </c>
      <c r="DI54" s="39">
        <f ca="1" t="shared" si="12"/>
        <v>0.682</v>
      </c>
      <c r="DJ54" s="39">
        <f ca="1" t="shared" si="13"/>
        <v>0.682</v>
      </c>
      <c r="DK54" s="39">
        <f ca="1" t="shared" si="14"/>
        <v>0.682</v>
      </c>
      <c r="DL54" s="39">
        <f ca="1" t="shared" si="15"/>
        <v>0</v>
      </c>
      <c r="DM54" s="39">
        <f ca="1" t="shared" si="16"/>
        <v>0.682</v>
      </c>
      <c r="DN54" s="39">
        <f ca="1" t="shared" si="17"/>
        <v>0.25</v>
      </c>
      <c r="DO54" s="39">
        <f ca="1" t="shared" si="18"/>
        <v>0.682</v>
      </c>
      <c r="DP54" s="39">
        <f ca="1" t="shared" si="19"/>
        <v>0.682</v>
      </c>
      <c r="DQ54" s="39">
        <f ca="1" t="shared" si="20"/>
        <v>0.95</v>
      </c>
      <c r="DR54" s="39">
        <f ca="1" t="shared" si="21"/>
        <v>0.5</v>
      </c>
      <c r="DS54" s="39">
        <f ca="1" t="shared" si="22"/>
        <v>0.682</v>
      </c>
      <c r="DT54" s="39">
        <f ca="1" t="shared" si="23"/>
        <v>0.97916979455979</v>
      </c>
      <c r="DU54" s="39">
        <f ca="1" t="shared" si="24"/>
        <v>0.682</v>
      </c>
      <c r="DV54" s="39">
        <f ca="1" t="shared" si="25"/>
        <v>0</v>
      </c>
      <c r="DW54" s="39">
        <f ca="1" t="shared" si="26"/>
        <v>0.9</v>
      </c>
      <c r="DX54" s="39">
        <f ca="1" t="shared" si="27"/>
        <v>0.7</v>
      </c>
      <c r="DY54" s="39">
        <f ca="1" t="shared" si="28"/>
        <v>0.682</v>
      </c>
      <c r="DZ54" s="39">
        <f ca="1" t="shared" si="29"/>
        <v>0.25</v>
      </c>
      <c r="EA54" s="39">
        <f ca="1" t="shared" si="30"/>
        <v>0.682</v>
      </c>
      <c r="EB54" s="39">
        <f ca="1" t="shared" si="31"/>
        <v>0.682</v>
      </c>
      <c r="EC54" s="39">
        <f ca="1" t="shared" si="32"/>
        <v>0.682</v>
      </c>
      <c r="ED54" s="39">
        <f ca="1" t="shared" si="33"/>
        <v>0.682</v>
      </c>
      <c r="EE54" s="39">
        <f ca="1" t="shared" si="34"/>
        <v>0.682</v>
      </c>
      <c r="EF54" s="39">
        <f ca="1" t="shared" si="35"/>
        <v>0.7</v>
      </c>
      <c r="EG54" s="39">
        <f ca="1" t="shared" si="36"/>
        <v>0</v>
      </c>
      <c r="EH54" s="39">
        <f ca="1" t="shared" si="37"/>
        <v>0.97916979455979</v>
      </c>
      <c r="EI54" s="39">
        <f ca="1" t="shared" si="38"/>
        <v>0.97916979455979</v>
      </c>
      <c r="EJ54" s="39">
        <f ca="1" t="shared" si="39"/>
        <v>0.97916979455979</v>
      </c>
      <c r="EK54" s="39">
        <f ca="1" t="shared" si="40"/>
        <v>0.97916979455979</v>
      </c>
      <c r="EL54" s="39">
        <f ca="1" t="shared" si="41"/>
        <v>0.97916979455979</v>
      </c>
      <c r="EM54" s="39">
        <f ca="1" t="shared" si="42"/>
        <v>0.97916979455979</v>
      </c>
      <c r="EN54" s="39">
        <f ca="1" t="shared" si="43"/>
        <v>0.97916979455979</v>
      </c>
      <c r="EO54" s="39">
        <f ca="1" t="shared" si="44"/>
        <v>0.97916979455979</v>
      </c>
      <c r="EP54" s="39">
        <f ca="1" t="shared" si="45"/>
        <v>0.97916979455979</v>
      </c>
      <c r="EQ54" s="39">
        <f ca="1" t="shared" si="46"/>
        <v>0.97916979455979</v>
      </c>
      <c r="ER54" s="39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4" t="str">
        <f t="shared" si="48"/>
        <v/>
      </c>
      <c r="D55" s="55"/>
      <c r="E55" s="67" t="s">
        <v>210</v>
      </c>
      <c r="F55" s="56" t="str">
        <f t="shared" si="78"/>
        <v>Natural Gas</v>
      </c>
      <c r="G55" s="54"/>
      <c r="H55" s="67" t="str">
        <f ca="1">IF(SUM(H53:H54)=1,"-","&lt;&gt;1!!")</f>
        <v>-</v>
      </c>
      <c r="I55" s="67" t="str">
        <f ca="1" t="shared" ref="I55:BA55" si="79">IF(SUM(I53:I54)=1,"-","&lt;&gt;1!!")</f>
        <v>-</v>
      </c>
      <c r="J55" s="67" t="str">
        <f ca="1" t="shared" si="79"/>
        <v>-</v>
      </c>
      <c r="K55" s="67" t="str">
        <f ca="1" t="shared" si="79"/>
        <v>-</v>
      </c>
      <c r="L55" s="67" t="str">
        <f ca="1" t="shared" si="79"/>
        <v>-</v>
      </c>
      <c r="M55" s="67" t="str">
        <f ca="1" t="shared" si="79"/>
        <v>-</v>
      </c>
      <c r="N55" s="67" t="str">
        <f ca="1" t="shared" si="79"/>
        <v>-</v>
      </c>
      <c r="O55" s="67" t="str">
        <f ca="1" t="shared" si="79"/>
        <v>-</v>
      </c>
      <c r="P55" s="67" t="str">
        <f ca="1" t="shared" si="79"/>
        <v>-</v>
      </c>
      <c r="Q55" s="67" t="str">
        <f ca="1" t="shared" si="79"/>
        <v>-</v>
      </c>
      <c r="R55" s="67" t="str">
        <f ca="1" t="shared" si="79"/>
        <v>-</v>
      </c>
      <c r="S55" s="67" t="str">
        <f ca="1" t="shared" si="79"/>
        <v>-</v>
      </c>
      <c r="T55" s="67" t="str">
        <f ca="1" t="shared" si="79"/>
        <v>-</v>
      </c>
      <c r="U55" s="67" t="str">
        <f ca="1" t="shared" si="79"/>
        <v>-</v>
      </c>
      <c r="V55" s="67" t="str">
        <f ca="1" t="shared" si="79"/>
        <v>-</v>
      </c>
      <c r="W55" s="67" t="str">
        <f ca="1" t="shared" si="79"/>
        <v>-</v>
      </c>
      <c r="X55" s="67" t="str">
        <f ca="1" t="shared" si="79"/>
        <v>-</v>
      </c>
      <c r="Y55" s="67" t="str">
        <f ca="1" t="shared" si="79"/>
        <v>-</v>
      </c>
      <c r="Z55" s="67" t="str">
        <f ca="1" t="shared" si="79"/>
        <v>-</v>
      </c>
      <c r="AA55" s="67" t="str">
        <f ca="1" t="shared" si="79"/>
        <v>-</v>
      </c>
      <c r="AB55" s="67" t="str">
        <f ca="1" t="shared" si="79"/>
        <v>-</v>
      </c>
      <c r="AC55" s="67" t="str">
        <f ca="1" t="shared" si="79"/>
        <v>-</v>
      </c>
      <c r="AD55" s="67" t="str">
        <f ca="1" t="shared" si="79"/>
        <v>-</v>
      </c>
      <c r="AE55" s="67" t="str">
        <f ca="1" t="shared" si="79"/>
        <v>-</v>
      </c>
      <c r="AF55" s="67" t="str">
        <f ca="1" t="shared" si="79"/>
        <v>-</v>
      </c>
      <c r="AG55" s="67" t="str">
        <f ca="1" t="shared" si="79"/>
        <v>-</v>
      </c>
      <c r="AH55" s="67" t="str">
        <f ca="1" t="shared" si="79"/>
        <v>-</v>
      </c>
      <c r="AI55" s="67" t="str">
        <f ca="1" t="shared" si="79"/>
        <v>-</v>
      </c>
      <c r="AJ55" s="67" t="str">
        <f ca="1" t="shared" si="79"/>
        <v>-</v>
      </c>
      <c r="AK55" s="67" t="str">
        <f ca="1" t="shared" si="79"/>
        <v>-</v>
      </c>
      <c r="AL55" s="67" t="str">
        <f ca="1" t="shared" si="79"/>
        <v>-</v>
      </c>
      <c r="AM55" s="67" t="str">
        <f ca="1" t="shared" si="79"/>
        <v>-</v>
      </c>
      <c r="AN55" s="67" t="str">
        <f ca="1" t="shared" si="79"/>
        <v>-</v>
      </c>
      <c r="AO55" s="67" t="str">
        <f ca="1" t="shared" si="79"/>
        <v>-</v>
      </c>
      <c r="AP55" s="67" t="str">
        <f ca="1" t="shared" si="79"/>
        <v>-</v>
      </c>
      <c r="AQ55" s="67" t="str">
        <f ca="1" t="shared" si="79"/>
        <v>-</v>
      </c>
      <c r="AR55" s="67" t="str">
        <f ca="1" t="shared" si="79"/>
        <v>-</v>
      </c>
      <c r="AS55" s="67" t="str">
        <f ca="1" t="shared" si="79"/>
        <v>-</v>
      </c>
      <c r="AT55" s="67" t="str">
        <f ca="1" t="shared" si="79"/>
        <v>-</v>
      </c>
      <c r="AU55" s="67" t="str">
        <f ca="1" t="shared" si="79"/>
        <v>-</v>
      </c>
      <c r="AV55" s="67" t="str">
        <f ca="1" t="shared" si="79"/>
        <v>-</v>
      </c>
      <c r="AW55" s="67" t="str">
        <f ca="1" t="shared" si="79"/>
        <v>-</v>
      </c>
      <c r="AX55" s="67" t="str">
        <f ca="1" t="shared" si="79"/>
        <v>-</v>
      </c>
      <c r="AY55" s="67" t="str">
        <f ca="1" t="shared" si="79"/>
        <v>-</v>
      </c>
      <c r="AZ55" s="67" t="str">
        <f ca="1" t="shared" si="79"/>
        <v>-</v>
      </c>
      <c r="BA55" s="67" t="str">
        <f ca="1" t="shared" si="79"/>
        <v>-</v>
      </c>
      <c r="BD55" s="40" t="str">
        <f ca="1">IFERROR(SUMIFS('TRA balance'!E$5:E$40,'TRA balance'!$C$5:$C$40,Assumptions!$C55,'TRA balance'!$D$5:$D$40,Assumptions!$B55)*CY55*H55,"")</f>
        <v/>
      </c>
      <c r="BE55" s="40" t="str">
        <f ca="1">IFERROR(SUMIFS('TRA balance'!F$5:F$40,'TRA balance'!$C$5:$C$40,Assumptions!$C55,'TRA balance'!$D$5:$D$40,Assumptions!$B55)*CZ55*I55,"")</f>
        <v/>
      </c>
      <c r="BF55" s="40" t="str">
        <f ca="1">IFERROR(SUMIFS('TRA balance'!G$5:G$40,'TRA balance'!$C$5:$C$40,Assumptions!$C55,'TRA balance'!$D$5:$D$40,Assumptions!$B55)*DA55*J55,"")</f>
        <v/>
      </c>
      <c r="BG55" s="40" t="str">
        <f ca="1">IFERROR(SUMIFS('TRA balance'!H$5:H$40,'TRA balance'!$C$5:$C$40,Assumptions!$C55,'TRA balance'!$D$5:$D$40,Assumptions!$B55)*DB55*K55,"")</f>
        <v/>
      </c>
      <c r="BH55" s="40" t="str">
        <f ca="1">IFERROR(SUMIFS('TRA balance'!I$5:I$40,'TRA balance'!$C$5:$C$40,Assumptions!$C55,'TRA balance'!$D$5:$D$40,Assumptions!$B55)*DC55*L55,"")</f>
        <v/>
      </c>
      <c r="BI55" s="40" t="str">
        <f ca="1">IFERROR(SUMIFS('TRA balance'!J$5:J$40,'TRA balance'!$C$5:$C$40,Assumptions!$C55,'TRA balance'!$D$5:$D$40,Assumptions!$B55)*DD55*M55,"")</f>
        <v/>
      </c>
      <c r="BJ55" s="40" t="str">
        <f ca="1">IFERROR(SUMIFS('TRA balance'!K$5:K$40,'TRA balance'!$C$5:$C$40,Assumptions!$C55,'TRA balance'!$D$5:$D$40,Assumptions!$B55)*DE55*N55,"")</f>
        <v/>
      </c>
      <c r="BK55" s="40" t="str">
        <f ca="1">IFERROR(SUMIFS('TRA balance'!L$5:L$40,'TRA balance'!$C$5:$C$40,Assumptions!$C55,'TRA balance'!$D$5:$D$40,Assumptions!$B55)*DF55*O55,"")</f>
        <v/>
      </c>
      <c r="BL55" s="40" t="str">
        <f ca="1">IFERROR(SUMIFS('TRA balance'!M$5:M$40,'TRA balance'!$C$5:$C$40,Assumptions!$C55,'TRA balance'!$D$5:$D$40,Assumptions!$B55)*DG55*P55,"")</f>
        <v/>
      </c>
      <c r="BM55" s="40" t="str">
        <f ca="1">IFERROR(SUMIFS('TRA balance'!N$5:N$40,'TRA balance'!$C$5:$C$40,Assumptions!$C55,'TRA balance'!$D$5:$D$40,Assumptions!$B55)*DH55*Q55,"")</f>
        <v/>
      </c>
      <c r="BN55" s="40" t="str">
        <f ca="1">IFERROR(SUMIFS('TRA balance'!O$5:O$40,'TRA balance'!$C$5:$C$40,Assumptions!$C55,'TRA balance'!$D$5:$D$40,Assumptions!$B55)*DI55*R55,"")</f>
        <v/>
      </c>
      <c r="BO55" s="40" t="str">
        <f ca="1">IFERROR(SUMIFS('TRA balance'!P$5:P$40,'TRA balance'!$C$5:$C$40,Assumptions!$C55,'TRA balance'!$D$5:$D$40,Assumptions!$B55)*DJ55*S55,"")</f>
        <v/>
      </c>
      <c r="BP55" s="40" t="str">
        <f ca="1">IFERROR(SUMIFS('TRA balance'!Q$5:Q$40,'TRA balance'!$C$5:$C$40,Assumptions!$C55,'TRA balance'!$D$5:$D$40,Assumptions!$B55)*DK55*T55,"")</f>
        <v/>
      </c>
      <c r="BQ55" s="40" t="str">
        <f ca="1">IFERROR(SUMIFS('TRA balance'!R$5:R$40,'TRA balance'!$C$5:$C$40,Assumptions!$C55,'TRA balance'!$D$5:$D$40,Assumptions!$B55)*DL55*U55,"")</f>
        <v/>
      </c>
      <c r="BR55" s="40" t="str">
        <f ca="1">IFERROR(SUMIFS('TRA balance'!S$5:S$40,'TRA balance'!$C$5:$C$40,Assumptions!$C55,'TRA balance'!$D$5:$D$40,Assumptions!$B55)*DM55*V55,"")</f>
        <v/>
      </c>
      <c r="BS55" s="40" t="str">
        <f ca="1">IFERROR(SUMIFS('TRA balance'!T$5:T$40,'TRA balance'!$C$5:$C$40,Assumptions!$C55,'TRA balance'!$D$5:$D$40,Assumptions!$B55)*DN55*W55,"")</f>
        <v/>
      </c>
      <c r="BT55" s="40" t="str">
        <f ca="1">IFERROR(SUMIFS('TRA balance'!U$5:U$40,'TRA balance'!$C$5:$C$40,Assumptions!$C55,'TRA balance'!$D$5:$D$40,Assumptions!$B55)*DO55*X55,"")</f>
        <v/>
      </c>
      <c r="BU55" s="40" t="str">
        <f ca="1">IFERROR(SUMIFS('TRA balance'!V$5:V$40,'TRA balance'!$C$5:$C$40,Assumptions!$C55,'TRA balance'!$D$5:$D$40,Assumptions!$B55)*DP55*Y55,"")</f>
        <v/>
      </c>
      <c r="BV55" s="40" t="str">
        <f ca="1">IFERROR(SUMIFS('TRA balance'!W$5:W$40,'TRA balance'!$C$5:$C$40,Assumptions!$C55,'TRA balance'!$D$5:$D$40,Assumptions!$B55)*DQ55*Z55,"")</f>
        <v/>
      </c>
      <c r="BW55" s="40" t="str">
        <f ca="1">IFERROR(SUMIFS('TRA balance'!X$5:X$40,'TRA balance'!$C$5:$C$40,Assumptions!$C55,'TRA balance'!$D$5:$D$40,Assumptions!$B55)*DR55*AA55,"")</f>
        <v/>
      </c>
      <c r="BX55" s="40" t="str">
        <f ca="1">IFERROR(SUMIFS('TRA balance'!Y$5:Y$40,'TRA balance'!$C$5:$C$40,Assumptions!$C55,'TRA balance'!$D$5:$D$40,Assumptions!$B55)*DS55*AB55,"")</f>
        <v/>
      </c>
      <c r="BY55" s="40" t="str">
        <f ca="1">IFERROR(SUMIFS('TRA balance'!Z$5:Z$40,'TRA balance'!$C$5:$C$40,Assumptions!$C55,'TRA balance'!$D$5:$D$40,Assumptions!$B55)*DT55*AC55,"")</f>
        <v/>
      </c>
      <c r="BZ55" s="40" t="str">
        <f ca="1">IFERROR(SUMIFS('TRA balance'!AA$5:AA$40,'TRA balance'!$C$5:$C$40,Assumptions!$C55,'TRA balance'!$D$5:$D$40,Assumptions!$B55)*DU55*AD55,"")</f>
        <v/>
      </c>
      <c r="CA55" s="40" t="str">
        <f ca="1">IFERROR(SUMIFS('TRA balance'!AB$5:AB$40,'TRA balance'!$C$5:$C$40,Assumptions!$C55,'TRA balance'!$D$5:$D$40,Assumptions!$B55)*DV55*AE55,"")</f>
        <v/>
      </c>
      <c r="CB55" s="40" t="str">
        <f ca="1">IFERROR(SUMIFS('TRA balance'!AC$5:AC$40,'TRA balance'!$C$5:$C$40,Assumptions!$C55,'TRA balance'!$D$5:$D$40,Assumptions!$B55)*DW55*AF55,"")</f>
        <v/>
      </c>
      <c r="CC55" s="40" t="str">
        <f ca="1">IFERROR(SUMIFS('TRA balance'!AD$5:AD$40,'TRA balance'!$C$5:$C$40,Assumptions!$C55,'TRA balance'!$D$5:$D$40,Assumptions!$B55)*DX55*AG55,"")</f>
        <v/>
      </c>
      <c r="CD55" s="40" t="str">
        <f ca="1">IFERROR(SUMIFS('TRA balance'!AE$5:AE$40,'TRA balance'!$C$5:$C$40,Assumptions!$C55,'TRA balance'!$D$5:$D$40,Assumptions!$B55)*DY55*AH55,"")</f>
        <v/>
      </c>
      <c r="CE55" s="40" t="str">
        <f ca="1">IFERROR(SUMIFS('TRA balance'!AF$5:AF$40,'TRA balance'!$C$5:$C$40,Assumptions!$C55,'TRA balance'!$D$5:$D$40,Assumptions!$B55)*DZ55*AI55,"")</f>
        <v/>
      </c>
      <c r="CF55" s="40" t="str">
        <f ca="1">IFERROR(SUMIFS('TRA balance'!AG$5:AG$40,'TRA balance'!$C$5:$C$40,Assumptions!$C55,'TRA balance'!$D$5:$D$40,Assumptions!$B55)*EA55*AJ55,"")</f>
        <v/>
      </c>
      <c r="CG55" s="40" t="str">
        <f ca="1">IFERROR(SUMIFS('TRA balance'!AH$5:AH$40,'TRA balance'!$C$5:$C$40,Assumptions!$C55,'TRA balance'!$D$5:$D$40,Assumptions!$B55)*EB55*AK55,"")</f>
        <v/>
      </c>
      <c r="CH55" s="40" t="str">
        <f ca="1">IFERROR(SUMIFS('TRA balance'!AI$5:AI$40,'TRA balance'!$C$5:$C$40,Assumptions!$C55,'TRA balance'!$D$5:$D$40,Assumptions!$B55)*EC55*AL55,"")</f>
        <v/>
      </c>
      <c r="CI55" s="40" t="str">
        <f ca="1">IFERROR(SUMIFS('TRA balance'!AJ$5:AJ$40,'TRA balance'!$C$5:$C$40,Assumptions!$C55,'TRA balance'!$D$5:$D$40,Assumptions!$B55)*ED55*AM55,"")</f>
        <v/>
      </c>
      <c r="CJ55" s="40" t="str">
        <f ca="1">IFERROR(SUMIFS('TRA balance'!AK$5:AK$40,'TRA balance'!$C$5:$C$40,Assumptions!$C55,'TRA balance'!$D$5:$D$40,Assumptions!$B55)*EE55*AN55,"")</f>
        <v/>
      </c>
      <c r="CK55" s="40" t="str">
        <f ca="1">IFERROR(SUMIFS('TRA balance'!AL$5:AL$40,'TRA balance'!$C$5:$C$40,Assumptions!$C55,'TRA balance'!$D$5:$D$40,Assumptions!$B55)*EF55*AO55,"")</f>
        <v/>
      </c>
      <c r="CL55" s="40" t="str">
        <f ca="1">IFERROR(SUMIFS('TRA balance'!AM$5:AM$40,'TRA balance'!$C$5:$C$40,Assumptions!$C55,'TRA balance'!$D$5:$D$40,Assumptions!$B55)*EG55*AP55,"")</f>
        <v/>
      </c>
      <c r="CM55" s="40" t="str">
        <f ca="1">IFERROR(SUMIFS('TRA balance'!AN$5:AN$40,'TRA balance'!$C$5:$C$40,Assumptions!$C55,'TRA balance'!$D$5:$D$40,Assumptions!$B55)*EH55*AQ55,"")</f>
        <v/>
      </c>
      <c r="CN55" s="40" t="str">
        <f ca="1">IFERROR(SUMIFS('TRA balance'!AO$5:AO$40,'TRA balance'!$C$5:$C$40,Assumptions!$C55,'TRA balance'!$D$5:$D$40,Assumptions!$B55)*EI55*AR55,"")</f>
        <v/>
      </c>
      <c r="CO55" s="40" t="str">
        <f ca="1">IFERROR(SUMIFS('TRA balance'!AP$5:AP$40,'TRA balance'!$C$5:$C$40,Assumptions!$C55,'TRA balance'!$D$5:$D$40,Assumptions!$B55)*EJ55*AS55,"")</f>
        <v/>
      </c>
      <c r="CP55" s="40" t="str">
        <f ca="1">IFERROR(SUMIFS('TRA balance'!AQ$5:AQ$40,'TRA balance'!$C$5:$C$40,Assumptions!$C55,'TRA balance'!$D$5:$D$40,Assumptions!$B55)*EK55*AT55,"")</f>
        <v/>
      </c>
      <c r="CQ55" s="40" t="str">
        <f ca="1">IFERROR(SUMIFS('TRA balance'!AR$5:AR$40,'TRA balance'!$C$5:$C$40,Assumptions!$C55,'TRA balance'!$D$5:$D$40,Assumptions!$B55)*EL55*AU55,"")</f>
        <v/>
      </c>
      <c r="CR55" s="40" t="str">
        <f ca="1">IFERROR(SUMIFS('TRA balance'!AS$5:AS$40,'TRA balance'!$C$5:$C$40,Assumptions!$C55,'TRA balance'!$D$5:$D$40,Assumptions!$B55)*EM55*AV55,"")</f>
        <v/>
      </c>
      <c r="CS55" s="40" t="str">
        <f ca="1">IFERROR(SUMIFS('TRA balance'!AT$5:AT$40,'TRA balance'!$C$5:$C$40,Assumptions!$C55,'TRA balance'!$D$5:$D$40,Assumptions!$B55)*EN55*AW55,"")</f>
        <v/>
      </c>
      <c r="CT55" s="40" t="str">
        <f ca="1">IFERROR(SUMIFS('TRA balance'!AU$5:AU$40,'TRA balance'!$C$5:$C$40,Assumptions!$C55,'TRA balance'!$D$5:$D$40,Assumptions!$B55)*EO55*AX55,"")</f>
        <v/>
      </c>
      <c r="CU55" s="40" t="str">
        <f ca="1">IFERROR(SUMIFS('TRA balance'!AV$5:AV$40,'TRA balance'!$C$5:$C$40,Assumptions!$C55,'TRA balance'!$D$5:$D$40,Assumptions!$B55)*EP55*AY55,"")</f>
        <v/>
      </c>
      <c r="CV55" s="40" t="str">
        <f ca="1">IFERROR(SUMIFS('TRA balance'!AW$5:AW$40,'TRA balance'!$C$5:$C$40,Assumptions!$C55,'TRA balance'!$D$5:$D$40,Assumptions!$B55)*EQ55*AZ55,"")</f>
        <v/>
      </c>
      <c r="CW55" s="40" t="str">
        <f ca="1">IFERROR(SUMIFS('TRA balance'!AX$5:AX$40,'TRA balance'!$C$5:$C$40,Assumptions!$C55,'TRA balance'!$D$5:$D$40,Assumptions!$B55)*ER55*BA55,"")</f>
        <v/>
      </c>
      <c r="CY55" s="39">
        <f ca="1" t="shared" si="66"/>
        <v>1</v>
      </c>
      <c r="CZ55" s="39">
        <f ca="1" t="shared" si="3"/>
        <v>1</v>
      </c>
      <c r="DA55" s="39">
        <f ca="1" t="shared" si="4"/>
        <v>1</v>
      </c>
      <c r="DB55" s="39">
        <f ca="1" t="shared" si="5"/>
        <v>1</v>
      </c>
      <c r="DC55" s="39">
        <f ca="1" t="shared" si="6"/>
        <v>1</v>
      </c>
      <c r="DD55" s="39">
        <f ca="1" t="shared" si="7"/>
        <v>1</v>
      </c>
      <c r="DE55" s="39">
        <f ca="1" t="shared" si="8"/>
        <v>1</v>
      </c>
      <c r="DF55" s="39">
        <f ca="1" t="shared" si="9"/>
        <v>1</v>
      </c>
      <c r="DG55" s="39">
        <f ca="1" t="shared" si="10"/>
        <v>1</v>
      </c>
      <c r="DH55" s="39">
        <f ca="1" t="shared" si="11"/>
        <v>1</v>
      </c>
      <c r="DI55" s="39">
        <f ca="1" t="shared" si="12"/>
        <v>1</v>
      </c>
      <c r="DJ55" s="39">
        <f ca="1" t="shared" si="13"/>
        <v>1</v>
      </c>
      <c r="DK55" s="39">
        <f ca="1" t="shared" si="14"/>
        <v>1</v>
      </c>
      <c r="DL55" s="39">
        <f ca="1" t="shared" si="15"/>
        <v>1</v>
      </c>
      <c r="DM55" s="39">
        <f ca="1" t="shared" si="16"/>
        <v>1</v>
      </c>
      <c r="DN55" s="39">
        <f ca="1" t="shared" si="17"/>
        <v>1</v>
      </c>
      <c r="DO55" s="39">
        <f ca="1" t="shared" si="18"/>
        <v>1</v>
      </c>
      <c r="DP55" s="39">
        <f ca="1" t="shared" si="19"/>
        <v>1</v>
      </c>
      <c r="DQ55" s="39">
        <f ca="1" t="shared" si="20"/>
        <v>1</v>
      </c>
      <c r="DR55" s="39">
        <f ca="1" t="shared" si="21"/>
        <v>1</v>
      </c>
      <c r="DS55" s="39">
        <f ca="1" t="shared" si="22"/>
        <v>1</v>
      </c>
      <c r="DT55" s="39">
        <f ca="1" t="shared" si="23"/>
        <v>1</v>
      </c>
      <c r="DU55" s="39">
        <f ca="1" t="shared" si="24"/>
        <v>1</v>
      </c>
      <c r="DV55" s="39">
        <f ca="1" t="shared" si="25"/>
        <v>1</v>
      </c>
      <c r="DW55" s="39">
        <f ca="1" t="shared" si="26"/>
        <v>1</v>
      </c>
      <c r="DX55" s="39">
        <f ca="1" t="shared" si="27"/>
        <v>1</v>
      </c>
      <c r="DY55" s="39">
        <f ca="1" t="shared" si="28"/>
        <v>1</v>
      </c>
      <c r="DZ55" s="39">
        <f ca="1" t="shared" si="29"/>
        <v>1</v>
      </c>
      <c r="EA55" s="39">
        <f ca="1" t="shared" si="30"/>
        <v>1</v>
      </c>
      <c r="EB55" s="39">
        <f ca="1" t="shared" si="31"/>
        <v>1</v>
      </c>
      <c r="EC55" s="39">
        <f ca="1" t="shared" si="32"/>
        <v>1</v>
      </c>
      <c r="ED55" s="39">
        <f ca="1" t="shared" si="33"/>
        <v>1</v>
      </c>
      <c r="EE55" s="39">
        <f ca="1" t="shared" si="34"/>
        <v>1</v>
      </c>
      <c r="EF55" s="39">
        <f ca="1" t="shared" si="35"/>
        <v>1</v>
      </c>
      <c r="EG55" s="39">
        <f ca="1" t="shared" si="36"/>
        <v>1</v>
      </c>
      <c r="EH55" s="39">
        <f ca="1" t="shared" si="37"/>
        <v>1</v>
      </c>
      <c r="EI55" s="39">
        <f ca="1" t="shared" si="38"/>
        <v>1</v>
      </c>
      <c r="EJ55" s="39">
        <f ca="1" t="shared" si="39"/>
        <v>1</v>
      </c>
      <c r="EK55" s="39">
        <f ca="1" t="shared" si="40"/>
        <v>1</v>
      </c>
      <c r="EL55" s="39">
        <f ca="1" t="shared" si="41"/>
        <v>1</v>
      </c>
      <c r="EM55" s="39">
        <f ca="1" t="shared" si="42"/>
        <v>1</v>
      </c>
      <c r="EN55" s="39">
        <f ca="1" t="shared" si="43"/>
        <v>1</v>
      </c>
      <c r="EO55" s="39">
        <f ca="1" t="shared" si="44"/>
        <v>1</v>
      </c>
      <c r="EP55" s="39">
        <f ca="1" t="shared" si="45"/>
        <v>1</v>
      </c>
      <c r="EQ55" s="39">
        <f ca="1" t="shared" si="46"/>
        <v>1</v>
      </c>
      <c r="ER55" s="39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2">
        <v>2</v>
      </c>
      <c r="D56" s="63" t="s">
        <v>200</v>
      </c>
      <c r="E56" s="63" t="s">
        <v>211</v>
      </c>
      <c r="F56" s="64" t="str">
        <f t="shared" si="78"/>
        <v>Natural Gas</v>
      </c>
      <c r="G56" s="62"/>
      <c r="H56" s="68">
        <f ca="1" t="shared" ref="H56" si="80">1-H52</f>
        <v>0.75</v>
      </c>
      <c r="I56" s="68">
        <f ca="1" t="shared" ref="I56:BA56" si="81">1-I52</f>
        <v>0.75</v>
      </c>
      <c r="J56" s="68">
        <f ca="1" t="shared" si="81"/>
        <v>0.75</v>
      </c>
      <c r="K56" s="68">
        <f ca="1" t="shared" si="81"/>
        <v>0.318</v>
      </c>
      <c r="L56" s="68">
        <f ca="1" t="shared" si="81"/>
        <v>0.3</v>
      </c>
      <c r="M56" s="68">
        <f ca="1" t="shared" si="81"/>
        <v>0.318</v>
      </c>
      <c r="N56" s="68">
        <f ca="1" t="shared" si="81"/>
        <v>0.5</v>
      </c>
      <c r="O56" s="68">
        <f ca="1" t="shared" si="81"/>
        <v>0.6</v>
      </c>
      <c r="P56" s="68">
        <f ca="1" t="shared" si="81"/>
        <v>1</v>
      </c>
      <c r="Q56" s="68">
        <f ca="1" t="shared" si="81"/>
        <v>1</v>
      </c>
      <c r="R56" s="68">
        <f ca="1" t="shared" si="81"/>
        <v>0.318</v>
      </c>
      <c r="S56" s="68">
        <f ca="1" t="shared" si="81"/>
        <v>0.318</v>
      </c>
      <c r="T56" s="68">
        <f ca="1" t="shared" si="81"/>
        <v>0.318</v>
      </c>
      <c r="U56" s="68">
        <f ca="1" t="shared" si="81"/>
        <v>1</v>
      </c>
      <c r="V56" s="68">
        <f ca="1" t="shared" si="81"/>
        <v>0.318</v>
      </c>
      <c r="W56" s="68">
        <f ca="1" t="shared" si="81"/>
        <v>0.75</v>
      </c>
      <c r="X56" s="68">
        <f ca="1" t="shared" si="81"/>
        <v>0.318</v>
      </c>
      <c r="Y56" s="68">
        <f ca="1" t="shared" si="81"/>
        <v>0.318</v>
      </c>
      <c r="Z56" s="68">
        <f ca="1" t="shared" si="81"/>
        <v>0.05</v>
      </c>
      <c r="AA56" s="68">
        <f ca="1" t="shared" si="81"/>
        <v>0.5</v>
      </c>
      <c r="AB56" s="68">
        <f ca="1" t="shared" si="81"/>
        <v>0.318</v>
      </c>
      <c r="AC56" s="68">
        <f ca="1" t="shared" si="81"/>
        <v>0.02083020544021</v>
      </c>
      <c r="AD56" s="68">
        <f ca="1" t="shared" si="81"/>
        <v>0.318</v>
      </c>
      <c r="AE56" s="68">
        <f ca="1" t="shared" si="81"/>
        <v>1</v>
      </c>
      <c r="AF56" s="68">
        <f ca="1" t="shared" si="81"/>
        <v>0.1</v>
      </c>
      <c r="AG56" s="68">
        <f ca="1" t="shared" si="81"/>
        <v>0.3</v>
      </c>
      <c r="AH56" s="68">
        <f ca="1" t="shared" si="81"/>
        <v>0.318</v>
      </c>
      <c r="AI56" s="68">
        <f ca="1" t="shared" si="81"/>
        <v>0.75</v>
      </c>
      <c r="AJ56" s="68">
        <f ca="1" t="shared" si="81"/>
        <v>0.318</v>
      </c>
      <c r="AK56" s="68">
        <f ca="1" t="shared" si="81"/>
        <v>0.318</v>
      </c>
      <c r="AL56" s="68">
        <f ca="1" t="shared" si="81"/>
        <v>0.318</v>
      </c>
      <c r="AM56" s="68">
        <f ca="1" t="shared" si="81"/>
        <v>0.318</v>
      </c>
      <c r="AN56" s="68">
        <f ca="1" t="shared" si="81"/>
        <v>0.318</v>
      </c>
      <c r="AO56" s="68">
        <f ca="1" t="shared" si="81"/>
        <v>0.3</v>
      </c>
      <c r="AP56" s="68">
        <f ca="1" t="shared" si="81"/>
        <v>1</v>
      </c>
      <c r="AQ56" s="68">
        <f ca="1" t="shared" si="81"/>
        <v>0.02083020544021</v>
      </c>
      <c r="AR56" s="68">
        <f ca="1" t="shared" si="81"/>
        <v>0.02083020544021</v>
      </c>
      <c r="AS56" s="68">
        <f ca="1" t="shared" si="81"/>
        <v>0.02083020544021</v>
      </c>
      <c r="AT56" s="68">
        <f ca="1" t="shared" si="81"/>
        <v>0.02083020544021</v>
      </c>
      <c r="AU56" s="68">
        <f ca="1" t="shared" si="81"/>
        <v>0.02083020544021</v>
      </c>
      <c r="AV56" s="68">
        <f ca="1" t="shared" si="81"/>
        <v>0.02083020544021</v>
      </c>
      <c r="AW56" s="68">
        <f ca="1" t="shared" si="81"/>
        <v>0.02083020544021</v>
      </c>
      <c r="AX56" s="68">
        <f ca="1" t="shared" si="81"/>
        <v>0.02083020544021</v>
      </c>
      <c r="AY56" s="68">
        <f ca="1" t="shared" si="81"/>
        <v>0.02083020544021</v>
      </c>
      <c r="AZ56" s="68">
        <f ca="1" t="shared" si="81"/>
        <v>0.02083020544021</v>
      </c>
      <c r="BA56" s="68">
        <f ca="1" t="shared" si="81"/>
        <v>0.02083020544021</v>
      </c>
      <c r="BD56" s="40">
        <f ca="1">IFERROR(SUMIFS('TRA balance'!E$5:E$40,'TRA balance'!$C$5:$C$40,Assumptions!$C56,'TRA balance'!$D$5:$D$40,Assumptions!$B56)*CY56*H56,"")</f>
        <v>0</v>
      </c>
      <c r="BE56" s="40">
        <f ca="1">IFERROR(SUMIFS('TRA balance'!F$5:F$40,'TRA balance'!$C$5:$C$40,Assumptions!$C56,'TRA balance'!$D$5:$D$40,Assumptions!$B56)*CZ56*I56,"")</f>
        <v>0</v>
      </c>
      <c r="BF56" s="40">
        <f ca="1">IFERROR(SUMIFS('TRA balance'!G$5:G$40,'TRA balance'!$C$5:$C$40,Assumptions!$C56,'TRA balance'!$D$5:$D$40,Assumptions!$B56)*DA56*J56,"")</f>
        <v>0</v>
      </c>
      <c r="BG56" s="40">
        <f ca="1">IFERROR(SUMIFS('TRA balance'!H$5:H$40,'TRA balance'!$C$5:$C$40,Assumptions!$C56,'TRA balance'!$D$5:$D$40,Assumptions!$B56)*DB56*K56,"")</f>
        <v>0</v>
      </c>
      <c r="BH56" s="40">
        <f ca="1">IFERROR(SUMIFS('TRA balance'!I$5:I$40,'TRA balance'!$C$5:$C$40,Assumptions!$C56,'TRA balance'!$D$5:$D$40,Assumptions!$B56)*DC56*L56,"")</f>
        <v>0</v>
      </c>
      <c r="BI56" s="40">
        <f ca="1">IFERROR(SUMIFS('TRA balance'!J$5:J$40,'TRA balance'!$C$5:$C$40,Assumptions!$C56,'TRA balance'!$D$5:$D$40,Assumptions!$B56)*DD56*M56,"")</f>
        <v>0</v>
      </c>
      <c r="BJ56" s="40">
        <f ca="1">IFERROR(SUMIFS('TRA balance'!K$5:K$40,'TRA balance'!$C$5:$C$40,Assumptions!$C56,'TRA balance'!$D$5:$D$40,Assumptions!$B56)*DE56*N56,"")</f>
        <v>0</v>
      </c>
      <c r="BK56" s="40">
        <f ca="1">IFERROR(SUMIFS('TRA balance'!L$5:L$40,'TRA balance'!$C$5:$C$40,Assumptions!$C56,'TRA balance'!$D$5:$D$40,Assumptions!$B56)*DF56*O56,"")</f>
        <v>0</v>
      </c>
      <c r="BL56" s="40">
        <f ca="1">IFERROR(SUMIFS('TRA balance'!M$5:M$40,'TRA balance'!$C$5:$C$40,Assumptions!$C56,'TRA balance'!$D$5:$D$40,Assumptions!$B56)*DG56*P56,"")</f>
        <v>0</v>
      </c>
      <c r="BM56" s="40">
        <f ca="1">IFERROR(SUMIFS('TRA balance'!N$5:N$40,'TRA balance'!$C$5:$C$40,Assumptions!$C56,'TRA balance'!$D$5:$D$40,Assumptions!$B56)*DH56*Q56,"")</f>
        <v>0</v>
      </c>
      <c r="BN56" s="40">
        <f ca="1">IFERROR(SUMIFS('TRA balance'!O$5:O$40,'TRA balance'!$C$5:$C$40,Assumptions!$C56,'TRA balance'!$D$5:$D$40,Assumptions!$B56)*DI56*R56,"")</f>
        <v>0</v>
      </c>
      <c r="BO56" s="40">
        <f ca="1">IFERROR(SUMIFS('TRA balance'!P$5:P$40,'TRA balance'!$C$5:$C$40,Assumptions!$C56,'TRA balance'!$D$5:$D$40,Assumptions!$B56)*DJ56*S56,"")</f>
        <v>0</v>
      </c>
      <c r="BP56" s="40">
        <f ca="1">IFERROR(SUMIFS('TRA balance'!Q$5:Q$40,'TRA balance'!$C$5:$C$40,Assumptions!$C56,'TRA balance'!$D$5:$D$40,Assumptions!$B56)*DK56*T56,"")</f>
        <v>0</v>
      </c>
      <c r="BQ56" s="40">
        <f ca="1">IFERROR(SUMIFS('TRA balance'!R$5:R$40,'TRA balance'!$C$5:$C$40,Assumptions!$C56,'TRA balance'!$D$5:$D$40,Assumptions!$B56)*DL56*U56,"")</f>
        <v>0</v>
      </c>
      <c r="BR56" s="40">
        <f ca="1">IFERROR(SUMIFS('TRA balance'!S$5:S$40,'TRA balance'!$C$5:$C$40,Assumptions!$C56,'TRA balance'!$D$5:$D$40,Assumptions!$B56)*DM56*V56,"")</f>
        <v>0</v>
      </c>
      <c r="BS56" s="40">
        <f ca="1">IFERROR(SUMIFS('TRA balance'!T$5:T$40,'TRA balance'!$C$5:$C$40,Assumptions!$C56,'TRA balance'!$D$5:$D$40,Assumptions!$B56)*DN56*W56,"")</f>
        <v>0</v>
      </c>
      <c r="BT56" s="40">
        <f ca="1">IFERROR(SUMIFS('TRA balance'!U$5:U$40,'TRA balance'!$C$5:$C$40,Assumptions!$C56,'TRA balance'!$D$5:$D$40,Assumptions!$B56)*DO56*X56,"")</f>
        <v>0</v>
      </c>
      <c r="BU56" s="40">
        <f ca="1">IFERROR(SUMIFS('TRA balance'!V$5:V$40,'TRA balance'!$C$5:$C$40,Assumptions!$C56,'TRA balance'!$D$5:$D$40,Assumptions!$B56)*DP56*Y56,"")</f>
        <v>0</v>
      </c>
      <c r="BV56" s="40">
        <f ca="1">IFERROR(SUMIFS('TRA balance'!W$5:W$40,'TRA balance'!$C$5:$C$40,Assumptions!$C56,'TRA balance'!$D$5:$D$40,Assumptions!$B56)*DQ56*Z56,"")</f>
        <v>0</v>
      </c>
      <c r="BW56" s="40">
        <f ca="1">IFERROR(SUMIFS('TRA balance'!X$5:X$40,'TRA balance'!$C$5:$C$40,Assumptions!$C56,'TRA balance'!$D$5:$D$40,Assumptions!$B56)*DR56*AA56,"")</f>
        <v>0</v>
      </c>
      <c r="BX56" s="40">
        <f ca="1">IFERROR(SUMIFS('TRA balance'!Y$5:Y$40,'TRA balance'!$C$5:$C$40,Assumptions!$C56,'TRA balance'!$D$5:$D$40,Assumptions!$B56)*DS56*AB56,"")</f>
        <v>0</v>
      </c>
      <c r="BY56" s="40">
        <f ca="1">IFERROR(SUMIFS('TRA balance'!Z$5:Z$40,'TRA balance'!$C$5:$C$40,Assumptions!$C56,'TRA balance'!$D$5:$D$40,Assumptions!$B56)*DT56*AC56,"")</f>
        <v>0</v>
      </c>
      <c r="BZ56" s="40">
        <f ca="1">IFERROR(SUMIFS('TRA balance'!AA$5:AA$40,'TRA balance'!$C$5:$C$40,Assumptions!$C56,'TRA balance'!$D$5:$D$40,Assumptions!$B56)*DU56*AD56,"")</f>
        <v>0</v>
      </c>
      <c r="CA56" s="40">
        <f ca="1">IFERROR(SUMIFS('TRA balance'!AB$5:AB$40,'TRA balance'!$C$5:$C$40,Assumptions!$C56,'TRA balance'!$D$5:$D$40,Assumptions!$B56)*DV56*AE56,"")</f>
        <v>0</v>
      </c>
      <c r="CB56" s="40">
        <f ca="1">IFERROR(SUMIFS('TRA balance'!AC$5:AC$40,'TRA balance'!$C$5:$C$40,Assumptions!$C56,'TRA balance'!$D$5:$D$40,Assumptions!$B56)*DW56*AF56,"")</f>
        <v>0</v>
      </c>
      <c r="CC56" s="40">
        <f ca="1">IFERROR(SUMIFS('TRA balance'!AD$5:AD$40,'TRA balance'!$C$5:$C$40,Assumptions!$C56,'TRA balance'!$D$5:$D$40,Assumptions!$B56)*DX56*AG56,"")</f>
        <v>0</v>
      </c>
      <c r="CD56" s="40">
        <f ca="1">IFERROR(SUMIFS('TRA balance'!AE$5:AE$40,'TRA balance'!$C$5:$C$40,Assumptions!$C56,'TRA balance'!$D$5:$D$40,Assumptions!$B56)*DY56*AH56,"")</f>
        <v>0</v>
      </c>
      <c r="CE56" s="40">
        <f ca="1">IFERROR(SUMIFS('TRA balance'!AF$5:AF$40,'TRA balance'!$C$5:$C$40,Assumptions!$C56,'TRA balance'!$D$5:$D$40,Assumptions!$B56)*DZ56*AI56,"")</f>
        <v>0</v>
      </c>
      <c r="CF56" s="40">
        <f ca="1">IFERROR(SUMIFS('TRA balance'!AG$5:AG$40,'TRA balance'!$C$5:$C$40,Assumptions!$C56,'TRA balance'!$D$5:$D$40,Assumptions!$B56)*EA56*AJ56,"")</f>
        <v>0</v>
      </c>
      <c r="CG56" s="40">
        <f ca="1">IFERROR(SUMIFS('TRA balance'!AH$5:AH$40,'TRA balance'!$C$5:$C$40,Assumptions!$C56,'TRA balance'!$D$5:$D$40,Assumptions!$B56)*EB56*AK56,"")</f>
        <v>0</v>
      </c>
      <c r="CH56" s="40">
        <f ca="1">IFERROR(SUMIFS('TRA balance'!AI$5:AI$40,'TRA balance'!$C$5:$C$40,Assumptions!$C56,'TRA balance'!$D$5:$D$40,Assumptions!$B56)*EC56*AL56,"")</f>
        <v>0</v>
      </c>
      <c r="CI56" s="40">
        <f ca="1">IFERROR(SUMIFS('TRA balance'!AJ$5:AJ$40,'TRA balance'!$C$5:$C$40,Assumptions!$C56,'TRA balance'!$D$5:$D$40,Assumptions!$B56)*ED56*AM56,"")</f>
        <v>0</v>
      </c>
      <c r="CJ56" s="40">
        <f ca="1">IFERROR(SUMIFS('TRA balance'!AK$5:AK$40,'TRA balance'!$C$5:$C$40,Assumptions!$C56,'TRA balance'!$D$5:$D$40,Assumptions!$B56)*EE56*AN56,"")</f>
        <v>0</v>
      </c>
      <c r="CK56" s="40">
        <f ca="1">IFERROR(SUMIFS('TRA balance'!AL$5:AL$40,'TRA balance'!$C$5:$C$40,Assumptions!$C56,'TRA balance'!$D$5:$D$40,Assumptions!$B56)*EF56*AO56,"")</f>
        <v>0</v>
      </c>
      <c r="CL56" s="40">
        <f ca="1">IFERROR(SUMIFS('TRA balance'!AM$5:AM$40,'TRA balance'!$C$5:$C$40,Assumptions!$C56,'TRA balance'!$D$5:$D$40,Assumptions!$B56)*EG56*AP56,"")</f>
        <v>0</v>
      </c>
      <c r="CM56" s="40">
        <f ca="1">IFERROR(SUMIFS('TRA balance'!AN$5:AN$40,'TRA balance'!$C$5:$C$40,Assumptions!$C56,'TRA balance'!$D$5:$D$40,Assumptions!$B56)*EH56*AQ56,"")</f>
        <v>0</v>
      </c>
      <c r="CN56" s="40">
        <f ca="1">IFERROR(SUMIFS('TRA balance'!AO$5:AO$40,'TRA balance'!$C$5:$C$40,Assumptions!$C56,'TRA balance'!$D$5:$D$40,Assumptions!$B56)*EI56*AR56,"")</f>
        <v>0</v>
      </c>
      <c r="CO56" s="40">
        <f ca="1">IFERROR(SUMIFS('TRA balance'!AP$5:AP$40,'TRA balance'!$C$5:$C$40,Assumptions!$C56,'TRA balance'!$D$5:$D$40,Assumptions!$B56)*EJ56*AS56,"")</f>
        <v>0</v>
      </c>
      <c r="CP56" s="40">
        <f ca="1">IFERROR(SUMIFS('TRA balance'!AQ$5:AQ$40,'TRA balance'!$C$5:$C$40,Assumptions!$C56,'TRA balance'!$D$5:$D$40,Assumptions!$B56)*EK56*AT56,"")</f>
        <v>0</v>
      </c>
      <c r="CQ56" s="40">
        <f ca="1">IFERROR(SUMIFS('TRA balance'!AR$5:AR$40,'TRA balance'!$C$5:$C$40,Assumptions!$C56,'TRA balance'!$D$5:$D$40,Assumptions!$B56)*EL56*AU56,"")</f>
        <v>0</v>
      </c>
      <c r="CR56" s="40">
        <f ca="1">IFERROR(SUMIFS('TRA balance'!AS$5:AS$40,'TRA balance'!$C$5:$C$40,Assumptions!$C56,'TRA balance'!$D$5:$D$40,Assumptions!$B56)*EM56*AV56,"")</f>
        <v>0</v>
      </c>
      <c r="CS56" s="40">
        <f ca="1">IFERROR(SUMIFS('TRA balance'!AT$5:AT$40,'TRA balance'!$C$5:$C$40,Assumptions!$C56,'TRA balance'!$D$5:$D$40,Assumptions!$B56)*EN56*AW56,"")</f>
        <v>0</v>
      </c>
      <c r="CT56" s="40">
        <f ca="1">IFERROR(SUMIFS('TRA balance'!AU$5:AU$40,'TRA balance'!$C$5:$C$40,Assumptions!$C56,'TRA balance'!$D$5:$D$40,Assumptions!$B56)*EO56*AX56,"")</f>
        <v>0</v>
      </c>
      <c r="CU56" s="40">
        <f ca="1">IFERROR(SUMIFS('TRA balance'!AV$5:AV$40,'TRA balance'!$C$5:$C$40,Assumptions!$C56,'TRA balance'!$D$5:$D$40,Assumptions!$B56)*EP56*AY56,"")</f>
        <v>0</v>
      </c>
      <c r="CV56" s="40">
        <f ca="1">IFERROR(SUMIFS('TRA balance'!AW$5:AW$40,'TRA balance'!$C$5:$C$40,Assumptions!$C56,'TRA balance'!$D$5:$D$40,Assumptions!$B56)*EQ56*AZ56,"")</f>
        <v>0</v>
      </c>
      <c r="CW56" s="40">
        <f ca="1">IFERROR(SUMIFS('TRA balance'!AX$5:AX$40,'TRA balance'!$C$5:$C$40,Assumptions!$C56,'TRA balance'!$D$5:$D$40,Assumptions!$B56)*ER56*BA56,"")</f>
        <v>0</v>
      </c>
      <c r="CY56" s="39">
        <f ca="1" t="shared" si="66"/>
        <v>1</v>
      </c>
      <c r="CZ56" s="39">
        <f ca="1" t="shared" si="3"/>
        <v>1</v>
      </c>
      <c r="DA56" s="39">
        <f ca="1" t="shared" si="4"/>
        <v>1</v>
      </c>
      <c r="DB56" s="39">
        <f ca="1" t="shared" si="5"/>
        <v>1</v>
      </c>
      <c r="DC56" s="39">
        <f ca="1" t="shared" si="6"/>
        <v>1</v>
      </c>
      <c r="DD56" s="39">
        <f ca="1" t="shared" si="7"/>
        <v>1</v>
      </c>
      <c r="DE56" s="39">
        <f ca="1" t="shared" si="8"/>
        <v>1</v>
      </c>
      <c r="DF56" s="39">
        <f ca="1" t="shared" si="9"/>
        <v>1</v>
      </c>
      <c r="DG56" s="39">
        <f ca="1" t="shared" si="10"/>
        <v>1</v>
      </c>
      <c r="DH56" s="39">
        <f ca="1" t="shared" si="11"/>
        <v>1</v>
      </c>
      <c r="DI56" s="39">
        <f ca="1" t="shared" si="12"/>
        <v>1</v>
      </c>
      <c r="DJ56" s="39">
        <f ca="1" t="shared" si="13"/>
        <v>1</v>
      </c>
      <c r="DK56" s="39">
        <f ca="1" t="shared" si="14"/>
        <v>1</v>
      </c>
      <c r="DL56" s="39">
        <f ca="1" t="shared" si="15"/>
        <v>1</v>
      </c>
      <c r="DM56" s="39">
        <f ca="1" t="shared" si="16"/>
        <v>1</v>
      </c>
      <c r="DN56" s="39">
        <f ca="1" t="shared" si="17"/>
        <v>1</v>
      </c>
      <c r="DO56" s="39">
        <f ca="1" t="shared" si="18"/>
        <v>1</v>
      </c>
      <c r="DP56" s="39">
        <f ca="1" t="shared" si="19"/>
        <v>1</v>
      </c>
      <c r="DQ56" s="39">
        <f ca="1" t="shared" si="20"/>
        <v>1</v>
      </c>
      <c r="DR56" s="39">
        <f ca="1" t="shared" si="21"/>
        <v>1</v>
      </c>
      <c r="DS56" s="39">
        <f ca="1" t="shared" si="22"/>
        <v>1</v>
      </c>
      <c r="DT56" s="39">
        <f ca="1" t="shared" si="23"/>
        <v>1</v>
      </c>
      <c r="DU56" s="39">
        <f ca="1" t="shared" si="24"/>
        <v>1</v>
      </c>
      <c r="DV56" s="39">
        <f ca="1" t="shared" si="25"/>
        <v>1</v>
      </c>
      <c r="DW56" s="39">
        <f ca="1" t="shared" si="26"/>
        <v>1</v>
      </c>
      <c r="DX56" s="39">
        <f ca="1" t="shared" si="27"/>
        <v>1</v>
      </c>
      <c r="DY56" s="39">
        <f ca="1" t="shared" si="28"/>
        <v>1</v>
      </c>
      <c r="DZ56" s="39">
        <f ca="1" t="shared" si="29"/>
        <v>1</v>
      </c>
      <c r="EA56" s="39">
        <f ca="1" t="shared" si="30"/>
        <v>1</v>
      </c>
      <c r="EB56" s="39">
        <f ca="1" t="shared" si="31"/>
        <v>1</v>
      </c>
      <c r="EC56" s="39">
        <f ca="1" t="shared" si="32"/>
        <v>1</v>
      </c>
      <c r="ED56" s="39">
        <f ca="1" t="shared" si="33"/>
        <v>1</v>
      </c>
      <c r="EE56" s="39">
        <f ca="1" t="shared" si="34"/>
        <v>1</v>
      </c>
      <c r="EF56" s="39">
        <f ca="1" t="shared" si="35"/>
        <v>1</v>
      </c>
      <c r="EG56" s="39">
        <f ca="1" t="shared" si="36"/>
        <v>1</v>
      </c>
      <c r="EH56" s="39">
        <f ca="1" t="shared" si="37"/>
        <v>1</v>
      </c>
      <c r="EI56" s="39">
        <f ca="1" t="shared" si="38"/>
        <v>1</v>
      </c>
      <c r="EJ56" s="39">
        <f ca="1" t="shared" si="39"/>
        <v>1</v>
      </c>
      <c r="EK56" s="39">
        <f ca="1" t="shared" si="40"/>
        <v>1</v>
      </c>
      <c r="EL56" s="39">
        <f ca="1" t="shared" si="41"/>
        <v>1</v>
      </c>
      <c r="EM56" s="39">
        <f ca="1" t="shared" si="42"/>
        <v>1</v>
      </c>
      <c r="EN56" s="39">
        <f ca="1" t="shared" si="43"/>
        <v>1</v>
      </c>
      <c r="EO56" s="39">
        <f ca="1" t="shared" si="44"/>
        <v>1</v>
      </c>
      <c r="EP56" s="39">
        <f ca="1" t="shared" si="45"/>
        <v>1</v>
      </c>
      <c r="EQ56" s="39">
        <f ca="1" t="shared" si="46"/>
        <v>1</v>
      </c>
      <c r="ER56" s="39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4" t="str">
        <f t="shared" si="48"/>
        <v>TR</v>
      </c>
      <c r="D57" s="55" t="s">
        <v>200</v>
      </c>
      <c r="E57" s="66" t="s">
        <v>212</v>
      </c>
      <c r="F57" s="56" t="str">
        <f t="shared" si="78"/>
        <v>Natural Gas</v>
      </c>
      <c r="G57" s="54" t="s">
        <v>213</v>
      </c>
      <c r="H57" s="57">
        <f ca="1">OFFSET(TIAM15_assumptions!$G57,0,MATCH(VLOOKUP(Assumptions!H$2,TIAM15_assumptions!$Y$3:$Z$87,2,FALSE),TIAM15_assumptions!$H$2:$V$2,0))</f>
        <v>0.8</v>
      </c>
      <c r="I57" s="57">
        <f ca="1">OFFSET(TIAM15_assumptions!$G57,0,MATCH(VLOOKUP(Assumptions!I$2,TIAM15_assumptions!$Y$3:$Z$87,2,FALSE),TIAM15_assumptions!$H$2:$V$2,0))</f>
        <v>0.8</v>
      </c>
      <c r="J57" s="57">
        <f ca="1">OFFSET(TIAM15_assumptions!$G57,0,MATCH(VLOOKUP(Assumptions!J$2,TIAM15_assumptions!$Y$3:$Z$87,2,FALSE),TIAM15_assumptions!$H$2:$V$2,0))</f>
        <v>0.8</v>
      </c>
      <c r="K57" s="57">
        <f ca="1">OFFSET(TIAM15_assumptions!$G57,0,MATCH(VLOOKUP(Assumptions!K$2,TIAM15_assumptions!$Y$3:$Z$87,2,FALSE),TIAM15_assumptions!$H$2:$V$2,0))</f>
        <v>1</v>
      </c>
      <c r="L57" s="57">
        <f ca="1">OFFSET(TIAM15_assumptions!$G57,0,MATCH(VLOOKUP(Assumptions!L$2,TIAM15_assumptions!$Y$3:$Z$87,2,FALSE),TIAM15_assumptions!$H$2:$V$2,0))</f>
        <v>0</v>
      </c>
      <c r="M57" s="57">
        <f ca="1">OFFSET(TIAM15_assumptions!$G57,0,MATCH(VLOOKUP(Assumptions!M$2,TIAM15_assumptions!$Y$3:$Z$87,2,FALSE),TIAM15_assumptions!$H$2:$V$2,0))</f>
        <v>1</v>
      </c>
      <c r="N57" s="57">
        <f ca="1">OFFSET(TIAM15_assumptions!$G57,0,MATCH(VLOOKUP(Assumptions!N$2,TIAM15_assumptions!$Y$3:$Z$87,2,FALSE),TIAM15_assumptions!$H$2:$V$2,0))</f>
        <v>0.6</v>
      </c>
      <c r="O57" s="57">
        <f ca="1">OFFSET(TIAM15_assumptions!$G57,0,MATCH(VLOOKUP(Assumptions!O$2,TIAM15_assumptions!$Y$3:$Z$87,2,FALSE),TIAM15_assumptions!$H$2:$V$2,0))</f>
        <v>0.8</v>
      </c>
      <c r="P57" s="57">
        <f ca="1">OFFSET(TIAM15_assumptions!$G57,0,MATCH(VLOOKUP(Assumptions!P$2,TIAM15_assumptions!$Y$3:$Z$87,2,FALSE),TIAM15_assumptions!$H$2:$V$2,0))</f>
        <v>1</v>
      </c>
      <c r="Q57" s="57">
        <f ca="1">OFFSET(TIAM15_assumptions!$G57,0,MATCH(VLOOKUP(Assumptions!Q$2,TIAM15_assumptions!$Y$3:$Z$87,2,FALSE),TIAM15_assumptions!$H$2:$V$2,0))</f>
        <v>1</v>
      </c>
      <c r="R57" s="57">
        <f ca="1">OFFSET(TIAM15_assumptions!$G57,0,MATCH(VLOOKUP(Assumptions!R$2,TIAM15_assumptions!$Y$3:$Z$87,2,FALSE),TIAM15_assumptions!$H$2:$V$2,0))</f>
        <v>1</v>
      </c>
      <c r="S57" s="57">
        <f ca="1">OFFSET(TIAM15_assumptions!$G57,0,MATCH(VLOOKUP(Assumptions!S$2,TIAM15_assumptions!$Y$3:$Z$87,2,FALSE),TIAM15_assumptions!$H$2:$V$2,0))</f>
        <v>1</v>
      </c>
      <c r="T57" s="57">
        <f ca="1">OFFSET(TIAM15_assumptions!$G57,0,MATCH(VLOOKUP(Assumptions!T$2,TIAM15_assumptions!$Y$3:$Z$87,2,FALSE),TIAM15_assumptions!$H$2:$V$2,0))</f>
        <v>1</v>
      </c>
      <c r="U57" s="57">
        <f ca="1">OFFSET(TIAM15_assumptions!$G57,0,MATCH(VLOOKUP(Assumptions!U$2,TIAM15_assumptions!$Y$3:$Z$87,2,FALSE),TIAM15_assumptions!$H$2:$V$2,0))</f>
        <v>1</v>
      </c>
      <c r="V57" s="57">
        <f ca="1">OFFSET(TIAM15_assumptions!$G57,0,MATCH(VLOOKUP(Assumptions!V$2,TIAM15_assumptions!$Y$3:$Z$87,2,FALSE),TIAM15_assumptions!$H$2:$V$2,0))</f>
        <v>1</v>
      </c>
      <c r="W57" s="57">
        <f ca="1">OFFSET(TIAM15_assumptions!$G57,0,MATCH(VLOOKUP(Assumptions!W$2,TIAM15_assumptions!$Y$3:$Z$87,2,FALSE),TIAM15_assumptions!$H$2:$V$2,0))</f>
        <v>0.8</v>
      </c>
      <c r="X57" s="57">
        <f ca="1">OFFSET(TIAM15_assumptions!$G57,0,MATCH(VLOOKUP(Assumptions!X$2,TIAM15_assumptions!$Y$3:$Z$87,2,FALSE),TIAM15_assumptions!$H$2:$V$2,0))</f>
        <v>1</v>
      </c>
      <c r="Y57" s="57">
        <f ca="1">OFFSET(TIAM15_assumptions!$G57,0,MATCH(VLOOKUP(Assumptions!Y$2,TIAM15_assumptions!$Y$3:$Z$87,2,FALSE),TIAM15_assumptions!$H$2:$V$2,0))</f>
        <v>1</v>
      </c>
      <c r="Z57" s="57">
        <f ca="1">OFFSET(TIAM15_assumptions!$G57,0,MATCH(VLOOKUP(Assumptions!Z$2,TIAM15_assumptions!$Y$3:$Z$87,2,FALSE),TIAM15_assumptions!$H$2:$V$2,0))</f>
        <v>0</v>
      </c>
      <c r="AA57" s="57">
        <f ca="1">OFFSET(TIAM15_assumptions!$G57,0,MATCH(VLOOKUP(Assumptions!AA$2,TIAM15_assumptions!$Y$3:$Z$87,2,FALSE),TIAM15_assumptions!$H$2:$V$2,0))</f>
        <v>0.6</v>
      </c>
      <c r="AB57" s="57">
        <f ca="1">OFFSET(TIAM15_assumptions!$G57,0,MATCH(VLOOKUP(Assumptions!AB$2,TIAM15_assumptions!$Y$3:$Z$87,2,FALSE),TIAM15_assumptions!$H$2:$V$2,0))</f>
        <v>1</v>
      </c>
      <c r="AC57" s="57">
        <f ca="1">OFFSET(TIAM15_assumptions!$G57,0,MATCH(VLOOKUP(Assumptions!AC$2,TIAM15_assumptions!$Y$3:$Z$87,2,FALSE),TIAM15_assumptions!$H$2:$V$2,0))</f>
        <v>0.02</v>
      </c>
      <c r="AD57" s="57">
        <f ca="1">OFFSET(TIAM15_assumptions!$G57,0,MATCH(VLOOKUP(Assumptions!AD$2,TIAM15_assumptions!$Y$3:$Z$87,2,FALSE),TIAM15_assumptions!$H$2:$V$2,0))</f>
        <v>1</v>
      </c>
      <c r="AE57" s="57">
        <f ca="1">OFFSET(TIAM15_assumptions!$G57,0,MATCH(VLOOKUP(Assumptions!AE$2,TIAM15_assumptions!$Y$3:$Z$87,2,FALSE),TIAM15_assumptions!$H$2:$V$2,0))</f>
        <v>1</v>
      </c>
      <c r="AF57" s="57">
        <f ca="1">OFFSET(TIAM15_assumptions!$G57,0,MATCH(VLOOKUP(Assumptions!AF$2,TIAM15_assumptions!$Y$3:$Z$87,2,FALSE),TIAM15_assumptions!$H$2:$V$2,0))</f>
        <v>0.7</v>
      </c>
      <c r="AG57" s="57">
        <f ca="1">OFFSET(TIAM15_assumptions!$G57,0,MATCH(VLOOKUP(Assumptions!AG$2,TIAM15_assumptions!$Y$3:$Z$87,2,FALSE),TIAM15_assumptions!$H$2:$V$2,0))</f>
        <v>0</v>
      </c>
      <c r="AH57" s="57">
        <f ca="1">OFFSET(TIAM15_assumptions!$G57,0,MATCH(VLOOKUP(Assumptions!AH$2,TIAM15_assumptions!$Y$3:$Z$87,2,FALSE),TIAM15_assumptions!$H$2:$V$2,0))</f>
        <v>1</v>
      </c>
      <c r="AI57" s="57">
        <f ca="1">OFFSET(TIAM15_assumptions!$G57,0,MATCH(VLOOKUP(Assumptions!AI$2,TIAM15_assumptions!$Y$3:$Z$87,2,FALSE),TIAM15_assumptions!$H$2:$V$2,0))</f>
        <v>0.8</v>
      </c>
      <c r="AJ57" s="57">
        <f ca="1">OFFSET(TIAM15_assumptions!$G57,0,MATCH(VLOOKUP(Assumptions!AJ$2,TIAM15_assumptions!$Y$3:$Z$87,2,FALSE),TIAM15_assumptions!$H$2:$V$2,0))</f>
        <v>1</v>
      </c>
      <c r="AK57" s="57">
        <f ca="1">OFFSET(TIAM15_assumptions!$G57,0,MATCH(VLOOKUP(Assumptions!AK$2,TIAM15_assumptions!$Y$3:$Z$87,2,FALSE),TIAM15_assumptions!$H$2:$V$2,0))</f>
        <v>1</v>
      </c>
      <c r="AL57" s="57">
        <f ca="1">OFFSET(TIAM15_assumptions!$G57,0,MATCH(VLOOKUP(Assumptions!AL$2,TIAM15_assumptions!$Y$3:$Z$87,2,FALSE),TIAM15_assumptions!$H$2:$V$2,0))</f>
        <v>1</v>
      </c>
      <c r="AM57" s="57">
        <f ca="1">OFFSET(TIAM15_assumptions!$G57,0,MATCH(VLOOKUP(Assumptions!AM$2,TIAM15_assumptions!$Y$3:$Z$87,2,FALSE),TIAM15_assumptions!$H$2:$V$2,0))</f>
        <v>1</v>
      </c>
      <c r="AN57" s="57">
        <f ca="1">OFFSET(TIAM15_assumptions!$G57,0,MATCH(VLOOKUP(Assumptions!AN$2,TIAM15_assumptions!$Y$3:$Z$87,2,FALSE),TIAM15_assumptions!$H$2:$V$2,0))</f>
        <v>1</v>
      </c>
      <c r="AO57" s="57">
        <f ca="1">OFFSET(TIAM15_assumptions!$G57,0,MATCH(VLOOKUP(Assumptions!AO$2,TIAM15_assumptions!$Y$3:$Z$87,2,FALSE),TIAM15_assumptions!$H$2:$V$2,0))</f>
        <v>0</v>
      </c>
      <c r="AP57" s="57">
        <f ca="1">OFFSET(TIAM15_assumptions!$G57,0,MATCH(VLOOKUP(Assumptions!AP$2,TIAM15_assumptions!$Y$3:$Z$87,2,FALSE),TIAM15_assumptions!$H$2:$V$2,0))</f>
        <v>1</v>
      </c>
      <c r="AQ57" s="57">
        <f ca="1">OFFSET(TIAM15_assumptions!$G57,0,MATCH(VLOOKUP(Assumptions!AQ$2,TIAM15_assumptions!$Y$3:$Z$87,2,FALSE),TIAM15_assumptions!$H$2:$V$2,0))</f>
        <v>0.02</v>
      </c>
      <c r="AR57" s="57">
        <f ca="1">OFFSET(TIAM15_assumptions!$G57,0,MATCH(VLOOKUP(Assumptions!AR$2,TIAM15_assumptions!$Y$3:$Z$87,2,FALSE),TIAM15_assumptions!$H$2:$V$2,0))</f>
        <v>0.02</v>
      </c>
      <c r="AS57" s="57">
        <f ca="1">OFFSET(TIAM15_assumptions!$G57,0,MATCH(VLOOKUP(Assumptions!AS$2,TIAM15_assumptions!$Y$3:$Z$87,2,FALSE),TIAM15_assumptions!$H$2:$V$2,0))</f>
        <v>0.02</v>
      </c>
      <c r="AT57" s="57">
        <f ca="1">OFFSET(TIAM15_assumptions!$G57,0,MATCH(VLOOKUP(Assumptions!AT$2,TIAM15_assumptions!$Y$3:$Z$87,2,FALSE),TIAM15_assumptions!$H$2:$V$2,0))</f>
        <v>0.02</v>
      </c>
      <c r="AU57" s="57">
        <f ca="1">OFFSET(TIAM15_assumptions!$G57,0,MATCH(VLOOKUP(Assumptions!AU$2,TIAM15_assumptions!$Y$3:$Z$87,2,FALSE),TIAM15_assumptions!$H$2:$V$2,0))</f>
        <v>0.02</v>
      </c>
      <c r="AV57" s="57">
        <f ca="1">OFFSET(TIAM15_assumptions!$G57,0,MATCH(VLOOKUP(Assumptions!AV$2,TIAM15_assumptions!$Y$3:$Z$87,2,FALSE),TIAM15_assumptions!$H$2:$V$2,0))</f>
        <v>0.02</v>
      </c>
      <c r="AW57" s="57">
        <f ca="1">OFFSET(TIAM15_assumptions!$G57,0,MATCH(VLOOKUP(Assumptions!AW$2,TIAM15_assumptions!$Y$3:$Z$87,2,FALSE),TIAM15_assumptions!$H$2:$V$2,0))</f>
        <v>0.02</v>
      </c>
      <c r="AX57" s="57">
        <f ca="1">OFFSET(TIAM15_assumptions!$G57,0,MATCH(VLOOKUP(Assumptions!AX$2,TIAM15_assumptions!$Y$3:$Z$87,2,FALSE),TIAM15_assumptions!$H$2:$V$2,0))</f>
        <v>0.02</v>
      </c>
      <c r="AY57" s="57">
        <f ca="1">OFFSET(TIAM15_assumptions!$G57,0,MATCH(VLOOKUP(Assumptions!AY$2,TIAM15_assumptions!$Y$3:$Z$87,2,FALSE),TIAM15_assumptions!$H$2:$V$2,0))</f>
        <v>0.02</v>
      </c>
      <c r="AZ57" s="57">
        <f ca="1">OFFSET(TIAM15_assumptions!$G57,0,MATCH(VLOOKUP(Assumptions!AZ$2,TIAM15_assumptions!$Y$3:$Z$87,2,FALSE),TIAM15_assumptions!$H$2:$V$2,0))</f>
        <v>0.02</v>
      </c>
      <c r="BA57" s="57">
        <f ca="1">OFFSET(TIAM15_assumptions!$G57,0,MATCH(VLOOKUP(Assumptions!BA$2,TIAM15_assumptions!$Y$3:$Z$87,2,FALSE),TIAM15_assumptions!$H$2:$V$2,0))</f>
        <v>0.02</v>
      </c>
      <c r="BD57" s="40">
        <f ca="1">IFERROR(SUMIFS('TRA balance'!E$5:E$40,'TRA balance'!$C$5:$C$40,Assumptions!$C57,'TRA balance'!$D$5:$D$40,Assumptions!$B57)*CY57*H57,"")</f>
        <v>12.20883189192</v>
      </c>
      <c r="BE57" s="40">
        <f ca="1">IFERROR(SUMIFS('TRA balance'!F$5:F$40,'TRA balance'!$C$5:$C$40,Assumptions!$C57,'TRA balance'!$D$5:$D$40,Assumptions!$B57)*CZ57*I57,"")</f>
        <v>0.04481299512</v>
      </c>
      <c r="BF57" s="40">
        <f ca="1">IFERROR(SUMIFS('TRA balance'!G$5:G$40,'TRA balance'!$C$5:$C$40,Assumptions!$C57,'TRA balance'!$D$5:$D$40,Assumptions!$B57)*DA57*J57,"")</f>
        <v>1.87407196992</v>
      </c>
      <c r="BG57" s="40">
        <f ca="1">IFERROR(SUMIFS('TRA balance'!H$5:H$40,'TRA balance'!$C$5:$C$40,Assumptions!$C57,'TRA balance'!$D$5:$D$40,Assumptions!$B57)*DB57*K57,"")</f>
        <v>0.2493077622048</v>
      </c>
      <c r="BH57" s="40">
        <f ca="1">IFERROR(SUMIFS('TRA balance'!I$5:I$40,'TRA balance'!$C$5:$C$40,Assumptions!$C57,'TRA balance'!$D$5:$D$40,Assumptions!$B57)*DC57*L57,"")</f>
        <v>0</v>
      </c>
      <c r="BI57" s="40">
        <f ca="1">IFERROR(SUMIFS('TRA balance'!J$5:J$40,'TRA balance'!$C$5:$C$40,Assumptions!$C57,'TRA balance'!$D$5:$D$40,Assumptions!$B57)*DD57*M57,"")</f>
        <v>1.22013044442</v>
      </c>
      <c r="BJ57" s="40">
        <f ca="1">IFERROR(SUMIFS('TRA balance'!K$5:K$40,'TRA balance'!$C$5:$C$40,Assumptions!$C57,'TRA balance'!$D$5:$D$40,Assumptions!$B57)*DE57*N57,"")</f>
        <v>25.25192052768</v>
      </c>
      <c r="BK57" s="40">
        <f ca="1">IFERROR(SUMIFS('TRA balance'!L$5:L$40,'TRA balance'!$C$5:$C$40,Assumptions!$C57,'TRA balance'!$D$5:$D$40,Assumptions!$B57)*DF57*O57,"")</f>
        <v>493.603358084352</v>
      </c>
      <c r="BL57" s="40">
        <f ca="1">IFERROR(SUMIFS('TRA balance'!M$5:M$40,'TRA balance'!$C$5:$C$40,Assumptions!$C57,'TRA balance'!$D$5:$D$40,Assumptions!$B57)*DG57*P57,"")</f>
        <v>0.3512432124</v>
      </c>
      <c r="BM57" s="40">
        <f ca="1">IFERROR(SUMIFS('TRA balance'!N$5:N$40,'TRA balance'!$C$5:$C$40,Assumptions!$C57,'TRA balance'!$D$5:$D$40,Assumptions!$B57)*DH57*Q57,"")</f>
        <v>3.1564536408</v>
      </c>
      <c r="BN57" s="40">
        <f ca="1">IFERROR(SUMIFS('TRA balance'!O$5:O$40,'TRA balance'!$C$5:$C$40,Assumptions!$C57,'TRA balance'!$D$5:$D$40,Assumptions!$B57)*DI57*R57,"")</f>
        <v>2.166238303884</v>
      </c>
      <c r="BO57" s="40">
        <f ca="1">IFERROR(SUMIFS('TRA balance'!P$5:P$40,'TRA balance'!$C$5:$C$40,Assumptions!$C57,'TRA balance'!$D$5:$D$40,Assumptions!$B57)*DJ57*S57,"")</f>
        <v>2.6510232201624</v>
      </c>
      <c r="BP57" s="40">
        <f ca="1">IFERROR(SUMIFS('TRA balance'!Q$5:Q$40,'TRA balance'!$C$5:$C$40,Assumptions!$C57,'TRA balance'!$D$5:$D$40,Assumptions!$B57)*DK57*T57,"")</f>
        <v>0.238201203384</v>
      </c>
      <c r="BQ57" s="40">
        <f ca="1">IFERROR(SUMIFS('TRA balance'!R$5:R$40,'TRA balance'!$C$5:$C$40,Assumptions!$C57,'TRA balance'!$D$5:$D$40,Assumptions!$B57)*DL57*U57,"")</f>
        <v>4.0482462276</v>
      </c>
      <c r="BR57" s="40">
        <f ca="1">IFERROR(SUMIFS('TRA balance'!S$5:S$40,'TRA balance'!$C$5:$C$40,Assumptions!$C57,'TRA balance'!$D$5:$D$40,Assumptions!$B57)*DM57*V57,"")</f>
        <v>0.023672334672</v>
      </c>
      <c r="BS57" s="40">
        <f ca="1">IFERROR(SUMIFS('TRA balance'!T$5:T$40,'TRA balance'!$C$5:$C$40,Assumptions!$C57,'TRA balance'!$D$5:$D$40,Assumptions!$B57)*DN57*W57,"")</f>
        <v>74.02844532672</v>
      </c>
      <c r="BT57" s="40">
        <f ca="1">IFERROR(SUMIFS('TRA balance'!U$5:U$40,'TRA balance'!$C$5:$C$40,Assumptions!$C57,'TRA balance'!$D$5:$D$40,Assumptions!$B57)*DO57*X57,"")</f>
        <v>0</v>
      </c>
      <c r="BU57" s="40">
        <f ca="1">IFERROR(SUMIFS('TRA balance'!V$5:V$40,'TRA balance'!$C$5:$C$40,Assumptions!$C57,'TRA balance'!$D$5:$D$40,Assumptions!$B57)*DP57*Y57,"")</f>
        <v>12.7800637360776</v>
      </c>
      <c r="BV57" s="40">
        <f ca="1">IFERROR(SUMIFS('TRA balance'!W$5:W$40,'TRA balance'!$C$5:$C$40,Assumptions!$C57,'TRA balance'!$D$5:$D$40,Assumptions!$B57)*DQ57*Z57,"")</f>
        <v>0</v>
      </c>
      <c r="BW57" s="40">
        <f ca="1">IFERROR(SUMIFS('TRA balance'!X$5:X$40,'TRA balance'!$C$5:$C$40,Assumptions!$C57,'TRA balance'!$D$5:$D$40,Assumptions!$B57)*DR57*AA57,"")</f>
        <v>48.56458814568</v>
      </c>
      <c r="BX57" s="40">
        <f ca="1">IFERROR(SUMIFS('TRA balance'!Y$5:Y$40,'TRA balance'!$C$5:$C$40,Assumptions!$C57,'TRA balance'!$D$5:$D$40,Assumptions!$B57)*DS57*AB57,"")</f>
        <v>88.8629100926184</v>
      </c>
      <c r="BY57" s="40">
        <f ca="1">IFERROR(SUMIFS('TRA balance'!Z$5:Z$40,'TRA balance'!$C$5:$C$40,Assumptions!$C57,'TRA balance'!$D$5:$D$40,Assumptions!$B57)*DT57*AC57,"")</f>
        <v>0.0226417853609724</v>
      </c>
      <c r="BZ57" s="40">
        <f ca="1">IFERROR(SUMIFS('TRA balance'!AA$5:AA$40,'TRA balance'!$C$5:$C$40,Assumptions!$C57,'TRA balance'!$D$5:$D$40,Assumptions!$B57)*DU57*AD57,"")</f>
        <v>0.7536043806552</v>
      </c>
      <c r="CA57" s="40">
        <f ca="1">IFERROR(SUMIFS('TRA balance'!AB$5:AB$40,'TRA balance'!$C$5:$C$40,Assumptions!$C57,'TRA balance'!$D$5:$D$40,Assumptions!$B57)*DV57*AE57,"")</f>
        <v>0.7183669572</v>
      </c>
      <c r="CB57" s="40">
        <f ca="1">IFERROR(SUMIFS('TRA balance'!AC$5:AC$40,'TRA balance'!$C$5:$C$40,Assumptions!$C57,'TRA balance'!$D$5:$D$40,Assumptions!$B57)*DW57*AF57,"")</f>
        <v>25.542652505832</v>
      </c>
      <c r="CC57" s="40">
        <f ca="1">IFERROR(SUMIFS('TRA balance'!AD$5:AD$40,'TRA balance'!$C$5:$C$40,Assumptions!$C57,'TRA balance'!$D$5:$D$40,Assumptions!$B57)*DX57*AG57,"")</f>
        <v>0</v>
      </c>
      <c r="CD57" s="40">
        <f ca="1">IFERROR(SUMIFS('TRA balance'!AE$5:AE$40,'TRA balance'!$C$5:$C$40,Assumptions!$C57,'TRA balance'!$D$5:$D$40,Assumptions!$B57)*DY57*AH57,"")</f>
        <v>0</v>
      </c>
      <c r="CE57" s="40">
        <f ca="1">IFERROR(SUMIFS('TRA balance'!AF$5:AF$40,'TRA balance'!$C$5:$C$40,Assumptions!$C57,'TRA balance'!$D$5:$D$40,Assumptions!$B57)*DZ57*AI57,"")</f>
        <v>0.00439865208</v>
      </c>
      <c r="CF57" s="40">
        <f ca="1">IFERROR(SUMIFS('TRA balance'!AG$5:AG$40,'TRA balance'!$C$5:$C$40,Assumptions!$C57,'TRA balance'!$D$5:$D$40,Assumptions!$B57)*EA57*AJ57,"")</f>
        <v>2.8200767085</v>
      </c>
      <c r="CG57" s="40">
        <f ca="1">IFERROR(SUMIFS('TRA balance'!AH$5:AH$40,'TRA balance'!$C$5:$C$40,Assumptions!$C57,'TRA balance'!$D$5:$D$40,Assumptions!$B57)*EB57*AK57,"")</f>
        <v>1.6777880367984</v>
      </c>
      <c r="CH57" s="40">
        <f ca="1">IFERROR(SUMIFS('TRA balance'!AI$5:AI$40,'TRA balance'!$C$5:$C$40,Assumptions!$C57,'TRA balance'!$D$5:$D$40,Assumptions!$B57)*EC57*AL57,"")</f>
        <v>0.1857399546168</v>
      </c>
      <c r="CI57" s="40">
        <f ca="1">IFERROR(SUMIFS('TRA balance'!AJ$5:AJ$40,'TRA balance'!$C$5:$C$40,Assumptions!$C57,'TRA balance'!$D$5:$D$40,Assumptions!$B57)*ED57*AM57,"")</f>
        <v>1.0632619508472</v>
      </c>
      <c r="CJ57" s="40">
        <f ca="1">IFERROR(SUMIFS('TRA balance'!AK$5:AK$40,'TRA balance'!$C$5:$C$40,Assumptions!$C57,'TRA balance'!$D$5:$D$40,Assumptions!$B57)*EE57*AN57,"")</f>
        <v>0.1811652559704</v>
      </c>
      <c r="CK57" s="40">
        <f ca="1">IFERROR(SUMIFS('TRA balance'!AL$5:AL$40,'TRA balance'!$C$5:$C$40,Assumptions!$C57,'TRA balance'!$D$5:$D$40,Assumptions!$B57)*EF57*AO57,"")</f>
        <v>0</v>
      </c>
      <c r="CL57" s="40">
        <f ca="1">IFERROR(SUMIFS('TRA balance'!AM$5:AM$40,'TRA balance'!$C$5:$C$40,Assumptions!$C57,'TRA balance'!$D$5:$D$40,Assumptions!$B57)*EG57*AP57,"")</f>
        <v>0.5497184664</v>
      </c>
      <c r="CM57" s="40">
        <f ca="1">IFERROR(SUMIFS('TRA balance'!AN$5:AN$40,'TRA balance'!$C$5:$C$40,Assumptions!$C57,'TRA balance'!$D$5:$D$40,Assumptions!$B57)*EH57*AQ57,"")</f>
        <v>0</v>
      </c>
      <c r="CN57" s="40">
        <f ca="1">IFERROR(SUMIFS('TRA balance'!AO$5:AO$40,'TRA balance'!$C$5:$C$40,Assumptions!$C57,'TRA balance'!$D$5:$D$40,Assumptions!$B57)*EI57*AR57,"")</f>
        <v>0</v>
      </c>
      <c r="CO57" s="40">
        <f ca="1">IFERROR(SUMIFS('TRA balance'!AP$5:AP$40,'TRA balance'!$C$5:$C$40,Assumptions!$C57,'TRA balance'!$D$5:$D$40,Assumptions!$B57)*EJ57*AS57,"")</f>
        <v>0</v>
      </c>
      <c r="CP57" s="40">
        <f ca="1">IFERROR(SUMIFS('TRA balance'!AQ$5:AQ$40,'TRA balance'!$C$5:$C$40,Assumptions!$C57,'TRA balance'!$D$5:$D$40,Assumptions!$B57)*EK57*AT57,"")</f>
        <v>0</v>
      </c>
      <c r="CQ57" s="40">
        <f ca="1">IFERROR(SUMIFS('TRA balance'!AR$5:AR$40,'TRA balance'!$C$5:$C$40,Assumptions!$C57,'TRA balance'!$D$5:$D$40,Assumptions!$B57)*EL57*AU57,"")</f>
        <v>0</v>
      </c>
      <c r="CR57" s="40">
        <f ca="1">IFERROR(SUMIFS('TRA balance'!AS$5:AS$40,'TRA balance'!$C$5:$C$40,Assumptions!$C57,'TRA balance'!$D$5:$D$40,Assumptions!$B57)*EM57*AV57,"")</f>
        <v>0</v>
      </c>
      <c r="CS57" s="40">
        <f ca="1">IFERROR(SUMIFS('TRA balance'!AT$5:AT$40,'TRA balance'!$C$5:$C$40,Assumptions!$C57,'TRA balance'!$D$5:$D$40,Assumptions!$B57)*EN57*AW57,"")</f>
        <v>0</v>
      </c>
      <c r="CT57" s="40">
        <f ca="1">IFERROR(SUMIFS('TRA balance'!AU$5:AU$40,'TRA balance'!$C$5:$C$40,Assumptions!$C57,'TRA balance'!$D$5:$D$40,Assumptions!$B57)*EO57*AX57,"")</f>
        <v>0</v>
      </c>
      <c r="CU57" s="40">
        <f ca="1">IFERROR(SUMIFS('TRA balance'!AV$5:AV$40,'TRA balance'!$C$5:$C$40,Assumptions!$C57,'TRA balance'!$D$5:$D$40,Assumptions!$B57)*EP57*AY57,"")</f>
        <v>0</v>
      </c>
      <c r="CV57" s="40">
        <f ca="1">IFERROR(SUMIFS('TRA balance'!AW$5:AW$40,'TRA balance'!$C$5:$C$40,Assumptions!$C57,'TRA balance'!$D$5:$D$40,Assumptions!$B57)*EQ57*AZ57,"")</f>
        <v>0</v>
      </c>
      <c r="CW57" s="40">
        <f ca="1">IFERROR(SUMIFS('TRA balance'!AX$5:AX$40,'TRA balance'!$C$5:$C$40,Assumptions!$C57,'TRA balance'!$D$5:$D$40,Assumptions!$B57)*ER57*BA57,"")</f>
        <v>0</v>
      </c>
      <c r="CY57" s="39">
        <f ca="1" t="shared" si="66"/>
        <v>0.75</v>
      </c>
      <c r="CZ57" s="39">
        <f ca="1" t="shared" si="3"/>
        <v>0.75</v>
      </c>
      <c r="DA57" s="39">
        <f ca="1" t="shared" si="4"/>
        <v>0.75</v>
      </c>
      <c r="DB57" s="39">
        <f ca="1" t="shared" si="5"/>
        <v>0.318</v>
      </c>
      <c r="DC57" s="39">
        <f ca="1" t="shared" si="6"/>
        <v>0.3</v>
      </c>
      <c r="DD57" s="39">
        <f ca="1" t="shared" si="7"/>
        <v>0.318</v>
      </c>
      <c r="DE57" s="39">
        <f ca="1" t="shared" si="8"/>
        <v>0.5</v>
      </c>
      <c r="DF57" s="39">
        <f ca="1" t="shared" si="9"/>
        <v>0.6</v>
      </c>
      <c r="DG57" s="39">
        <f ca="1" t="shared" si="10"/>
        <v>1</v>
      </c>
      <c r="DH57" s="39">
        <f ca="1" t="shared" si="11"/>
        <v>1</v>
      </c>
      <c r="DI57" s="39">
        <f ca="1" t="shared" si="12"/>
        <v>0.318</v>
      </c>
      <c r="DJ57" s="39">
        <f ca="1" t="shared" si="13"/>
        <v>0.318</v>
      </c>
      <c r="DK57" s="39">
        <f ca="1" t="shared" si="14"/>
        <v>0.318</v>
      </c>
      <c r="DL57" s="39">
        <f ca="1" t="shared" si="15"/>
        <v>1</v>
      </c>
      <c r="DM57" s="39">
        <f ca="1" t="shared" si="16"/>
        <v>0.318</v>
      </c>
      <c r="DN57" s="39">
        <f ca="1" t="shared" si="17"/>
        <v>0.75</v>
      </c>
      <c r="DO57" s="39">
        <f ca="1" t="shared" si="18"/>
        <v>0.318</v>
      </c>
      <c r="DP57" s="39">
        <f ca="1" t="shared" si="19"/>
        <v>0.318</v>
      </c>
      <c r="DQ57" s="39">
        <f ca="1" t="shared" si="20"/>
        <v>0.05</v>
      </c>
      <c r="DR57" s="39">
        <f ca="1" t="shared" si="21"/>
        <v>0.5</v>
      </c>
      <c r="DS57" s="39">
        <f ca="1" t="shared" si="22"/>
        <v>0.318</v>
      </c>
      <c r="DT57" s="39">
        <f ca="1" t="shared" si="23"/>
        <v>0.02083020544021</v>
      </c>
      <c r="DU57" s="39">
        <f ca="1" t="shared" si="24"/>
        <v>0.318</v>
      </c>
      <c r="DV57" s="39">
        <f ca="1" t="shared" si="25"/>
        <v>1</v>
      </c>
      <c r="DW57" s="39">
        <f ca="1" t="shared" si="26"/>
        <v>0.1</v>
      </c>
      <c r="DX57" s="39">
        <f ca="1" t="shared" si="27"/>
        <v>0.3</v>
      </c>
      <c r="DY57" s="39">
        <f ca="1" t="shared" si="28"/>
        <v>0.318</v>
      </c>
      <c r="DZ57" s="39">
        <f ca="1" t="shared" si="29"/>
        <v>0.75</v>
      </c>
      <c r="EA57" s="39">
        <f ca="1" t="shared" si="30"/>
        <v>0.318</v>
      </c>
      <c r="EB57" s="39">
        <f ca="1" t="shared" si="31"/>
        <v>0.318</v>
      </c>
      <c r="EC57" s="39">
        <f ca="1" t="shared" si="32"/>
        <v>0.318</v>
      </c>
      <c r="ED57" s="39">
        <f ca="1" t="shared" si="33"/>
        <v>0.318</v>
      </c>
      <c r="EE57" s="39">
        <f ca="1" t="shared" si="34"/>
        <v>0.318</v>
      </c>
      <c r="EF57" s="39">
        <f ca="1" t="shared" si="35"/>
        <v>0.3</v>
      </c>
      <c r="EG57" s="39">
        <f ca="1" t="shared" si="36"/>
        <v>1</v>
      </c>
      <c r="EH57" s="39">
        <f ca="1" t="shared" si="37"/>
        <v>0.02083020544021</v>
      </c>
      <c r="EI57" s="39">
        <f ca="1" t="shared" si="38"/>
        <v>0.02083020544021</v>
      </c>
      <c r="EJ57" s="39">
        <f ca="1" t="shared" si="39"/>
        <v>0.02083020544021</v>
      </c>
      <c r="EK57" s="39">
        <f ca="1" t="shared" si="40"/>
        <v>0.02083020544021</v>
      </c>
      <c r="EL57" s="39">
        <f ca="1" t="shared" si="41"/>
        <v>0.02083020544021</v>
      </c>
      <c r="EM57" s="39">
        <f ca="1" t="shared" si="42"/>
        <v>0.02083020544021</v>
      </c>
      <c r="EN57" s="39">
        <f ca="1" t="shared" si="43"/>
        <v>0.02083020544021</v>
      </c>
      <c r="EO57" s="39">
        <f ca="1" t="shared" si="44"/>
        <v>0.02083020544021</v>
      </c>
      <c r="EP57" s="39">
        <f ca="1" t="shared" si="45"/>
        <v>0.02083020544021</v>
      </c>
      <c r="EQ57" s="39">
        <f ca="1" t="shared" si="46"/>
        <v>0.02083020544021</v>
      </c>
      <c r="ER57" s="39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4" t="str">
        <f t="shared" si="48"/>
        <v>TR</v>
      </c>
      <c r="D58" s="55" t="s">
        <v>200</v>
      </c>
      <c r="E58" s="66" t="s">
        <v>214</v>
      </c>
      <c r="F58" s="56" t="str">
        <f t="shared" ref="F58:F61" si="82">F57</f>
        <v>Natural Gas</v>
      </c>
      <c r="G58" s="54" t="s">
        <v>215</v>
      </c>
      <c r="H58" s="57">
        <f ca="1">OFFSET(TIAM15_assumptions!$G58,0,MATCH(VLOOKUP(Assumptions!H$2,TIAM15_assumptions!$Y$3:$Z$87,2,FALSE),TIAM15_assumptions!$H$2:$V$2,0))</f>
        <v>0</v>
      </c>
      <c r="I58" s="57">
        <f ca="1">OFFSET(TIAM15_assumptions!$G58,0,MATCH(VLOOKUP(Assumptions!I$2,TIAM15_assumptions!$Y$3:$Z$87,2,FALSE),TIAM15_assumptions!$H$2:$V$2,0))</f>
        <v>0</v>
      </c>
      <c r="J58" s="57">
        <f ca="1">OFFSET(TIAM15_assumptions!$G58,0,MATCH(VLOOKUP(Assumptions!J$2,TIAM15_assumptions!$Y$3:$Z$87,2,FALSE),TIAM15_assumptions!$H$2:$V$2,0))</f>
        <v>0</v>
      </c>
      <c r="K58" s="57">
        <f ca="1">OFFSET(TIAM15_assumptions!$G58,0,MATCH(VLOOKUP(Assumptions!K$2,TIAM15_assumptions!$Y$3:$Z$87,2,FALSE),TIAM15_assumptions!$H$2:$V$2,0))</f>
        <v>0</v>
      </c>
      <c r="L58" s="57">
        <f ca="1">OFFSET(TIAM15_assumptions!$G58,0,MATCH(VLOOKUP(Assumptions!L$2,TIAM15_assumptions!$Y$3:$Z$87,2,FALSE),TIAM15_assumptions!$H$2:$V$2,0))</f>
        <v>0</v>
      </c>
      <c r="M58" s="57">
        <f ca="1">OFFSET(TIAM15_assumptions!$G58,0,MATCH(VLOOKUP(Assumptions!M$2,TIAM15_assumptions!$Y$3:$Z$87,2,FALSE),TIAM15_assumptions!$H$2:$V$2,0))</f>
        <v>0</v>
      </c>
      <c r="N58" s="57">
        <f ca="1">OFFSET(TIAM15_assumptions!$G58,0,MATCH(VLOOKUP(Assumptions!N$2,TIAM15_assumptions!$Y$3:$Z$87,2,FALSE),TIAM15_assumptions!$H$2:$V$2,0))</f>
        <v>0</v>
      </c>
      <c r="O58" s="57">
        <f ca="1">OFFSET(TIAM15_assumptions!$G58,0,MATCH(VLOOKUP(Assumptions!O$2,TIAM15_assumptions!$Y$3:$Z$87,2,FALSE),TIAM15_assumptions!$H$2:$V$2,0))</f>
        <v>0</v>
      </c>
      <c r="P58" s="57">
        <f ca="1">OFFSET(TIAM15_assumptions!$G58,0,MATCH(VLOOKUP(Assumptions!P$2,TIAM15_assumptions!$Y$3:$Z$87,2,FALSE),TIAM15_assumptions!$H$2:$V$2,0))</f>
        <v>0</v>
      </c>
      <c r="Q58" s="57">
        <f ca="1">OFFSET(TIAM15_assumptions!$G58,0,MATCH(VLOOKUP(Assumptions!Q$2,TIAM15_assumptions!$Y$3:$Z$87,2,FALSE),TIAM15_assumptions!$H$2:$V$2,0))</f>
        <v>0</v>
      </c>
      <c r="R58" s="57">
        <f ca="1">OFFSET(TIAM15_assumptions!$G58,0,MATCH(VLOOKUP(Assumptions!R$2,TIAM15_assumptions!$Y$3:$Z$87,2,FALSE),TIAM15_assumptions!$H$2:$V$2,0))</f>
        <v>0</v>
      </c>
      <c r="S58" s="57">
        <f ca="1">OFFSET(TIAM15_assumptions!$G58,0,MATCH(VLOOKUP(Assumptions!S$2,TIAM15_assumptions!$Y$3:$Z$87,2,FALSE),TIAM15_assumptions!$H$2:$V$2,0))</f>
        <v>0</v>
      </c>
      <c r="T58" s="57">
        <f ca="1">OFFSET(TIAM15_assumptions!$G58,0,MATCH(VLOOKUP(Assumptions!T$2,TIAM15_assumptions!$Y$3:$Z$87,2,FALSE),TIAM15_assumptions!$H$2:$V$2,0))</f>
        <v>0</v>
      </c>
      <c r="U58" s="57">
        <f ca="1">OFFSET(TIAM15_assumptions!$G58,0,MATCH(VLOOKUP(Assumptions!U$2,TIAM15_assumptions!$Y$3:$Z$87,2,FALSE),TIAM15_assumptions!$H$2:$V$2,0))</f>
        <v>0</v>
      </c>
      <c r="V58" s="57">
        <f ca="1">OFFSET(TIAM15_assumptions!$G58,0,MATCH(VLOOKUP(Assumptions!V$2,TIAM15_assumptions!$Y$3:$Z$87,2,FALSE),TIAM15_assumptions!$H$2:$V$2,0))</f>
        <v>0</v>
      </c>
      <c r="W58" s="57">
        <f ca="1">OFFSET(TIAM15_assumptions!$G58,0,MATCH(VLOOKUP(Assumptions!W$2,TIAM15_assumptions!$Y$3:$Z$87,2,FALSE),TIAM15_assumptions!$H$2:$V$2,0))</f>
        <v>0</v>
      </c>
      <c r="X58" s="57">
        <f ca="1">OFFSET(TIAM15_assumptions!$G58,0,MATCH(VLOOKUP(Assumptions!X$2,TIAM15_assumptions!$Y$3:$Z$87,2,FALSE),TIAM15_assumptions!$H$2:$V$2,0))</f>
        <v>0</v>
      </c>
      <c r="Y58" s="57">
        <f ca="1">OFFSET(TIAM15_assumptions!$G58,0,MATCH(VLOOKUP(Assumptions!Y$2,TIAM15_assumptions!$Y$3:$Z$87,2,FALSE),TIAM15_assumptions!$H$2:$V$2,0))</f>
        <v>0</v>
      </c>
      <c r="Z58" s="57">
        <f ca="1">OFFSET(TIAM15_assumptions!$G58,0,MATCH(VLOOKUP(Assumptions!Z$2,TIAM15_assumptions!$Y$3:$Z$87,2,FALSE),TIAM15_assumptions!$H$2:$V$2,0))</f>
        <v>0</v>
      </c>
      <c r="AA58" s="57">
        <f ca="1">OFFSET(TIAM15_assumptions!$G58,0,MATCH(VLOOKUP(Assumptions!AA$2,TIAM15_assumptions!$Y$3:$Z$87,2,FALSE),TIAM15_assumptions!$H$2:$V$2,0))</f>
        <v>0</v>
      </c>
      <c r="AB58" s="57">
        <f ca="1">OFFSET(TIAM15_assumptions!$G58,0,MATCH(VLOOKUP(Assumptions!AB$2,TIAM15_assumptions!$Y$3:$Z$87,2,FALSE),TIAM15_assumptions!$H$2:$V$2,0))</f>
        <v>0</v>
      </c>
      <c r="AC58" s="57">
        <f ca="1">OFFSET(TIAM15_assumptions!$G58,0,MATCH(VLOOKUP(Assumptions!AC$2,TIAM15_assumptions!$Y$3:$Z$87,2,FALSE),TIAM15_assumptions!$H$2:$V$2,0))</f>
        <v>0</v>
      </c>
      <c r="AD58" s="57">
        <f ca="1">OFFSET(TIAM15_assumptions!$G58,0,MATCH(VLOOKUP(Assumptions!AD$2,TIAM15_assumptions!$Y$3:$Z$87,2,FALSE),TIAM15_assumptions!$H$2:$V$2,0))</f>
        <v>0</v>
      </c>
      <c r="AE58" s="57">
        <f ca="1">OFFSET(TIAM15_assumptions!$G58,0,MATCH(VLOOKUP(Assumptions!AE$2,TIAM15_assumptions!$Y$3:$Z$87,2,FALSE),TIAM15_assumptions!$H$2:$V$2,0))</f>
        <v>0</v>
      </c>
      <c r="AF58" s="57">
        <f ca="1">OFFSET(TIAM15_assumptions!$G58,0,MATCH(VLOOKUP(Assumptions!AF$2,TIAM15_assumptions!$Y$3:$Z$87,2,FALSE),TIAM15_assumptions!$H$2:$V$2,0))</f>
        <v>0</v>
      </c>
      <c r="AG58" s="57">
        <f ca="1">OFFSET(TIAM15_assumptions!$G58,0,MATCH(VLOOKUP(Assumptions!AG$2,TIAM15_assumptions!$Y$3:$Z$87,2,FALSE),TIAM15_assumptions!$H$2:$V$2,0))</f>
        <v>0</v>
      </c>
      <c r="AH58" s="57">
        <f ca="1">OFFSET(TIAM15_assumptions!$G58,0,MATCH(VLOOKUP(Assumptions!AH$2,TIAM15_assumptions!$Y$3:$Z$87,2,FALSE),TIAM15_assumptions!$H$2:$V$2,0))</f>
        <v>0</v>
      </c>
      <c r="AI58" s="57">
        <f ca="1">OFFSET(TIAM15_assumptions!$G58,0,MATCH(VLOOKUP(Assumptions!AI$2,TIAM15_assumptions!$Y$3:$Z$87,2,FALSE),TIAM15_assumptions!$H$2:$V$2,0))</f>
        <v>0</v>
      </c>
      <c r="AJ58" s="57">
        <f ca="1">OFFSET(TIAM15_assumptions!$G58,0,MATCH(VLOOKUP(Assumptions!AJ$2,TIAM15_assumptions!$Y$3:$Z$87,2,FALSE),TIAM15_assumptions!$H$2:$V$2,0))</f>
        <v>0</v>
      </c>
      <c r="AK58" s="57">
        <f ca="1">OFFSET(TIAM15_assumptions!$G58,0,MATCH(VLOOKUP(Assumptions!AK$2,TIAM15_assumptions!$Y$3:$Z$87,2,FALSE),TIAM15_assumptions!$H$2:$V$2,0))</f>
        <v>0</v>
      </c>
      <c r="AL58" s="57">
        <f ca="1">OFFSET(TIAM15_assumptions!$G58,0,MATCH(VLOOKUP(Assumptions!AL$2,TIAM15_assumptions!$Y$3:$Z$87,2,FALSE),TIAM15_assumptions!$H$2:$V$2,0))</f>
        <v>0</v>
      </c>
      <c r="AM58" s="57">
        <f ca="1">OFFSET(TIAM15_assumptions!$G58,0,MATCH(VLOOKUP(Assumptions!AM$2,TIAM15_assumptions!$Y$3:$Z$87,2,FALSE),TIAM15_assumptions!$H$2:$V$2,0))</f>
        <v>0</v>
      </c>
      <c r="AN58" s="57">
        <f ca="1">OFFSET(TIAM15_assumptions!$G58,0,MATCH(VLOOKUP(Assumptions!AN$2,TIAM15_assumptions!$Y$3:$Z$87,2,FALSE),TIAM15_assumptions!$H$2:$V$2,0))</f>
        <v>0</v>
      </c>
      <c r="AO58" s="57">
        <f ca="1">OFFSET(TIAM15_assumptions!$G58,0,MATCH(VLOOKUP(Assumptions!AO$2,TIAM15_assumptions!$Y$3:$Z$87,2,FALSE),TIAM15_assumptions!$H$2:$V$2,0))</f>
        <v>0</v>
      </c>
      <c r="AP58" s="57">
        <f ca="1">OFFSET(TIAM15_assumptions!$G58,0,MATCH(VLOOKUP(Assumptions!AP$2,TIAM15_assumptions!$Y$3:$Z$87,2,FALSE),TIAM15_assumptions!$H$2:$V$2,0))</f>
        <v>0</v>
      </c>
      <c r="AQ58" s="57">
        <f ca="1">OFFSET(TIAM15_assumptions!$G58,0,MATCH(VLOOKUP(Assumptions!AQ$2,TIAM15_assumptions!$Y$3:$Z$87,2,FALSE),TIAM15_assumptions!$H$2:$V$2,0))</f>
        <v>0</v>
      </c>
      <c r="AR58" s="57">
        <f ca="1">OFFSET(TIAM15_assumptions!$G58,0,MATCH(VLOOKUP(Assumptions!AR$2,TIAM15_assumptions!$Y$3:$Z$87,2,FALSE),TIAM15_assumptions!$H$2:$V$2,0))</f>
        <v>0</v>
      </c>
      <c r="AS58" s="57">
        <f ca="1">OFFSET(TIAM15_assumptions!$G58,0,MATCH(VLOOKUP(Assumptions!AS$2,TIAM15_assumptions!$Y$3:$Z$87,2,FALSE),TIAM15_assumptions!$H$2:$V$2,0))</f>
        <v>0</v>
      </c>
      <c r="AT58" s="57">
        <f ca="1">OFFSET(TIAM15_assumptions!$G58,0,MATCH(VLOOKUP(Assumptions!AT$2,TIAM15_assumptions!$Y$3:$Z$87,2,FALSE),TIAM15_assumptions!$H$2:$V$2,0))</f>
        <v>0</v>
      </c>
      <c r="AU58" s="57">
        <f ca="1">OFFSET(TIAM15_assumptions!$G58,0,MATCH(VLOOKUP(Assumptions!AU$2,TIAM15_assumptions!$Y$3:$Z$87,2,FALSE),TIAM15_assumptions!$H$2:$V$2,0))</f>
        <v>0</v>
      </c>
      <c r="AV58" s="57">
        <f ca="1">OFFSET(TIAM15_assumptions!$G58,0,MATCH(VLOOKUP(Assumptions!AV$2,TIAM15_assumptions!$Y$3:$Z$87,2,FALSE),TIAM15_assumptions!$H$2:$V$2,0))</f>
        <v>0</v>
      </c>
      <c r="AW58" s="57">
        <f ca="1">OFFSET(TIAM15_assumptions!$G58,0,MATCH(VLOOKUP(Assumptions!AW$2,TIAM15_assumptions!$Y$3:$Z$87,2,FALSE),TIAM15_assumptions!$H$2:$V$2,0))</f>
        <v>0</v>
      </c>
      <c r="AX58" s="57">
        <f ca="1">OFFSET(TIAM15_assumptions!$G58,0,MATCH(VLOOKUP(Assumptions!AX$2,TIAM15_assumptions!$Y$3:$Z$87,2,FALSE),TIAM15_assumptions!$H$2:$V$2,0))</f>
        <v>0</v>
      </c>
      <c r="AY58" s="57">
        <f ca="1">OFFSET(TIAM15_assumptions!$G58,0,MATCH(VLOOKUP(Assumptions!AY$2,TIAM15_assumptions!$Y$3:$Z$87,2,FALSE),TIAM15_assumptions!$H$2:$V$2,0))</f>
        <v>0</v>
      </c>
      <c r="AZ58" s="57">
        <f ca="1">OFFSET(TIAM15_assumptions!$G58,0,MATCH(VLOOKUP(Assumptions!AZ$2,TIAM15_assumptions!$Y$3:$Z$87,2,FALSE),TIAM15_assumptions!$H$2:$V$2,0))</f>
        <v>0</v>
      </c>
      <c r="BA58" s="57">
        <f ca="1">OFFSET(TIAM15_assumptions!$G58,0,MATCH(VLOOKUP(Assumptions!BA$2,TIAM15_assumptions!$Y$3:$Z$87,2,FALSE),TIAM15_assumptions!$H$2:$V$2,0))</f>
        <v>0</v>
      </c>
      <c r="BD58" s="40">
        <f ca="1">IFERROR(SUMIFS('TRA balance'!E$5:E$40,'TRA balance'!$C$5:$C$40,Assumptions!$C58,'TRA balance'!$D$5:$D$40,Assumptions!$B58)*CY58*H58,"")</f>
        <v>0</v>
      </c>
      <c r="BE58" s="40">
        <f ca="1">IFERROR(SUMIFS('TRA balance'!F$5:F$40,'TRA balance'!$C$5:$C$40,Assumptions!$C58,'TRA balance'!$D$5:$D$40,Assumptions!$B58)*CZ58*I58,"")</f>
        <v>0</v>
      </c>
      <c r="BF58" s="40">
        <f ca="1">IFERROR(SUMIFS('TRA balance'!G$5:G$40,'TRA balance'!$C$5:$C$40,Assumptions!$C58,'TRA balance'!$D$5:$D$40,Assumptions!$B58)*DA58*J58,"")</f>
        <v>0</v>
      </c>
      <c r="BG58" s="40">
        <f ca="1">IFERROR(SUMIFS('TRA balance'!H$5:H$40,'TRA balance'!$C$5:$C$40,Assumptions!$C58,'TRA balance'!$D$5:$D$40,Assumptions!$B58)*DB58*K58,"")</f>
        <v>0</v>
      </c>
      <c r="BH58" s="40">
        <f ca="1">IFERROR(SUMIFS('TRA balance'!I$5:I$40,'TRA balance'!$C$5:$C$40,Assumptions!$C58,'TRA balance'!$D$5:$D$40,Assumptions!$B58)*DC58*L58,"")</f>
        <v>0</v>
      </c>
      <c r="BI58" s="40">
        <f ca="1">IFERROR(SUMIFS('TRA balance'!J$5:J$40,'TRA balance'!$C$5:$C$40,Assumptions!$C58,'TRA balance'!$D$5:$D$40,Assumptions!$B58)*DD58*M58,"")</f>
        <v>0</v>
      </c>
      <c r="BJ58" s="40">
        <f ca="1">IFERROR(SUMIFS('TRA balance'!K$5:K$40,'TRA balance'!$C$5:$C$40,Assumptions!$C58,'TRA balance'!$D$5:$D$40,Assumptions!$B58)*DE58*N58,"")</f>
        <v>0</v>
      </c>
      <c r="BK58" s="40">
        <f ca="1">IFERROR(SUMIFS('TRA balance'!L$5:L$40,'TRA balance'!$C$5:$C$40,Assumptions!$C58,'TRA balance'!$D$5:$D$40,Assumptions!$B58)*DF58*O58,"")</f>
        <v>0</v>
      </c>
      <c r="BL58" s="40">
        <f ca="1">IFERROR(SUMIFS('TRA balance'!M$5:M$40,'TRA balance'!$C$5:$C$40,Assumptions!$C58,'TRA balance'!$D$5:$D$40,Assumptions!$B58)*DG58*P58,"")</f>
        <v>0</v>
      </c>
      <c r="BM58" s="40">
        <f ca="1">IFERROR(SUMIFS('TRA balance'!N$5:N$40,'TRA balance'!$C$5:$C$40,Assumptions!$C58,'TRA balance'!$D$5:$D$40,Assumptions!$B58)*DH58*Q58,"")</f>
        <v>0</v>
      </c>
      <c r="BN58" s="40">
        <f ca="1">IFERROR(SUMIFS('TRA balance'!O$5:O$40,'TRA balance'!$C$5:$C$40,Assumptions!$C58,'TRA balance'!$D$5:$D$40,Assumptions!$B58)*DI58*R58,"")</f>
        <v>0</v>
      </c>
      <c r="BO58" s="40">
        <f ca="1">IFERROR(SUMIFS('TRA balance'!P$5:P$40,'TRA balance'!$C$5:$C$40,Assumptions!$C58,'TRA balance'!$D$5:$D$40,Assumptions!$B58)*DJ58*S58,"")</f>
        <v>0</v>
      </c>
      <c r="BP58" s="40">
        <f ca="1">IFERROR(SUMIFS('TRA balance'!Q$5:Q$40,'TRA balance'!$C$5:$C$40,Assumptions!$C58,'TRA balance'!$D$5:$D$40,Assumptions!$B58)*DK58*T58,"")</f>
        <v>0</v>
      </c>
      <c r="BQ58" s="40">
        <f ca="1">IFERROR(SUMIFS('TRA balance'!R$5:R$40,'TRA balance'!$C$5:$C$40,Assumptions!$C58,'TRA balance'!$D$5:$D$40,Assumptions!$B58)*DL58*U58,"")</f>
        <v>0</v>
      </c>
      <c r="BR58" s="40">
        <f ca="1">IFERROR(SUMIFS('TRA balance'!S$5:S$40,'TRA balance'!$C$5:$C$40,Assumptions!$C58,'TRA balance'!$D$5:$D$40,Assumptions!$B58)*DM58*V58,"")</f>
        <v>0</v>
      </c>
      <c r="BS58" s="40">
        <f ca="1">IFERROR(SUMIFS('TRA balance'!T$5:T$40,'TRA balance'!$C$5:$C$40,Assumptions!$C58,'TRA balance'!$D$5:$D$40,Assumptions!$B58)*DN58*W58,"")</f>
        <v>0</v>
      </c>
      <c r="BT58" s="40">
        <f ca="1">IFERROR(SUMIFS('TRA balance'!U$5:U$40,'TRA balance'!$C$5:$C$40,Assumptions!$C58,'TRA balance'!$D$5:$D$40,Assumptions!$B58)*DO58*X58,"")</f>
        <v>0</v>
      </c>
      <c r="BU58" s="40">
        <f ca="1">IFERROR(SUMIFS('TRA balance'!V$5:V$40,'TRA balance'!$C$5:$C$40,Assumptions!$C58,'TRA balance'!$D$5:$D$40,Assumptions!$B58)*DP58*Y58,"")</f>
        <v>0</v>
      </c>
      <c r="BV58" s="40">
        <f ca="1">IFERROR(SUMIFS('TRA balance'!W$5:W$40,'TRA balance'!$C$5:$C$40,Assumptions!$C58,'TRA balance'!$D$5:$D$40,Assumptions!$B58)*DQ58*Z58,"")</f>
        <v>0</v>
      </c>
      <c r="BW58" s="40">
        <f ca="1">IFERROR(SUMIFS('TRA balance'!X$5:X$40,'TRA balance'!$C$5:$C$40,Assumptions!$C58,'TRA balance'!$D$5:$D$40,Assumptions!$B58)*DR58*AA58,"")</f>
        <v>0</v>
      </c>
      <c r="BX58" s="40">
        <f ca="1">IFERROR(SUMIFS('TRA balance'!Y$5:Y$40,'TRA balance'!$C$5:$C$40,Assumptions!$C58,'TRA balance'!$D$5:$D$40,Assumptions!$B58)*DS58*AB58,"")</f>
        <v>0</v>
      </c>
      <c r="BY58" s="40">
        <f ca="1">IFERROR(SUMIFS('TRA balance'!Z$5:Z$40,'TRA balance'!$C$5:$C$40,Assumptions!$C58,'TRA balance'!$D$5:$D$40,Assumptions!$B58)*DT58*AC58,"")</f>
        <v>0</v>
      </c>
      <c r="BZ58" s="40">
        <f ca="1">IFERROR(SUMIFS('TRA balance'!AA$5:AA$40,'TRA balance'!$C$5:$C$40,Assumptions!$C58,'TRA balance'!$D$5:$D$40,Assumptions!$B58)*DU58*AD58,"")</f>
        <v>0</v>
      </c>
      <c r="CA58" s="40">
        <f ca="1">IFERROR(SUMIFS('TRA balance'!AB$5:AB$40,'TRA balance'!$C$5:$C$40,Assumptions!$C58,'TRA balance'!$D$5:$D$40,Assumptions!$B58)*DV58*AE58,"")</f>
        <v>0</v>
      </c>
      <c r="CB58" s="40">
        <f ca="1">IFERROR(SUMIFS('TRA balance'!AC$5:AC$40,'TRA balance'!$C$5:$C$40,Assumptions!$C58,'TRA balance'!$D$5:$D$40,Assumptions!$B58)*DW58*AF58,"")</f>
        <v>0</v>
      </c>
      <c r="CC58" s="40">
        <f ca="1">IFERROR(SUMIFS('TRA balance'!AD$5:AD$40,'TRA balance'!$C$5:$C$40,Assumptions!$C58,'TRA balance'!$D$5:$D$40,Assumptions!$B58)*DX58*AG58,"")</f>
        <v>0</v>
      </c>
      <c r="CD58" s="40">
        <f ca="1">IFERROR(SUMIFS('TRA balance'!AE$5:AE$40,'TRA balance'!$C$5:$C$40,Assumptions!$C58,'TRA balance'!$D$5:$D$40,Assumptions!$B58)*DY58*AH58,"")</f>
        <v>0</v>
      </c>
      <c r="CE58" s="40">
        <f ca="1">IFERROR(SUMIFS('TRA balance'!AF$5:AF$40,'TRA balance'!$C$5:$C$40,Assumptions!$C58,'TRA balance'!$D$5:$D$40,Assumptions!$B58)*DZ58*AI58,"")</f>
        <v>0</v>
      </c>
      <c r="CF58" s="40">
        <f ca="1">IFERROR(SUMIFS('TRA balance'!AG$5:AG$40,'TRA balance'!$C$5:$C$40,Assumptions!$C58,'TRA balance'!$D$5:$D$40,Assumptions!$B58)*EA58*AJ58,"")</f>
        <v>0</v>
      </c>
      <c r="CG58" s="40">
        <f ca="1">IFERROR(SUMIFS('TRA balance'!AH$5:AH$40,'TRA balance'!$C$5:$C$40,Assumptions!$C58,'TRA balance'!$D$5:$D$40,Assumptions!$B58)*EB58*AK58,"")</f>
        <v>0</v>
      </c>
      <c r="CH58" s="40">
        <f ca="1">IFERROR(SUMIFS('TRA balance'!AI$5:AI$40,'TRA balance'!$C$5:$C$40,Assumptions!$C58,'TRA balance'!$D$5:$D$40,Assumptions!$B58)*EC58*AL58,"")</f>
        <v>0</v>
      </c>
      <c r="CI58" s="40">
        <f ca="1">IFERROR(SUMIFS('TRA balance'!AJ$5:AJ$40,'TRA balance'!$C$5:$C$40,Assumptions!$C58,'TRA balance'!$D$5:$D$40,Assumptions!$B58)*ED58*AM58,"")</f>
        <v>0</v>
      </c>
      <c r="CJ58" s="40">
        <f ca="1">IFERROR(SUMIFS('TRA balance'!AK$5:AK$40,'TRA balance'!$C$5:$C$40,Assumptions!$C58,'TRA balance'!$D$5:$D$40,Assumptions!$B58)*EE58*AN58,"")</f>
        <v>0</v>
      </c>
      <c r="CK58" s="40">
        <f ca="1">IFERROR(SUMIFS('TRA balance'!AL$5:AL$40,'TRA balance'!$C$5:$C$40,Assumptions!$C58,'TRA balance'!$D$5:$D$40,Assumptions!$B58)*EF58*AO58,"")</f>
        <v>0</v>
      </c>
      <c r="CL58" s="40">
        <f ca="1">IFERROR(SUMIFS('TRA balance'!AM$5:AM$40,'TRA balance'!$C$5:$C$40,Assumptions!$C58,'TRA balance'!$D$5:$D$40,Assumptions!$B58)*EG58*AP58,"")</f>
        <v>0</v>
      </c>
      <c r="CM58" s="40">
        <f ca="1">IFERROR(SUMIFS('TRA balance'!AN$5:AN$40,'TRA balance'!$C$5:$C$40,Assumptions!$C58,'TRA balance'!$D$5:$D$40,Assumptions!$B58)*EH58*AQ58,"")</f>
        <v>0</v>
      </c>
      <c r="CN58" s="40">
        <f ca="1">IFERROR(SUMIFS('TRA balance'!AO$5:AO$40,'TRA balance'!$C$5:$C$40,Assumptions!$C58,'TRA balance'!$D$5:$D$40,Assumptions!$B58)*EI58*AR58,"")</f>
        <v>0</v>
      </c>
      <c r="CO58" s="40">
        <f ca="1">IFERROR(SUMIFS('TRA balance'!AP$5:AP$40,'TRA balance'!$C$5:$C$40,Assumptions!$C58,'TRA balance'!$D$5:$D$40,Assumptions!$B58)*EJ58*AS58,"")</f>
        <v>0</v>
      </c>
      <c r="CP58" s="40">
        <f ca="1">IFERROR(SUMIFS('TRA balance'!AQ$5:AQ$40,'TRA balance'!$C$5:$C$40,Assumptions!$C58,'TRA balance'!$D$5:$D$40,Assumptions!$B58)*EK58*AT58,"")</f>
        <v>0</v>
      </c>
      <c r="CQ58" s="40">
        <f ca="1">IFERROR(SUMIFS('TRA balance'!AR$5:AR$40,'TRA balance'!$C$5:$C$40,Assumptions!$C58,'TRA balance'!$D$5:$D$40,Assumptions!$B58)*EL58*AU58,"")</f>
        <v>0</v>
      </c>
      <c r="CR58" s="40">
        <f ca="1">IFERROR(SUMIFS('TRA balance'!AS$5:AS$40,'TRA balance'!$C$5:$C$40,Assumptions!$C58,'TRA balance'!$D$5:$D$40,Assumptions!$B58)*EM58*AV58,"")</f>
        <v>0</v>
      </c>
      <c r="CS58" s="40">
        <f ca="1">IFERROR(SUMIFS('TRA balance'!AT$5:AT$40,'TRA balance'!$C$5:$C$40,Assumptions!$C58,'TRA balance'!$D$5:$D$40,Assumptions!$B58)*EN58*AW58,"")</f>
        <v>0</v>
      </c>
      <c r="CT58" s="40">
        <f ca="1">IFERROR(SUMIFS('TRA balance'!AU$5:AU$40,'TRA balance'!$C$5:$C$40,Assumptions!$C58,'TRA balance'!$D$5:$D$40,Assumptions!$B58)*EO58*AX58,"")</f>
        <v>0</v>
      </c>
      <c r="CU58" s="40">
        <f ca="1">IFERROR(SUMIFS('TRA balance'!AV$5:AV$40,'TRA balance'!$C$5:$C$40,Assumptions!$C58,'TRA balance'!$D$5:$D$40,Assumptions!$B58)*EP58*AY58,"")</f>
        <v>0</v>
      </c>
      <c r="CV58" s="40">
        <f ca="1">IFERROR(SUMIFS('TRA balance'!AW$5:AW$40,'TRA balance'!$C$5:$C$40,Assumptions!$C58,'TRA balance'!$D$5:$D$40,Assumptions!$B58)*EQ58*AZ58,"")</f>
        <v>0</v>
      </c>
      <c r="CW58" s="40">
        <f ca="1">IFERROR(SUMIFS('TRA balance'!AX$5:AX$40,'TRA balance'!$C$5:$C$40,Assumptions!$C58,'TRA balance'!$D$5:$D$40,Assumptions!$B58)*ER58*BA58,"")</f>
        <v>0</v>
      </c>
      <c r="CY58" s="39">
        <f ca="1" t="shared" si="66"/>
        <v>0.75</v>
      </c>
      <c r="CZ58" s="39">
        <f ca="1" t="shared" si="3"/>
        <v>0.75</v>
      </c>
      <c r="DA58" s="39">
        <f ca="1" t="shared" si="4"/>
        <v>0.75</v>
      </c>
      <c r="DB58" s="39">
        <f ca="1" t="shared" si="5"/>
        <v>0.318</v>
      </c>
      <c r="DC58" s="39">
        <f ca="1" t="shared" si="6"/>
        <v>0.3</v>
      </c>
      <c r="DD58" s="39">
        <f ca="1" t="shared" si="7"/>
        <v>0.318</v>
      </c>
      <c r="DE58" s="39">
        <f ca="1" t="shared" si="8"/>
        <v>0.5</v>
      </c>
      <c r="DF58" s="39">
        <f ca="1" t="shared" si="9"/>
        <v>0.6</v>
      </c>
      <c r="DG58" s="39">
        <f ca="1" t="shared" si="10"/>
        <v>1</v>
      </c>
      <c r="DH58" s="39">
        <f ca="1" t="shared" si="11"/>
        <v>1</v>
      </c>
      <c r="DI58" s="39">
        <f ca="1" t="shared" si="12"/>
        <v>0.318</v>
      </c>
      <c r="DJ58" s="39">
        <f ca="1" t="shared" si="13"/>
        <v>0.318</v>
      </c>
      <c r="DK58" s="39">
        <f ca="1" t="shared" si="14"/>
        <v>0.318</v>
      </c>
      <c r="DL58" s="39">
        <f ca="1" t="shared" si="15"/>
        <v>1</v>
      </c>
      <c r="DM58" s="39">
        <f ca="1" t="shared" si="16"/>
        <v>0.318</v>
      </c>
      <c r="DN58" s="39">
        <f ca="1" t="shared" si="17"/>
        <v>0.75</v>
      </c>
      <c r="DO58" s="39">
        <f ca="1" t="shared" si="18"/>
        <v>0.318</v>
      </c>
      <c r="DP58" s="39">
        <f ca="1" t="shared" si="19"/>
        <v>0.318</v>
      </c>
      <c r="DQ58" s="39">
        <f ca="1" t="shared" si="20"/>
        <v>0.05</v>
      </c>
      <c r="DR58" s="39">
        <f ca="1" t="shared" si="21"/>
        <v>0.5</v>
      </c>
      <c r="DS58" s="39">
        <f ca="1" t="shared" si="22"/>
        <v>0.318</v>
      </c>
      <c r="DT58" s="39">
        <f ca="1" t="shared" si="23"/>
        <v>0.02083020544021</v>
      </c>
      <c r="DU58" s="39">
        <f ca="1" t="shared" si="24"/>
        <v>0.318</v>
      </c>
      <c r="DV58" s="39">
        <f ca="1" t="shared" si="25"/>
        <v>1</v>
      </c>
      <c r="DW58" s="39">
        <f ca="1" t="shared" si="26"/>
        <v>0.1</v>
      </c>
      <c r="DX58" s="39">
        <f ca="1" t="shared" si="27"/>
        <v>0.3</v>
      </c>
      <c r="DY58" s="39">
        <f ca="1" t="shared" si="28"/>
        <v>0.318</v>
      </c>
      <c r="DZ58" s="39">
        <f ca="1" t="shared" si="29"/>
        <v>0.75</v>
      </c>
      <c r="EA58" s="39">
        <f ca="1" t="shared" si="30"/>
        <v>0.318</v>
      </c>
      <c r="EB58" s="39">
        <f ca="1" t="shared" si="31"/>
        <v>0.318</v>
      </c>
      <c r="EC58" s="39">
        <f ca="1" t="shared" si="32"/>
        <v>0.318</v>
      </c>
      <c r="ED58" s="39">
        <f ca="1" t="shared" si="33"/>
        <v>0.318</v>
      </c>
      <c r="EE58" s="39">
        <f ca="1" t="shared" si="34"/>
        <v>0.318</v>
      </c>
      <c r="EF58" s="39">
        <f ca="1" t="shared" si="35"/>
        <v>0.3</v>
      </c>
      <c r="EG58" s="39">
        <f ca="1" t="shared" si="36"/>
        <v>1</v>
      </c>
      <c r="EH58" s="39">
        <f ca="1" t="shared" si="37"/>
        <v>0.02083020544021</v>
      </c>
      <c r="EI58" s="39">
        <f ca="1" t="shared" si="38"/>
        <v>0.02083020544021</v>
      </c>
      <c r="EJ58" s="39">
        <f ca="1" t="shared" si="39"/>
        <v>0.02083020544021</v>
      </c>
      <c r="EK58" s="39">
        <f ca="1" t="shared" si="40"/>
        <v>0.02083020544021</v>
      </c>
      <c r="EL58" s="39">
        <f ca="1" t="shared" si="41"/>
        <v>0.02083020544021</v>
      </c>
      <c r="EM58" s="39">
        <f ca="1" t="shared" si="42"/>
        <v>0.02083020544021</v>
      </c>
      <c r="EN58" s="39">
        <f ca="1" t="shared" si="43"/>
        <v>0.02083020544021</v>
      </c>
      <c r="EO58" s="39">
        <f ca="1" t="shared" si="44"/>
        <v>0.02083020544021</v>
      </c>
      <c r="EP58" s="39">
        <f ca="1" t="shared" si="45"/>
        <v>0.02083020544021</v>
      </c>
      <c r="EQ58" s="39">
        <f ca="1" t="shared" si="46"/>
        <v>0.02083020544021</v>
      </c>
      <c r="ER58" s="39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4" t="str">
        <f t="shared" si="48"/>
        <v>TR</v>
      </c>
      <c r="D59" s="55" t="s">
        <v>200</v>
      </c>
      <c r="E59" s="66" t="s">
        <v>216</v>
      </c>
      <c r="F59" s="56" t="str">
        <f t="shared" si="82"/>
        <v>Natural Gas</v>
      </c>
      <c r="G59" s="54" t="s">
        <v>217</v>
      </c>
      <c r="H59" s="57">
        <f ca="1">OFFSET(TIAM15_assumptions!$G59,0,MATCH(VLOOKUP(Assumptions!H$2,TIAM15_assumptions!$Y$3:$Z$87,2,FALSE),TIAM15_assumptions!$H$2:$V$2,0))</f>
        <v>0</v>
      </c>
      <c r="I59" s="57">
        <f ca="1">OFFSET(TIAM15_assumptions!$G59,0,MATCH(VLOOKUP(Assumptions!I$2,TIAM15_assumptions!$Y$3:$Z$87,2,FALSE),TIAM15_assumptions!$H$2:$V$2,0))</f>
        <v>0</v>
      </c>
      <c r="J59" s="57">
        <f ca="1">OFFSET(TIAM15_assumptions!$G59,0,MATCH(VLOOKUP(Assumptions!J$2,TIAM15_assumptions!$Y$3:$Z$87,2,FALSE),TIAM15_assumptions!$H$2:$V$2,0))</f>
        <v>0</v>
      </c>
      <c r="K59" s="57">
        <f ca="1">OFFSET(TIAM15_assumptions!$G59,0,MATCH(VLOOKUP(Assumptions!K$2,TIAM15_assumptions!$Y$3:$Z$87,2,FALSE),TIAM15_assumptions!$H$2:$V$2,0))</f>
        <v>0</v>
      </c>
      <c r="L59" s="57">
        <f ca="1">OFFSET(TIAM15_assumptions!$G59,0,MATCH(VLOOKUP(Assumptions!L$2,TIAM15_assumptions!$Y$3:$Z$87,2,FALSE),TIAM15_assumptions!$H$2:$V$2,0))</f>
        <v>0</v>
      </c>
      <c r="M59" s="57">
        <f ca="1">OFFSET(TIAM15_assumptions!$G59,0,MATCH(VLOOKUP(Assumptions!M$2,TIAM15_assumptions!$Y$3:$Z$87,2,FALSE),TIAM15_assumptions!$H$2:$V$2,0))</f>
        <v>0</v>
      </c>
      <c r="N59" s="57">
        <f ca="1">OFFSET(TIAM15_assumptions!$G59,0,MATCH(VLOOKUP(Assumptions!N$2,TIAM15_assumptions!$Y$3:$Z$87,2,FALSE),TIAM15_assumptions!$H$2:$V$2,0))</f>
        <v>0</v>
      </c>
      <c r="O59" s="57">
        <f ca="1">OFFSET(TIAM15_assumptions!$G59,0,MATCH(VLOOKUP(Assumptions!O$2,TIAM15_assumptions!$Y$3:$Z$87,2,FALSE),TIAM15_assumptions!$H$2:$V$2,0))</f>
        <v>0</v>
      </c>
      <c r="P59" s="57">
        <f ca="1">OFFSET(TIAM15_assumptions!$G59,0,MATCH(VLOOKUP(Assumptions!P$2,TIAM15_assumptions!$Y$3:$Z$87,2,FALSE),TIAM15_assumptions!$H$2:$V$2,0))</f>
        <v>0</v>
      </c>
      <c r="Q59" s="57">
        <f ca="1">OFFSET(TIAM15_assumptions!$G59,0,MATCH(VLOOKUP(Assumptions!Q$2,TIAM15_assumptions!$Y$3:$Z$87,2,FALSE),TIAM15_assumptions!$H$2:$V$2,0))</f>
        <v>0</v>
      </c>
      <c r="R59" s="57">
        <f ca="1">OFFSET(TIAM15_assumptions!$G59,0,MATCH(VLOOKUP(Assumptions!R$2,TIAM15_assumptions!$Y$3:$Z$87,2,FALSE),TIAM15_assumptions!$H$2:$V$2,0))</f>
        <v>0</v>
      </c>
      <c r="S59" s="57">
        <f ca="1">OFFSET(TIAM15_assumptions!$G59,0,MATCH(VLOOKUP(Assumptions!S$2,TIAM15_assumptions!$Y$3:$Z$87,2,FALSE),TIAM15_assumptions!$H$2:$V$2,0))</f>
        <v>0</v>
      </c>
      <c r="T59" s="57">
        <f ca="1">OFFSET(TIAM15_assumptions!$G59,0,MATCH(VLOOKUP(Assumptions!T$2,TIAM15_assumptions!$Y$3:$Z$87,2,FALSE),TIAM15_assumptions!$H$2:$V$2,0))</f>
        <v>0</v>
      </c>
      <c r="U59" s="57">
        <f ca="1">OFFSET(TIAM15_assumptions!$G59,0,MATCH(VLOOKUP(Assumptions!U$2,TIAM15_assumptions!$Y$3:$Z$87,2,FALSE),TIAM15_assumptions!$H$2:$V$2,0))</f>
        <v>0</v>
      </c>
      <c r="V59" s="57">
        <f ca="1">OFFSET(TIAM15_assumptions!$G59,0,MATCH(VLOOKUP(Assumptions!V$2,TIAM15_assumptions!$Y$3:$Z$87,2,FALSE),TIAM15_assumptions!$H$2:$V$2,0))</f>
        <v>0</v>
      </c>
      <c r="W59" s="57">
        <f ca="1">OFFSET(TIAM15_assumptions!$G59,0,MATCH(VLOOKUP(Assumptions!W$2,TIAM15_assumptions!$Y$3:$Z$87,2,FALSE),TIAM15_assumptions!$H$2:$V$2,0))</f>
        <v>0</v>
      </c>
      <c r="X59" s="57">
        <f ca="1">OFFSET(TIAM15_assumptions!$G59,0,MATCH(VLOOKUP(Assumptions!X$2,TIAM15_assumptions!$Y$3:$Z$87,2,FALSE),TIAM15_assumptions!$H$2:$V$2,0))</f>
        <v>0</v>
      </c>
      <c r="Y59" s="57">
        <f ca="1">OFFSET(TIAM15_assumptions!$G59,0,MATCH(VLOOKUP(Assumptions!Y$2,TIAM15_assumptions!$Y$3:$Z$87,2,FALSE),TIAM15_assumptions!$H$2:$V$2,0))</f>
        <v>0</v>
      </c>
      <c r="Z59" s="57">
        <f ca="1">OFFSET(TIAM15_assumptions!$G59,0,MATCH(VLOOKUP(Assumptions!Z$2,TIAM15_assumptions!$Y$3:$Z$87,2,FALSE),TIAM15_assumptions!$H$2:$V$2,0))</f>
        <v>0</v>
      </c>
      <c r="AA59" s="57">
        <f ca="1">OFFSET(TIAM15_assumptions!$G59,0,MATCH(VLOOKUP(Assumptions!AA$2,TIAM15_assumptions!$Y$3:$Z$87,2,FALSE),TIAM15_assumptions!$H$2:$V$2,0))</f>
        <v>0</v>
      </c>
      <c r="AB59" s="57">
        <f ca="1">OFFSET(TIAM15_assumptions!$G59,0,MATCH(VLOOKUP(Assumptions!AB$2,TIAM15_assumptions!$Y$3:$Z$87,2,FALSE),TIAM15_assumptions!$H$2:$V$2,0))</f>
        <v>0</v>
      </c>
      <c r="AC59" s="57">
        <f ca="1">OFFSET(TIAM15_assumptions!$G59,0,MATCH(VLOOKUP(Assumptions!AC$2,TIAM15_assumptions!$Y$3:$Z$87,2,FALSE),TIAM15_assumptions!$H$2:$V$2,0))</f>
        <v>0</v>
      </c>
      <c r="AD59" s="57">
        <f ca="1">OFFSET(TIAM15_assumptions!$G59,0,MATCH(VLOOKUP(Assumptions!AD$2,TIAM15_assumptions!$Y$3:$Z$87,2,FALSE),TIAM15_assumptions!$H$2:$V$2,0))</f>
        <v>0</v>
      </c>
      <c r="AE59" s="57">
        <f ca="1">OFFSET(TIAM15_assumptions!$G59,0,MATCH(VLOOKUP(Assumptions!AE$2,TIAM15_assumptions!$Y$3:$Z$87,2,FALSE),TIAM15_assumptions!$H$2:$V$2,0))</f>
        <v>0</v>
      </c>
      <c r="AF59" s="57">
        <f ca="1">OFFSET(TIAM15_assumptions!$G59,0,MATCH(VLOOKUP(Assumptions!AF$2,TIAM15_assumptions!$Y$3:$Z$87,2,FALSE),TIAM15_assumptions!$H$2:$V$2,0))</f>
        <v>0</v>
      </c>
      <c r="AG59" s="57">
        <f ca="1">OFFSET(TIAM15_assumptions!$G59,0,MATCH(VLOOKUP(Assumptions!AG$2,TIAM15_assumptions!$Y$3:$Z$87,2,FALSE),TIAM15_assumptions!$H$2:$V$2,0))</f>
        <v>0</v>
      </c>
      <c r="AH59" s="57">
        <f ca="1">OFFSET(TIAM15_assumptions!$G59,0,MATCH(VLOOKUP(Assumptions!AH$2,TIAM15_assumptions!$Y$3:$Z$87,2,FALSE),TIAM15_assumptions!$H$2:$V$2,0))</f>
        <v>0</v>
      </c>
      <c r="AI59" s="57">
        <f ca="1">OFFSET(TIAM15_assumptions!$G59,0,MATCH(VLOOKUP(Assumptions!AI$2,TIAM15_assumptions!$Y$3:$Z$87,2,FALSE),TIAM15_assumptions!$H$2:$V$2,0))</f>
        <v>0</v>
      </c>
      <c r="AJ59" s="57">
        <f ca="1">OFFSET(TIAM15_assumptions!$G59,0,MATCH(VLOOKUP(Assumptions!AJ$2,TIAM15_assumptions!$Y$3:$Z$87,2,FALSE),TIAM15_assumptions!$H$2:$V$2,0))</f>
        <v>0</v>
      </c>
      <c r="AK59" s="57">
        <f ca="1">OFFSET(TIAM15_assumptions!$G59,0,MATCH(VLOOKUP(Assumptions!AK$2,TIAM15_assumptions!$Y$3:$Z$87,2,FALSE),TIAM15_assumptions!$H$2:$V$2,0))</f>
        <v>0</v>
      </c>
      <c r="AL59" s="57">
        <f ca="1">OFFSET(TIAM15_assumptions!$G59,0,MATCH(VLOOKUP(Assumptions!AL$2,TIAM15_assumptions!$Y$3:$Z$87,2,FALSE),TIAM15_assumptions!$H$2:$V$2,0))</f>
        <v>0</v>
      </c>
      <c r="AM59" s="57">
        <f ca="1">OFFSET(TIAM15_assumptions!$G59,0,MATCH(VLOOKUP(Assumptions!AM$2,TIAM15_assumptions!$Y$3:$Z$87,2,FALSE),TIAM15_assumptions!$H$2:$V$2,0))</f>
        <v>0</v>
      </c>
      <c r="AN59" s="57">
        <f ca="1">OFFSET(TIAM15_assumptions!$G59,0,MATCH(VLOOKUP(Assumptions!AN$2,TIAM15_assumptions!$Y$3:$Z$87,2,FALSE),TIAM15_assumptions!$H$2:$V$2,0))</f>
        <v>0</v>
      </c>
      <c r="AO59" s="57">
        <f ca="1">OFFSET(TIAM15_assumptions!$G59,0,MATCH(VLOOKUP(Assumptions!AO$2,TIAM15_assumptions!$Y$3:$Z$87,2,FALSE),TIAM15_assumptions!$H$2:$V$2,0))</f>
        <v>0</v>
      </c>
      <c r="AP59" s="57">
        <f ca="1">OFFSET(TIAM15_assumptions!$G59,0,MATCH(VLOOKUP(Assumptions!AP$2,TIAM15_assumptions!$Y$3:$Z$87,2,FALSE),TIAM15_assumptions!$H$2:$V$2,0))</f>
        <v>0</v>
      </c>
      <c r="AQ59" s="57">
        <f ca="1">OFFSET(TIAM15_assumptions!$G59,0,MATCH(VLOOKUP(Assumptions!AQ$2,TIAM15_assumptions!$Y$3:$Z$87,2,FALSE),TIAM15_assumptions!$H$2:$V$2,0))</f>
        <v>0</v>
      </c>
      <c r="AR59" s="57">
        <f ca="1">OFFSET(TIAM15_assumptions!$G59,0,MATCH(VLOOKUP(Assumptions!AR$2,TIAM15_assumptions!$Y$3:$Z$87,2,FALSE),TIAM15_assumptions!$H$2:$V$2,0))</f>
        <v>0</v>
      </c>
      <c r="AS59" s="57">
        <f ca="1">OFFSET(TIAM15_assumptions!$G59,0,MATCH(VLOOKUP(Assumptions!AS$2,TIAM15_assumptions!$Y$3:$Z$87,2,FALSE),TIAM15_assumptions!$H$2:$V$2,0))</f>
        <v>0</v>
      </c>
      <c r="AT59" s="57">
        <f ca="1">OFFSET(TIAM15_assumptions!$G59,0,MATCH(VLOOKUP(Assumptions!AT$2,TIAM15_assumptions!$Y$3:$Z$87,2,FALSE),TIAM15_assumptions!$H$2:$V$2,0))</f>
        <v>0</v>
      </c>
      <c r="AU59" s="57">
        <f ca="1">OFFSET(TIAM15_assumptions!$G59,0,MATCH(VLOOKUP(Assumptions!AU$2,TIAM15_assumptions!$Y$3:$Z$87,2,FALSE),TIAM15_assumptions!$H$2:$V$2,0))</f>
        <v>0</v>
      </c>
      <c r="AV59" s="57">
        <f ca="1">OFFSET(TIAM15_assumptions!$G59,0,MATCH(VLOOKUP(Assumptions!AV$2,TIAM15_assumptions!$Y$3:$Z$87,2,FALSE),TIAM15_assumptions!$H$2:$V$2,0))</f>
        <v>0</v>
      </c>
      <c r="AW59" s="57">
        <f ca="1">OFFSET(TIAM15_assumptions!$G59,0,MATCH(VLOOKUP(Assumptions!AW$2,TIAM15_assumptions!$Y$3:$Z$87,2,FALSE),TIAM15_assumptions!$H$2:$V$2,0))</f>
        <v>0</v>
      </c>
      <c r="AX59" s="57">
        <f ca="1">OFFSET(TIAM15_assumptions!$G59,0,MATCH(VLOOKUP(Assumptions!AX$2,TIAM15_assumptions!$Y$3:$Z$87,2,FALSE),TIAM15_assumptions!$H$2:$V$2,0))</f>
        <v>0</v>
      </c>
      <c r="AY59" s="57">
        <f ca="1">OFFSET(TIAM15_assumptions!$G59,0,MATCH(VLOOKUP(Assumptions!AY$2,TIAM15_assumptions!$Y$3:$Z$87,2,FALSE),TIAM15_assumptions!$H$2:$V$2,0))</f>
        <v>0</v>
      </c>
      <c r="AZ59" s="57">
        <f ca="1">OFFSET(TIAM15_assumptions!$G59,0,MATCH(VLOOKUP(Assumptions!AZ$2,TIAM15_assumptions!$Y$3:$Z$87,2,FALSE),TIAM15_assumptions!$H$2:$V$2,0))</f>
        <v>0</v>
      </c>
      <c r="BA59" s="57">
        <f ca="1">OFFSET(TIAM15_assumptions!$G59,0,MATCH(VLOOKUP(Assumptions!BA$2,TIAM15_assumptions!$Y$3:$Z$87,2,FALSE),TIAM15_assumptions!$H$2:$V$2,0))</f>
        <v>0</v>
      </c>
      <c r="BD59" s="40">
        <f ca="1">IFERROR(SUMIFS('TRA balance'!E$5:E$40,'TRA balance'!$C$5:$C$40,Assumptions!$C59,'TRA balance'!$D$5:$D$40,Assumptions!$B59)*CY59*H59,"")</f>
        <v>0</v>
      </c>
      <c r="BE59" s="40">
        <f ca="1">IFERROR(SUMIFS('TRA balance'!F$5:F$40,'TRA balance'!$C$5:$C$40,Assumptions!$C59,'TRA balance'!$D$5:$D$40,Assumptions!$B59)*CZ59*I59,"")</f>
        <v>0</v>
      </c>
      <c r="BF59" s="40">
        <f ca="1">IFERROR(SUMIFS('TRA balance'!G$5:G$40,'TRA balance'!$C$5:$C$40,Assumptions!$C59,'TRA balance'!$D$5:$D$40,Assumptions!$B59)*DA59*J59,"")</f>
        <v>0</v>
      </c>
      <c r="BG59" s="40">
        <f ca="1">IFERROR(SUMIFS('TRA balance'!H$5:H$40,'TRA balance'!$C$5:$C$40,Assumptions!$C59,'TRA balance'!$D$5:$D$40,Assumptions!$B59)*DB59*K59,"")</f>
        <v>0</v>
      </c>
      <c r="BH59" s="40">
        <f ca="1">IFERROR(SUMIFS('TRA balance'!I$5:I$40,'TRA balance'!$C$5:$C$40,Assumptions!$C59,'TRA balance'!$D$5:$D$40,Assumptions!$B59)*DC59*L59,"")</f>
        <v>0</v>
      </c>
      <c r="BI59" s="40">
        <f ca="1">IFERROR(SUMIFS('TRA balance'!J$5:J$40,'TRA balance'!$C$5:$C$40,Assumptions!$C59,'TRA balance'!$D$5:$D$40,Assumptions!$B59)*DD59*M59,"")</f>
        <v>0</v>
      </c>
      <c r="BJ59" s="40">
        <f ca="1">IFERROR(SUMIFS('TRA balance'!K$5:K$40,'TRA balance'!$C$5:$C$40,Assumptions!$C59,'TRA balance'!$D$5:$D$40,Assumptions!$B59)*DE59*N59,"")</f>
        <v>0</v>
      </c>
      <c r="BK59" s="40">
        <f ca="1">IFERROR(SUMIFS('TRA balance'!L$5:L$40,'TRA balance'!$C$5:$C$40,Assumptions!$C59,'TRA balance'!$D$5:$D$40,Assumptions!$B59)*DF59*O59,"")</f>
        <v>0</v>
      </c>
      <c r="BL59" s="40">
        <f ca="1">IFERROR(SUMIFS('TRA balance'!M$5:M$40,'TRA balance'!$C$5:$C$40,Assumptions!$C59,'TRA balance'!$D$5:$D$40,Assumptions!$B59)*DG59*P59,"")</f>
        <v>0</v>
      </c>
      <c r="BM59" s="40">
        <f ca="1">IFERROR(SUMIFS('TRA balance'!N$5:N$40,'TRA balance'!$C$5:$C$40,Assumptions!$C59,'TRA balance'!$D$5:$D$40,Assumptions!$B59)*DH59*Q59,"")</f>
        <v>0</v>
      </c>
      <c r="BN59" s="40">
        <f ca="1">IFERROR(SUMIFS('TRA balance'!O$5:O$40,'TRA balance'!$C$5:$C$40,Assumptions!$C59,'TRA balance'!$D$5:$D$40,Assumptions!$B59)*DI59*R59,"")</f>
        <v>0</v>
      </c>
      <c r="BO59" s="40">
        <f ca="1">IFERROR(SUMIFS('TRA balance'!P$5:P$40,'TRA balance'!$C$5:$C$40,Assumptions!$C59,'TRA balance'!$D$5:$D$40,Assumptions!$B59)*DJ59*S59,"")</f>
        <v>0</v>
      </c>
      <c r="BP59" s="40">
        <f ca="1">IFERROR(SUMIFS('TRA balance'!Q$5:Q$40,'TRA balance'!$C$5:$C$40,Assumptions!$C59,'TRA balance'!$D$5:$D$40,Assumptions!$B59)*DK59*T59,"")</f>
        <v>0</v>
      </c>
      <c r="BQ59" s="40">
        <f ca="1">IFERROR(SUMIFS('TRA balance'!R$5:R$40,'TRA balance'!$C$5:$C$40,Assumptions!$C59,'TRA balance'!$D$5:$D$40,Assumptions!$B59)*DL59*U59,"")</f>
        <v>0</v>
      </c>
      <c r="BR59" s="40">
        <f ca="1">IFERROR(SUMIFS('TRA balance'!S$5:S$40,'TRA balance'!$C$5:$C$40,Assumptions!$C59,'TRA balance'!$D$5:$D$40,Assumptions!$B59)*DM59*V59,"")</f>
        <v>0</v>
      </c>
      <c r="BS59" s="40">
        <f ca="1">IFERROR(SUMIFS('TRA balance'!T$5:T$40,'TRA balance'!$C$5:$C$40,Assumptions!$C59,'TRA balance'!$D$5:$D$40,Assumptions!$B59)*DN59*W59,"")</f>
        <v>0</v>
      </c>
      <c r="BT59" s="40">
        <f ca="1">IFERROR(SUMIFS('TRA balance'!U$5:U$40,'TRA balance'!$C$5:$C$40,Assumptions!$C59,'TRA balance'!$D$5:$D$40,Assumptions!$B59)*DO59*X59,"")</f>
        <v>0</v>
      </c>
      <c r="BU59" s="40">
        <f ca="1">IFERROR(SUMIFS('TRA balance'!V$5:V$40,'TRA balance'!$C$5:$C$40,Assumptions!$C59,'TRA balance'!$D$5:$D$40,Assumptions!$B59)*DP59*Y59,"")</f>
        <v>0</v>
      </c>
      <c r="BV59" s="40">
        <f ca="1">IFERROR(SUMIFS('TRA balance'!W$5:W$40,'TRA balance'!$C$5:$C$40,Assumptions!$C59,'TRA balance'!$D$5:$D$40,Assumptions!$B59)*DQ59*Z59,"")</f>
        <v>0</v>
      </c>
      <c r="BW59" s="40">
        <f ca="1">IFERROR(SUMIFS('TRA balance'!X$5:X$40,'TRA balance'!$C$5:$C$40,Assumptions!$C59,'TRA balance'!$D$5:$D$40,Assumptions!$B59)*DR59*AA59,"")</f>
        <v>0</v>
      </c>
      <c r="BX59" s="40">
        <f ca="1">IFERROR(SUMIFS('TRA balance'!Y$5:Y$40,'TRA balance'!$C$5:$C$40,Assumptions!$C59,'TRA balance'!$D$5:$D$40,Assumptions!$B59)*DS59*AB59,"")</f>
        <v>0</v>
      </c>
      <c r="BY59" s="40">
        <f ca="1">IFERROR(SUMIFS('TRA balance'!Z$5:Z$40,'TRA balance'!$C$5:$C$40,Assumptions!$C59,'TRA balance'!$D$5:$D$40,Assumptions!$B59)*DT59*AC59,"")</f>
        <v>0</v>
      </c>
      <c r="BZ59" s="40">
        <f ca="1">IFERROR(SUMIFS('TRA balance'!AA$5:AA$40,'TRA balance'!$C$5:$C$40,Assumptions!$C59,'TRA balance'!$D$5:$D$40,Assumptions!$B59)*DU59*AD59,"")</f>
        <v>0</v>
      </c>
      <c r="CA59" s="40">
        <f ca="1">IFERROR(SUMIFS('TRA balance'!AB$5:AB$40,'TRA balance'!$C$5:$C$40,Assumptions!$C59,'TRA balance'!$D$5:$D$40,Assumptions!$B59)*DV59*AE59,"")</f>
        <v>0</v>
      </c>
      <c r="CB59" s="40">
        <f ca="1">IFERROR(SUMIFS('TRA balance'!AC$5:AC$40,'TRA balance'!$C$5:$C$40,Assumptions!$C59,'TRA balance'!$D$5:$D$40,Assumptions!$B59)*DW59*AF59,"")</f>
        <v>0</v>
      </c>
      <c r="CC59" s="40">
        <f ca="1">IFERROR(SUMIFS('TRA balance'!AD$5:AD$40,'TRA balance'!$C$5:$C$40,Assumptions!$C59,'TRA balance'!$D$5:$D$40,Assumptions!$B59)*DX59*AG59,"")</f>
        <v>0</v>
      </c>
      <c r="CD59" s="40">
        <f ca="1">IFERROR(SUMIFS('TRA balance'!AE$5:AE$40,'TRA balance'!$C$5:$C$40,Assumptions!$C59,'TRA balance'!$D$5:$D$40,Assumptions!$B59)*DY59*AH59,"")</f>
        <v>0</v>
      </c>
      <c r="CE59" s="40">
        <f ca="1">IFERROR(SUMIFS('TRA balance'!AF$5:AF$40,'TRA balance'!$C$5:$C$40,Assumptions!$C59,'TRA balance'!$D$5:$D$40,Assumptions!$B59)*DZ59*AI59,"")</f>
        <v>0</v>
      </c>
      <c r="CF59" s="40">
        <f ca="1">IFERROR(SUMIFS('TRA balance'!AG$5:AG$40,'TRA balance'!$C$5:$C$40,Assumptions!$C59,'TRA balance'!$D$5:$D$40,Assumptions!$B59)*EA59*AJ59,"")</f>
        <v>0</v>
      </c>
      <c r="CG59" s="40">
        <f ca="1">IFERROR(SUMIFS('TRA balance'!AH$5:AH$40,'TRA balance'!$C$5:$C$40,Assumptions!$C59,'TRA balance'!$D$5:$D$40,Assumptions!$B59)*EB59*AK59,"")</f>
        <v>0</v>
      </c>
      <c r="CH59" s="40">
        <f ca="1">IFERROR(SUMIFS('TRA balance'!AI$5:AI$40,'TRA balance'!$C$5:$C$40,Assumptions!$C59,'TRA balance'!$D$5:$D$40,Assumptions!$B59)*EC59*AL59,"")</f>
        <v>0</v>
      </c>
      <c r="CI59" s="40">
        <f ca="1">IFERROR(SUMIFS('TRA balance'!AJ$5:AJ$40,'TRA balance'!$C$5:$C$40,Assumptions!$C59,'TRA balance'!$D$5:$D$40,Assumptions!$B59)*ED59*AM59,"")</f>
        <v>0</v>
      </c>
      <c r="CJ59" s="40">
        <f ca="1">IFERROR(SUMIFS('TRA balance'!AK$5:AK$40,'TRA balance'!$C$5:$C$40,Assumptions!$C59,'TRA balance'!$D$5:$D$40,Assumptions!$B59)*EE59*AN59,"")</f>
        <v>0</v>
      </c>
      <c r="CK59" s="40">
        <f ca="1">IFERROR(SUMIFS('TRA balance'!AL$5:AL$40,'TRA balance'!$C$5:$C$40,Assumptions!$C59,'TRA balance'!$D$5:$D$40,Assumptions!$B59)*EF59*AO59,"")</f>
        <v>0</v>
      </c>
      <c r="CL59" s="40">
        <f ca="1">IFERROR(SUMIFS('TRA balance'!AM$5:AM$40,'TRA balance'!$C$5:$C$40,Assumptions!$C59,'TRA balance'!$D$5:$D$40,Assumptions!$B59)*EG59*AP59,"")</f>
        <v>0</v>
      </c>
      <c r="CM59" s="40">
        <f ca="1">IFERROR(SUMIFS('TRA balance'!AN$5:AN$40,'TRA balance'!$C$5:$C$40,Assumptions!$C59,'TRA balance'!$D$5:$D$40,Assumptions!$B59)*EH59*AQ59,"")</f>
        <v>0</v>
      </c>
      <c r="CN59" s="40">
        <f ca="1">IFERROR(SUMIFS('TRA balance'!AO$5:AO$40,'TRA balance'!$C$5:$C$40,Assumptions!$C59,'TRA balance'!$D$5:$D$40,Assumptions!$B59)*EI59*AR59,"")</f>
        <v>0</v>
      </c>
      <c r="CO59" s="40">
        <f ca="1">IFERROR(SUMIFS('TRA balance'!AP$5:AP$40,'TRA balance'!$C$5:$C$40,Assumptions!$C59,'TRA balance'!$D$5:$D$40,Assumptions!$B59)*EJ59*AS59,"")</f>
        <v>0</v>
      </c>
      <c r="CP59" s="40">
        <f ca="1">IFERROR(SUMIFS('TRA balance'!AQ$5:AQ$40,'TRA balance'!$C$5:$C$40,Assumptions!$C59,'TRA balance'!$D$5:$D$40,Assumptions!$B59)*EK59*AT59,"")</f>
        <v>0</v>
      </c>
      <c r="CQ59" s="40">
        <f ca="1">IFERROR(SUMIFS('TRA balance'!AR$5:AR$40,'TRA balance'!$C$5:$C$40,Assumptions!$C59,'TRA balance'!$D$5:$D$40,Assumptions!$B59)*EL59*AU59,"")</f>
        <v>0</v>
      </c>
      <c r="CR59" s="40">
        <f ca="1">IFERROR(SUMIFS('TRA balance'!AS$5:AS$40,'TRA balance'!$C$5:$C$40,Assumptions!$C59,'TRA balance'!$D$5:$D$40,Assumptions!$B59)*EM59*AV59,"")</f>
        <v>0</v>
      </c>
      <c r="CS59" s="40">
        <f ca="1">IFERROR(SUMIFS('TRA balance'!AT$5:AT$40,'TRA balance'!$C$5:$C$40,Assumptions!$C59,'TRA balance'!$D$5:$D$40,Assumptions!$B59)*EN59*AW59,"")</f>
        <v>0</v>
      </c>
      <c r="CT59" s="40">
        <f ca="1">IFERROR(SUMIFS('TRA balance'!AU$5:AU$40,'TRA balance'!$C$5:$C$40,Assumptions!$C59,'TRA balance'!$D$5:$D$40,Assumptions!$B59)*EO59*AX59,"")</f>
        <v>0</v>
      </c>
      <c r="CU59" s="40">
        <f ca="1">IFERROR(SUMIFS('TRA balance'!AV$5:AV$40,'TRA balance'!$C$5:$C$40,Assumptions!$C59,'TRA balance'!$D$5:$D$40,Assumptions!$B59)*EP59*AY59,"")</f>
        <v>0</v>
      </c>
      <c r="CV59" s="40">
        <f ca="1">IFERROR(SUMIFS('TRA balance'!AW$5:AW$40,'TRA balance'!$C$5:$C$40,Assumptions!$C59,'TRA balance'!$D$5:$D$40,Assumptions!$B59)*EQ59*AZ59,"")</f>
        <v>0</v>
      </c>
      <c r="CW59" s="40">
        <f ca="1">IFERROR(SUMIFS('TRA balance'!AX$5:AX$40,'TRA balance'!$C$5:$C$40,Assumptions!$C59,'TRA balance'!$D$5:$D$40,Assumptions!$B59)*ER59*BA59,"")</f>
        <v>0</v>
      </c>
      <c r="CY59" s="39">
        <f ca="1" t="shared" si="66"/>
        <v>0.75</v>
      </c>
      <c r="CZ59" s="39">
        <f ca="1" t="shared" si="3"/>
        <v>0.75</v>
      </c>
      <c r="DA59" s="39">
        <f ca="1" t="shared" si="4"/>
        <v>0.75</v>
      </c>
      <c r="DB59" s="39">
        <f ca="1" t="shared" si="5"/>
        <v>0.318</v>
      </c>
      <c r="DC59" s="39">
        <f ca="1" t="shared" si="6"/>
        <v>0.3</v>
      </c>
      <c r="DD59" s="39">
        <f ca="1" t="shared" si="7"/>
        <v>0.318</v>
      </c>
      <c r="DE59" s="39">
        <f ca="1" t="shared" si="8"/>
        <v>0.5</v>
      </c>
      <c r="DF59" s="39">
        <f ca="1" t="shared" si="9"/>
        <v>0.6</v>
      </c>
      <c r="DG59" s="39">
        <f ca="1" t="shared" si="10"/>
        <v>1</v>
      </c>
      <c r="DH59" s="39">
        <f ca="1" t="shared" si="11"/>
        <v>1</v>
      </c>
      <c r="DI59" s="39">
        <f ca="1" t="shared" si="12"/>
        <v>0.318</v>
      </c>
      <c r="DJ59" s="39">
        <f ca="1" t="shared" si="13"/>
        <v>0.318</v>
      </c>
      <c r="DK59" s="39">
        <f ca="1" t="shared" si="14"/>
        <v>0.318</v>
      </c>
      <c r="DL59" s="39">
        <f ca="1" t="shared" si="15"/>
        <v>1</v>
      </c>
      <c r="DM59" s="39">
        <f ca="1" t="shared" si="16"/>
        <v>0.318</v>
      </c>
      <c r="DN59" s="39">
        <f ca="1" t="shared" si="17"/>
        <v>0.75</v>
      </c>
      <c r="DO59" s="39">
        <f ca="1" t="shared" si="18"/>
        <v>0.318</v>
      </c>
      <c r="DP59" s="39">
        <f ca="1" t="shared" si="19"/>
        <v>0.318</v>
      </c>
      <c r="DQ59" s="39">
        <f ca="1" t="shared" si="20"/>
        <v>0.05</v>
      </c>
      <c r="DR59" s="39">
        <f ca="1" t="shared" si="21"/>
        <v>0.5</v>
      </c>
      <c r="DS59" s="39">
        <f ca="1" t="shared" si="22"/>
        <v>0.318</v>
      </c>
      <c r="DT59" s="39">
        <f ca="1" t="shared" si="23"/>
        <v>0.02083020544021</v>
      </c>
      <c r="DU59" s="39">
        <f ca="1" t="shared" si="24"/>
        <v>0.318</v>
      </c>
      <c r="DV59" s="39">
        <f ca="1" t="shared" si="25"/>
        <v>1</v>
      </c>
      <c r="DW59" s="39">
        <f ca="1" t="shared" si="26"/>
        <v>0.1</v>
      </c>
      <c r="DX59" s="39">
        <f ca="1" t="shared" si="27"/>
        <v>0.3</v>
      </c>
      <c r="DY59" s="39">
        <f ca="1" t="shared" si="28"/>
        <v>0.318</v>
      </c>
      <c r="DZ59" s="39">
        <f ca="1" t="shared" si="29"/>
        <v>0.75</v>
      </c>
      <c r="EA59" s="39">
        <f ca="1" t="shared" si="30"/>
        <v>0.318</v>
      </c>
      <c r="EB59" s="39">
        <f ca="1" t="shared" si="31"/>
        <v>0.318</v>
      </c>
      <c r="EC59" s="39">
        <f ca="1" t="shared" si="32"/>
        <v>0.318</v>
      </c>
      <c r="ED59" s="39">
        <f ca="1" t="shared" si="33"/>
        <v>0.318</v>
      </c>
      <c r="EE59" s="39">
        <f ca="1" t="shared" si="34"/>
        <v>0.318</v>
      </c>
      <c r="EF59" s="39">
        <f ca="1" t="shared" si="35"/>
        <v>0.3</v>
      </c>
      <c r="EG59" s="39">
        <f ca="1" t="shared" si="36"/>
        <v>1</v>
      </c>
      <c r="EH59" s="39">
        <f ca="1" t="shared" si="37"/>
        <v>0.02083020544021</v>
      </c>
      <c r="EI59" s="39">
        <f ca="1" t="shared" si="38"/>
        <v>0.02083020544021</v>
      </c>
      <c r="EJ59" s="39">
        <f ca="1" t="shared" si="39"/>
        <v>0.02083020544021</v>
      </c>
      <c r="EK59" s="39">
        <f ca="1" t="shared" si="40"/>
        <v>0.02083020544021</v>
      </c>
      <c r="EL59" s="39">
        <f ca="1" t="shared" si="41"/>
        <v>0.02083020544021</v>
      </c>
      <c r="EM59" s="39">
        <f ca="1" t="shared" si="42"/>
        <v>0.02083020544021</v>
      </c>
      <c r="EN59" s="39">
        <f ca="1" t="shared" si="43"/>
        <v>0.02083020544021</v>
      </c>
      <c r="EO59" s="39">
        <f ca="1" t="shared" si="44"/>
        <v>0.02083020544021</v>
      </c>
      <c r="EP59" s="39">
        <f ca="1" t="shared" si="45"/>
        <v>0.02083020544021</v>
      </c>
      <c r="EQ59" s="39">
        <f ca="1" t="shared" si="46"/>
        <v>0.02083020544021</v>
      </c>
      <c r="ER59" s="39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4" t="str">
        <f t="shared" si="48"/>
        <v>TR</v>
      </c>
      <c r="D60" s="55" t="s">
        <v>200</v>
      </c>
      <c r="E60" s="66" t="s">
        <v>218</v>
      </c>
      <c r="F60" s="56" t="str">
        <f t="shared" si="82"/>
        <v>Natural Gas</v>
      </c>
      <c r="G60" s="54" t="s">
        <v>219</v>
      </c>
      <c r="H60" s="57">
        <f ca="1">OFFSET(TIAM15_assumptions!$G60,0,MATCH(VLOOKUP(Assumptions!H$2,TIAM15_assumptions!$Y$3:$Z$87,2,FALSE),TIAM15_assumptions!$H$2:$V$2,0))</f>
        <v>0.2</v>
      </c>
      <c r="I60" s="57">
        <f ca="1">OFFSET(TIAM15_assumptions!$G60,0,MATCH(VLOOKUP(Assumptions!I$2,TIAM15_assumptions!$Y$3:$Z$87,2,FALSE),TIAM15_assumptions!$H$2:$V$2,0))</f>
        <v>0.2</v>
      </c>
      <c r="J60" s="57">
        <f ca="1">OFFSET(TIAM15_assumptions!$G60,0,MATCH(VLOOKUP(Assumptions!J$2,TIAM15_assumptions!$Y$3:$Z$87,2,FALSE),TIAM15_assumptions!$H$2:$V$2,0))</f>
        <v>0.2</v>
      </c>
      <c r="K60" s="57">
        <f ca="1">OFFSET(TIAM15_assumptions!$G60,0,MATCH(VLOOKUP(Assumptions!K$2,TIAM15_assumptions!$Y$3:$Z$87,2,FALSE),TIAM15_assumptions!$H$2:$V$2,0))</f>
        <v>0</v>
      </c>
      <c r="L60" s="57">
        <f ca="1">OFFSET(TIAM15_assumptions!$G60,0,MATCH(VLOOKUP(Assumptions!L$2,TIAM15_assumptions!$Y$3:$Z$87,2,FALSE),TIAM15_assumptions!$H$2:$V$2,0))</f>
        <v>1</v>
      </c>
      <c r="M60" s="57">
        <f ca="1">OFFSET(TIAM15_assumptions!$G60,0,MATCH(VLOOKUP(Assumptions!M$2,TIAM15_assumptions!$Y$3:$Z$87,2,FALSE),TIAM15_assumptions!$H$2:$V$2,0))</f>
        <v>0</v>
      </c>
      <c r="N60" s="57">
        <f ca="1">OFFSET(TIAM15_assumptions!$G60,0,MATCH(VLOOKUP(Assumptions!N$2,TIAM15_assumptions!$Y$3:$Z$87,2,FALSE),TIAM15_assumptions!$H$2:$V$2,0))</f>
        <v>0.4</v>
      </c>
      <c r="O60" s="57">
        <f ca="1">OFFSET(TIAM15_assumptions!$G60,0,MATCH(VLOOKUP(Assumptions!O$2,TIAM15_assumptions!$Y$3:$Z$87,2,FALSE),TIAM15_assumptions!$H$2:$V$2,0))</f>
        <v>0.2</v>
      </c>
      <c r="P60" s="57">
        <f ca="1">OFFSET(TIAM15_assumptions!$G60,0,MATCH(VLOOKUP(Assumptions!P$2,TIAM15_assumptions!$Y$3:$Z$87,2,FALSE),TIAM15_assumptions!$H$2:$V$2,0))</f>
        <v>0</v>
      </c>
      <c r="Q60" s="57">
        <f ca="1">OFFSET(TIAM15_assumptions!$G60,0,MATCH(VLOOKUP(Assumptions!Q$2,TIAM15_assumptions!$Y$3:$Z$87,2,FALSE),TIAM15_assumptions!$H$2:$V$2,0))</f>
        <v>0</v>
      </c>
      <c r="R60" s="57">
        <f ca="1">OFFSET(TIAM15_assumptions!$G60,0,MATCH(VLOOKUP(Assumptions!R$2,TIAM15_assumptions!$Y$3:$Z$87,2,FALSE),TIAM15_assumptions!$H$2:$V$2,0))</f>
        <v>0</v>
      </c>
      <c r="S60" s="57">
        <f ca="1">OFFSET(TIAM15_assumptions!$G60,0,MATCH(VLOOKUP(Assumptions!S$2,TIAM15_assumptions!$Y$3:$Z$87,2,FALSE),TIAM15_assumptions!$H$2:$V$2,0))</f>
        <v>0</v>
      </c>
      <c r="T60" s="57">
        <f ca="1">OFFSET(TIAM15_assumptions!$G60,0,MATCH(VLOOKUP(Assumptions!T$2,TIAM15_assumptions!$Y$3:$Z$87,2,FALSE),TIAM15_assumptions!$H$2:$V$2,0))</f>
        <v>0</v>
      </c>
      <c r="U60" s="57">
        <f ca="1">OFFSET(TIAM15_assumptions!$G60,0,MATCH(VLOOKUP(Assumptions!U$2,TIAM15_assumptions!$Y$3:$Z$87,2,FALSE),TIAM15_assumptions!$H$2:$V$2,0))</f>
        <v>0</v>
      </c>
      <c r="V60" s="57">
        <f ca="1">OFFSET(TIAM15_assumptions!$G60,0,MATCH(VLOOKUP(Assumptions!V$2,TIAM15_assumptions!$Y$3:$Z$87,2,FALSE),TIAM15_assumptions!$H$2:$V$2,0))</f>
        <v>0</v>
      </c>
      <c r="W60" s="57">
        <f ca="1">OFFSET(TIAM15_assumptions!$G60,0,MATCH(VLOOKUP(Assumptions!W$2,TIAM15_assumptions!$Y$3:$Z$87,2,FALSE),TIAM15_assumptions!$H$2:$V$2,0))</f>
        <v>0.2</v>
      </c>
      <c r="X60" s="57">
        <f ca="1">OFFSET(TIAM15_assumptions!$G60,0,MATCH(VLOOKUP(Assumptions!X$2,TIAM15_assumptions!$Y$3:$Z$87,2,FALSE),TIAM15_assumptions!$H$2:$V$2,0))</f>
        <v>0</v>
      </c>
      <c r="Y60" s="57">
        <f ca="1">OFFSET(TIAM15_assumptions!$G60,0,MATCH(VLOOKUP(Assumptions!Y$2,TIAM15_assumptions!$Y$3:$Z$87,2,FALSE),TIAM15_assumptions!$H$2:$V$2,0))</f>
        <v>0</v>
      </c>
      <c r="Z60" s="57">
        <f ca="1">OFFSET(TIAM15_assumptions!$G60,0,MATCH(VLOOKUP(Assumptions!Z$2,TIAM15_assumptions!$Y$3:$Z$87,2,FALSE),TIAM15_assumptions!$H$2:$V$2,0))</f>
        <v>1</v>
      </c>
      <c r="AA60" s="57">
        <f ca="1">OFFSET(TIAM15_assumptions!$G60,0,MATCH(VLOOKUP(Assumptions!AA$2,TIAM15_assumptions!$Y$3:$Z$87,2,FALSE),TIAM15_assumptions!$H$2:$V$2,0))</f>
        <v>0.4</v>
      </c>
      <c r="AB60" s="57">
        <f ca="1">OFFSET(TIAM15_assumptions!$G60,0,MATCH(VLOOKUP(Assumptions!AB$2,TIAM15_assumptions!$Y$3:$Z$87,2,FALSE),TIAM15_assumptions!$H$2:$V$2,0))</f>
        <v>0</v>
      </c>
      <c r="AC60" s="57">
        <f ca="1">OFFSET(TIAM15_assumptions!$G60,0,MATCH(VLOOKUP(Assumptions!AC$2,TIAM15_assumptions!$Y$3:$Z$87,2,FALSE),TIAM15_assumptions!$H$2:$V$2,0))</f>
        <v>0.98</v>
      </c>
      <c r="AD60" s="57">
        <f ca="1">OFFSET(TIAM15_assumptions!$G60,0,MATCH(VLOOKUP(Assumptions!AD$2,TIAM15_assumptions!$Y$3:$Z$87,2,FALSE),TIAM15_assumptions!$H$2:$V$2,0))</f>
        <v>0</v>
      </c>
      <c r="AE60" s="57">
        <f ca="1">OFFSET(TIAM15_assumptions!$G60,0,MATCH(VLOOKUP(Assumptions!AE$2,TIAM15_assumptions!$Y$3:$Z$87,2,FALSE),TIAM15_assumptions!$H$2:$V$2,0))</f>
        <v>0</v>
      </c>
      <c r="AF60" s="57">
        <f ca="1">OFFSET(TIAM15_assumptions!$G60,0,MATCH(VLOOKUP(Assumptions!AF$2,TIAM15_assumptions!$Y$3:$Z$87,2,FALSE),TIAM15_assumptions!$H$2:$V$2,0))</f>
        <v>0.3</v>
      </c>
      <c r="AG60" s="57">
        <f ca="1">OFFSET(TIAM15_assumptions!$G60,0,MATCH(VLOOKUP(Assumptions!AG$2,TIAM15_assumptions!$Y$3:$Z$87,2,FALSE),TIAM15_assumptions!$H$2:$V$2,0))</f>
        <v>1</v>
      </c>
      <c r="AH60" s="57">
        <f ca="1">OFFSET(TIAM15_assumptions!$G60,0,MATCH(VLOOKUP(Assumptions!AH$2,TIAM15_assumptions!$Y$3:$Z$87,2,FALSE),TIAM15_assumptions!$H$2:$V$2,0))</f>
        <v>0</v>
      </c>
      <c r="AI60" s="57">
        <f ca="1">OFFSET(TIAM15_assumptions!$G60,0,MATCH(VLOOKUP(Assumptions!AI$2,TIAM15_assumptions!$Y$3:$Z$87,2,FALSE),TIAM15_assumptions!$H$2:$V$2,0))</f>
        <v>0.2</v>
      </c>
      <c r="AJ60" s="57">
        <f ca="1">OFFSET(TIAM15_assumptions!$G60,0,MATCH(VLOOKUP(Assumptions!AJ$2,TIAM15_assumptions!$Y$3:$Z$87,2,FALSE),TIAM15_assumptions!$H$2:$V$2,0))</f>
        <v>0</v>
      </c>
      <c r="AK60" s="57">
        <f ca="1">OFFSET(TIAM15_assumptions!$G60,0,MATCH(VLOOKUP(Assumptions!AK$2,TIAM15_assumptions!$Y$3:$Z$87,2,FALSE),TIAM15_assumptions!$H$2:$V$2,0))</f>
        <v>0</v>
      </c>
      <c r="AL60" s="57">
        <f ca="1">OFFSET(TIAM15_assumptions!$G60,0,MATCH(VLOOKUP(Assumptions!AL$2,TIAM15_assumptions!$Y$3:$Z$87,2,FALSE),TIAM15_assumptions!$H$2:$V$2,0))</f>
        <v>0</v>
      </c>
      <c r="AM60" s="57">
        <f ca="1">OFFSET(TIAM15_assumptions!$G60,0,MATCH(VLOOKUP(Assumptions!AM$2,TIAM15_assumptions!$Y$3:$Z$87,2,FALSE),TIAM15_assumptions!$H$2:$V$2,0))</f>
        <v>0</v>
      </c>
      <c r="AN60" s="57">
        <f ca="1">OFFSET(TIAM15_assumptions!$G60,0,MATCH(VLOOKUP(Assumptions!AN$2,TIAM15_assumptions!$Y$3:$Z$87,2,FALSE),TIAM15_assumptions!$H$2:$V$2,0))</f>
        <v>0</v>
      </c>
      <c r="AO60" s="57">
        <f ca="1">OFFSET(TIAM15_assumptions!$G60,0,MATCH(VLOOKUP(Assumptions!AO$2,TIAM15_assumptions!$Y$3:$Z$87,2,FALSE),TIAM15_assumptions!$H$2:$V$2,0))</f>
        <v>1</v>
      </c>
      <c r="AP60" s="57">
        <f ca="1">OFFSET(TIAM15_assumptions!$G60,0,MATCH(VLOOKUP(Assumptions!AP$2,TIAM15_assumptions!$Y$3:$Z$87,2,FALSE),TIAM15_assumptions!$H$2:$V$2,0))</f>
        <v>0</v>
      </c>
      <c r="AQ60" s="57">
        <f ca="1">OFFSET(TIAM15_assumptions!$G60,0,MATCH(VLOOKUP(Assumptions!AQ$2,TIAM15_assumptions!$Y$3:$Z$87,2,FALSE),TIAM15_assumptions!$H$2:$V$2,0))</f>
        <v>0.98</v>
      </c>
      <c r="AR60" s="57">
        <f ca="1">OFFSET(TIAM15_assumptions!$G60,0,MATCH(VLOOKUP(Assumptions!AR$2,TIAM15_assumptions!$Y$3:$Z$87,2,FALSE),TIAM15_assumptions!$H$2:$V$2,0))</f>
        <v>0.98</v>
      </c>
      <c r="AS60" s="57">
        <f ca="1">OFFSET(TIAM15_assumptions!$G60,0,MATCH(VLOOKUP(Assumptions!AS$2,TIAM15_assumptions!$Y$3:$Z$87,2,FALSE),TIAM15_assumptions!$H$2:$V$2,0))</f>
        <v>0.98</v>
      </c>
      <c r="AT60" s="57">
        <f ca="1">OFFSET(TIAM15_assumptions!$G60,0,MATCH(VLOOKUP(Assumptions!AT$2,TIAM15_assumptions!$Y$3:$Z$87,2,FALSE),TIAM15_assumptions!$H$2:$V$2,0))</f>
        <v>0.98</v>
      </c>
      <c r="AU60" s="57">
        <f ca="1">OFFSET(TIAM15_assumptions!$G60,0,MATCH(VLOOKUP(Assumptions!AU$2,TIAM15_assumptions!$Y$3:$Z$87,2,FALSE),TIAM15_assumptions!$H$2:$V$2,0))</f>
        <v>0.98</v>
      </c>
      <c r="AV60" s="57">
        <f ca="1">OFFSET(TIAM15_assumptions!$G60,0,MATCH(VLOOKUP(Assumptions!AV$2,TIAM15_assumptions!$Y$3:$Z$87,2,FALSE),TIAM15_assumptions!$H$2:$V$2,0))</f>
        <v>0.98</v>
      </c>
      <c r="AW60" s="57">
        <f ca="1">OFFSET(TIAM15_assumptions!$G60,0,MATCH(VLOOKUP(Assumptions!AW$2,TIAM15_assumptions!$Y$3:$Z$87,2,FALSE),TIAM15_assumptions!$H$2:$V$2,0))</f>
        <v>0.98</v>
      </c>
      <c r="AX60" s="57">
        <f ca="1">OFFSET(TIAM15_assumptions!$G60,0,MATCH(VLOOKUP(Assumptions!AX$2,TIAM15_assumptions!$Y$3:$Z$87,2,FALSE),TIAM15_assumptions!$H$2:$V$2,0))</f>
        <v>0.98</v>
      </c>
      <c r="AY60" s="57">
        <f ca="1">OFFSET(TIAM15_assumptions!$G60,0,MATCH(VLOOKUP(Assumptions!AY$2,TIAM15_assumptions!$Y$3:$Z$87,2,FALSE),TIAM15_assumptions!$H$2:$V$2,0))</f>
        <v>0.98</v>
      </c>
      <c r="AZ60" s="57">
        <f ca="1">OFFSET(TIAM15_assumptions!$G60,0,MATCH(VLOOKUP(Assumptions!AZ$2,TIAM15_assumptions!$Y$3:$Z$87,2,FALSE),TIAM15_assumptions!$H$2:$V$2,0))</f>
        <v>0.98</v>
      </c>
      <c r="BA60" s="57">
        <f ca="1">OFFSET(TIAM15_assumptions!$G60,0,MATCH(VLOOKUP(Assumptions!BA$2,TIAM15_assumptions!$Y$3:$Z$87,2,FALSE),TIAM15_assumptions!$H$2:$V$2,0))</f>
        <v>0.98</v>
      </c>
      <c r="BD60" s="40">
        <f ca="1">IFERROR(SUMIFS('TRA balance'!E$5:E$40,'TRA balance'!$C$5:$C$40,Assumptions!$C60,'TRA balance'!$D$5:$D$40,Assumptions!$B60)*CY60*H60,"")</f>
        <v>3.05220797298</v>
      </c>
      <c r="BE60" s="40">
        <f ca="1">IFERROR(SUMIFS('TRA balance'!F$5:F$40,'TRA balance'!$C$5:$C$40,Assumptions!$C60,'TRA balance'!$D$5:$D$40,Assumptions!$B60)*CZ60*I60,"")</f>
        <v>0.01120324878</v>
      </c>
      <c r="BF60" s="40">
        <f ca="1">IFERROR(SUMIFS('TRA balance'!G$5:G$40,'TRA balance'!$C$5:$C$40,Assumptions!$C60,'TRA balance'!$D$5:$D$40,Assumptions!$B60)*DA60*J60,"")</f>
        <v>0.46851799248</v>
      </c>
      <c r="BG60" s="40">
        <f ca="1">IFERROR(SUMIFS('TRA balance'!H$5:H$40,'TRA balance'!$C$5:$C$40,Assumptions!$C60,'TRA balance'!$D$5:$D$40,Assumptions!$B60)*DB60*K60,"")</f>
        <v>0</v>
      </c>
      <c r="BH60" s="40">
        <f ca="1">IFERROR(SUMIFS('TRA balance'!I$5:I$40,'TRA balance'!$C$5:$C$40,Assumptions!$C60,'TRA balance'!$D$5:$D$40,Assumptions!$B60)*DC60*L60,"")</f>
        <v>0.24127523568</v>
      </c>
      <c r="BI60" s="40">
        <f ca="1">IFERROR(SUMIFS('TRA balance'!J$5:J$40,'TRA balance'!$C$5:$C$40,Assumptions!$C60,'TRA balance'!$D$5:$D$40,Assumptions!$B60)*DD60*M60,"")</f>
        <v>0</v>
      </c>
      <c r="BJ60" s="40">
        <f ca="1">IFERROR(SUMIFS('TRA balance'!K$5:K$40,'TRA balance'!$C$5:$C$40,Assumptions!$C60,'TRA balance'!$D$5:$D$40,Assumptions!$B60)*DE60*N60,"")</f>
        <v>16.83461368512</v>
      </c>
      <c r="BK60" s="40">
        <f ca="1">IFERROR(SUMIFS('TRA balance'!L$5:L$40,'TRA balance'!$C$5:$C$40,Assumptions!$C60,'TRA balance'!$D$5:$D$40,Assumptions!$B60)*DF60*O60,"")</f>
        <v>123.400839521088</v>
      </c>
      <c r="BL60" s="40">
        <f ca="1">IFERROR(SUMIFS('TRA balance'!M$5:M$40,'TRA balance'!$C$5:$C$40,Assumptions!$C60,'TRA balance'!$D$5:$D$40,Assumptions!$B60)*DG60*P60,"")</f>
        <v>0</v>
      </c>
      <c r="BM60" s="40">
        <f ca="1">IFERROR(SUMIFS('TRA balance'!N$5:N$40,'TRA balance'!$C$5:$C$40,Assumptions!$C60,'TRA balance'!$D$5:$D$40,Assumptions!$B60)*DH60*Q60,"")</f>
        <v>0</v>
      </c>
      <c r="BN60" s="40">
        <f ca="1">IFERROR(SUMIFS('TRA balance'!O$5:O$40,'TRA balance'!$C$5:$C$40,Assumptions!$C60,'TRA balance'!$D$5:$D$40,Assumptions!$B60)*DI60*R60,"")</f>
        <v>0</v>
      </c>
      <c r="BO60" s="40">
        <f ca="1">IFERROR(SUMIFS('TRA balance'!P$5:P$40,'TRA balance'!$C$5:$C$40,Assumptions!$C60,'TRA balance'!$D$5:$D$40,Assumptions!$B60)*DJ60*S60,"")</f>
        <v>0</v>
      </c>
      <c r="BP60" s="40">
        <f ca="1">IFERROR(SUMIFS('TRA balance'!Q$5:Q$40,'TRA balance'!$C$5:$C$40,Assumptions!$C60,'TRA balance'!$D$5:$D$40,Assumptions!$B60)*DK60*T60,"")</f>
        <v>0</v>
      </c>
      <c r="BQ60" s="40">
        <f ca="1">IFERROR(SUMIFS('TRA balance'!R$5:R$40,'TRA balance'!$C$5:$C$40,Assumptions!$C60,'TRA balance'!$D$5:$D$40,Assumptions!$B60)*DL60*U60,"")</f>
        <v>0</v>
      </c>
      <c r="BR60" s="40">
        <f ca="1">IFERROR(SUMIFS('TRA balance'!S$5:S$40,'TRA balance'!$C$5:$C$40,Assumptions!$C60,'TRA balance'!$D$5:$D$40,Assumptions!$B60)*DM60*V60,"")</f>
        <v>0</v>
      </c>
      <c r="BS60" s="40">
        <f ca="1">IFERROR(SUMIFS('TRA balance'!T$5:T$40,'TRA balance'!$C$5:$C$40,Assumptions!$C60,'TRA balance'!$D$5:$D$40,Assumptions!$B60)*DN60*W60,"")</f>
        <v>18.50711133168</v>
      </c>
      <c r="BT60" s="40">
        <f ca="1">IFERROR(SUMIFS('TRA balance'!U$5:U$40,'TRA balance'!$C$5:$C$40,Assumptions!$C60,'TRA balance'!$D$5:$D$40,Assumptions!$B60)*DO60*X60,"")</f>
        <v>0</v>
      </c>
      <c r="BU60" s="40">
        <f ca="1">IFERROR(SUMIFS('TRA balance'!V$5:V$40,'TRA balance'!$C$5:$C$40,Assumptions!$C60,'TRA balance'!$D$5:$D$40,Assumptions!$B60)*DP60*Y60,"")</f>
        <v>0</v>
      </c>
      <c r="BV60" s="40">
        <f ca="1">IFERROR(SUMIFS('TRA balance'!W$5:W$40,'TRA balance'!$C$5:$C$40,Assumptions!$C60,'TRA balance'!$D$5:$D$40,Assumptions!$B60)*DQ60*Z60,"")</f>
        <v>0.0699503329800001</v>
      </c>
      <c r="BW60" s="40">
        <f ca="1">IFERROR(SUMIFS('TRA balance'!X$5:X$40,'TRA balance'!$C$5:$C$40,Assumptions!$C60,'TRA balance'!$D$5:$D$40,Assumptions!$B60)*DR60*AA60,"")</f>
        <v>32.37639209712</v>
      </c>
      <c r="BX60" s="40">
        <f ca="1">IFERROR(SUMIFS('TRA balance'!Y$5:Y$40,'TRA balance'!$C$5:$C$40,Assumptions!$C60,'TRA balance'!$D$5:$D$40,Assumptions!$B60)*DS60*AB60,"")</f>
        <v>0</v>
      </c>
      <c r="BY60" s="40">
        <f ca="1">IFERROR(SUMIFS('TRA balance'!Z$5:Z$40,'TRA balance'!$C$5:$C$40,Assumptions!$C60,'TRA balance'!$D$5:$D$40,Assumptions!$B60)*DT60*AC60,"")</f>
        <v>1.10944748268765</v>
      </c>
      <c r="BZ60" s="40">
        <f ca="1">IFERROR(SUMIFS('TRA balance'!AA$5:AA$40,'TRA balance'!$C$5:$C$40,Assumptions!$C60,'TRA balance'!$D$5:$D$40,Assumptions!$B60)*DU60*AD60,"")</f>
        <v>0</v>
      </c>
      <c r="CA60" s="40">
        <f ca="1">IFERROR(SUMIFS('TRA balance'!AB$5:AB$40,'TRA balance'!$C$5:$C$40,Assumptions!$C60,'TRA balance'!$D$5:$D$40,Assumptions!$B60)*DV60*AE60,"")</f>
        <v>0</v>
      </c>
      <c r="CB60" s="40">
        <f ca="1">IFERROR(SUMIFS('TRA balance'!AC$5:AC$40,'TRA balance'!$C$5:$C$40,Assumptions!$C60,'TRA balance'!$D$5:$D$40,Assumptions!$B60)*DW60*AF60,"")</f>
        <v>10.946851073928</v>
      </c>
      <c r="CC60" s="40">
        <f ca="1">IFERROR(SUMIFS('TRA balance'!AD$5:AD$40,'TRA balance'!$C$5:$C$40,Assumptions!$C60,'TRA balance'!$D$5:$D$40,Assumptions!$B60)*DX60*AG60,"")</f>
        <v>2.6716850028</v>
      </c>
      <c r="CD60" s="40">
        <f ca="1">IFERROR(SUMIFS('TRA balance'!AE$5:AE$40,'TRA balance'!$C$5:$C$40,Assumptions!$C60,'TRA balance'!$D$5:$D$40,Assumptions!$B60)*DY60*AH60,"")</f>
        <v>0</v>
      </c>
      <c r="CE60" s="40">
        <f ca="1">IFERROR(SUMIFS('TRA balance'!AF$5:AF$40,'TRA balance'!$C$5:$C$40,Assumptions!$C60,'TRA balance'!$D$5:$D$40,Assumptions!$B60)*DZ60*AI60,"")</f>
        <v>0.00109966302</v>
      </c>
      <c r="CF60" s="40">
        <f ca="1">IFERROR(SUMIFS('TRA balance'!AG$5:AG$40,'TRA balance'!$C$5:$C$40,Assumptions!$C60,'TRA balance'!$D$5:$D$40,Assumptions!$B60)*EA60*AJ60,"")</f>
        <v>0</v>
      </c>
      <c r="CG60" s="40">
        <f ca="1">IFERROR(SUMIFS('TRA balance'!AH$5:AH$40,'TRA balance'!$C$5:$C$40,Assumptions!$C60,'TRA balance'!$D$5:$D$40,Assumptions!$B60)*EB60*AK60,"")</f>
        <v>0</v>
      </c>
      <c r="CH60" s="40">
        <f ca="1">IFERROR(SUMIFS('TRA balance'!AI$5:AI$40,'TRA balance'!$C$5:$C$40,Assumptions!$C60,'TRA balance'!$D$5:$D$40,Assumptions!$B60)*EC60*AL60,"")</f>
        <v>0</v>
      </c>
      <c r="CI60" s="40">
        <f ca="1">IFERROR(SUMIFS('TRA balance'!AJ$5:AJ$40,'TRA balance'!$C$5:$C$40,Assumptions!$C60,'TRA balance'!$D$5:$D$40,Assumptions!$B60)*ED60*AM60,"")</f>
        <v>0</v>
      </c>
      <c r="CJ60" s="40">
        <f ca="1">IFERROR(SUMIFS('TRA balance'!AK$5:AK$40,'TRA balance'!$C$5:$C$40,Assumptions!$C60,'TRA balance'!$D$5:$D$40,Assumptions!$B60)*EE60*AN60,"")</f>
        <v>0</v>
      </c>
      <c r="CK60" s="40">
        <f ca="1">IFERROR(SUMIFS('TRA balance'!AL$5:AL$40,'TRA balance'!$C$5:$C$40,Assumptions!$C60,'TRA balance'!$D$5:$D$40,Assumptions!$B60)*EF60*AO60,"")</f>
        <v>0.40364980668</v>
      </c>
      <c r="CL60" s="40">
        <f ca="1">IFERROR(SUMIFS('TRA balance'!AM$5:AM$40,'TRA balance'!$C$5:$C$40,Assumptions!$C60,'TRA balance'!$D$5:$D$40,Assumptions!$B60)*EG60*AP60,"")</f>
        <v>0</v>
      </c>
      <c r="CM60" s="40">
        <f ca="1">IFERROR(SUMIFS('TRA balance'!AN$5:AN$40,'TRA balance'!$C$5:$C$40,Assumptions!$C60,'TRA balance'!$D$5:$D$40,Assumptions!$B60)*EH60*AQ60,"")</f>
        <v>0</v>
      </c>
      <c r="CN60" s="40">
        <f ca="1">IFERROR(SUMIFS('TRA balance'!AO$5:AO$40,'TRA balance'!$C$5:$C$40,Assumptions!$C60,'TRA balance'!$D$5:$D$40,Assumptions!$B60)*EI60*AR60,"")</f>
        <v>0</v>
      </c>
      <c r="CO60" s="40">
        <f ca="1">IFERROR(SUMIFS('TRA balance'!AP$5:AP$40,'TRA balance'!$C$5:$C$40,Assumptions!$C60,'TRA balance'!$D$5:$D$40,Assumptions!$B60)*EJ60*AS60,"")</f>
        <v>0</v>
      </c>
      <c r="CP60" s="40">
        <f ca="1">IFERROR(SUMIFS('TRA balance'!AQ$5:AQ$40,'TRA balance'!$C$5:$C$40,Assumptions!$C60,'TRA balance'!$D$5:$D$40,Assumptions!$B60)*EK60*AT60,"")</f>
        <v>0</v>
      </c>
      <c r="CQ60" s="40">
        <f ca="1">IFERROR(SUMIFS('TRA balance'!AR$5:AR$40,'TRA balance'!$C$5:$C$40,Assumptions!$C60,'TRA balance'!$D$5:$D$40,Assumptions!$B60)*EL60*AU60,"")</f>
        <v>0</v>
      </c>
      <c r="CR60" s="40">
        <f ca="1">IFERROR(SUMIFS('TRA balance'!AS$5:AS$40,'TRA balance'!$C$5:$C$40,Assumptions!$C60,'TRA balance'!$D$5:$D$40,Assumptions!$B60)*EM60*AV60,"")</f>
        <v>0</v>
      </c>
      <c r="CS60" s="40">
        <f ca="1">IFERROR(SUMIFS('TRA balance'!AT$5:AT$40,'TRA balance'!$C$5:$C$40,Assumptions!$C60,'TRA balance'!$D$5:$D$40,Assumptions!$B60)*EN60*AW60,"")</f>
        <v>0</v>
      </c>
      <c r="CT60" s="40">
        <f ca="1">IFERROR(SUMIFS('TRA balance'!AU$5:AU$40,'TRA balance'!$C$5:$C$40,Assumptions!$C60,'TRA balance'!$D$5:$D$40,Assumptions!$B60)*EO60*AX60,"")</f>
        <v>0</v>
      </c>
      <c r="CU60" s="40">
        <f ca="1">IFERROR(SUMIFS('TRA balance'!AV$5:AV$40,'TRA balance'!$C$5:$C$40,Assumptions!$C60,'TRA balance'!$D$5:$D$40,Assumptions!$B60)*EP60*AY60,"")</f>
        <v>0</v>
      </c>
      <c r="CV60" s="40">
        <f ca="1">IFERROR(SUMIFS('TRA balance'!AW$5:AW$40,'TRA balance'!$C$5:$C$40,Assumptions!$C60,'TRA balance'!$D$5:$D$40,Assumptions!$B60)*EQ60*AZ60,"")</f>
        <v>0</v>
      </c>
      <c r="CW60" s="40">
        <f ca="1">IFERROR(SUMIFS('TRA balance'!AX$5:AX$40,'TRA balance'!$C$5:$C$40,Assumptions!$C60,'TRA balance'!$D$5:$D$40,Assumptions!$B60)*ER60*BA60,"")</f>
        <v>0</v>
      </c>
      <c r="CY60" s="39">
        <f ca="1" t="shared" si="66"/>
        <v>0.75</v>
      </c>
      <c r="CZ60" s="39">
        <f ca="1" t="shared" si="3"/>
        <v>0.75</v>
      </c>
      <c r="DA60" s="39">
        <f ca="1" t="shared" si="4"/>
        <v>0.75</v>
      </c>
      <c r="DB60" s="39">
        <f ca="1" t="shared" si="5"/>
        <v>0.318</v>
      </c>
      <c r="DC60" s="39">
        <f ca="1" t="shared" si="6"/>
        <v>0.3</v>
      </c>
      <c r="DD60" s="39">
        <f ca="1" t="shared" si="7"/>
        <v>0.318</v>
      </c>
      <c r="DE60" s="39">
        <f ca="1" t="shared" si="8"/>
        <v>0.5</v>
      </c>
      <c r="DF60" s="39">
        <f ca="1" t="shared" si="9"/>
        <v>0.6</v>
      </c>
      <c r="DG60" s="39">
        <f ca="1" t="shared" si="10"/>
        <v>1</v>
      </c>
      <c r="DH60" s="39">
        <f ca="1" t="shared" si="11"/>
        <v>1</v>
      </c>
      <c r="DI60" s="39">
        <f ca="1" t="shared" si="12"/>
        <v>0.318</v>
      </c>
      <c r="DJ60" s="39">
        <f ca="1" t="shared" si="13"/>
        <v>0.318</v>
      </c>
      <c r="DK60" s="39">
        <f ca="1" t="shared" si="14"/>
        <v>0.318</v>
      </c>
      <c r="DL60" s="39">
        <f ca="1" t="shared" si="15"/>
        <v>1</v>
      </c>
      <c r="DM60" s="39">
        <f ca="1" t="shared" si="16"/>
        <v>0.318</v>
      </c>
      <c r="DN60" s="39">
        <f ca="1" t="shared" si="17"/>
        <v>0.75</v>
      </c>
      <c r="DO60" s="39">
        <f ca="1" t="shared" si="18"/>
        <v>0.318</v>
      </c>
      <c r="DP60" s="39">
        <f ca="1" t="shared" si="19"/>
        <v>0.318</v>
      </c>
      <c r="DQ60" s="39">
        <f ca="1" t="shared" si="20"/>
        <v>0.05</v>
      </c>
      <c r="DR60" s="39">
        <f ca="1" t="shared" si="21"/>
        <v>0.5</v>
      </c>
      <c r="DS60" s="39">
        <f ca="1" t="shared" si="22"/>
        <v>0.318</v>
      </c>
      <c r="DT60" s="39">
        <f ca="1" t="shared" si="23"/>
        <v>0.02083020544021</v>
      </c>
      <c r="DU60" s="39">
        <f ca="1" t="shared" si="24"/>
        <v>0.318</v>
      </c>
      <c r="DV60" s="39">
        <f ca="1" t="shared" si="25"/>
        <v>1</v>
      </c>
      <c r="DW60" s="39">
        <f ca="1" t="shared" si="26"/>
        <v>0.1</v>
      </c>
      <c r="DX60" s="39">
        <f ca="1" t="shared" si="27"/>
        <v>0.3</v>
      </c>
      <c r="DY60" s="39">
        <f ca="1" t="shared" si="28"/>
        <v>0.318</v>
      </c>
      <c r="DZ60" s="39">
        <f ca="1" t="shared" si="29"/>
        <v>0.75</v>
      </c>
      <c r="EA60" s="39">
        <f ca="1" t="shared" si="30"/>
        <v>0.318</v>
      </c>
      <c r="EB60" s="39">
        <f ca="1" t="shared" si="31"/>
        <v>0.318</v>
      </c>
      <c r="EC60" s="39">
        <f ca="1" t="shared" si="32"/>
        <v>0.318</v>
      </c>
      <c r="ED60" s="39">
        <f ca="1" t="shared" si="33"/>
        <v>0.318</v>
      </c>
      <c r="EE60" s="39">
        <f ca="1" t="shared" si="34"/>
        <v>0.318</v>
      </c>
      <c r="EF60" s="39">
        <f ca="1" t="shared" si="35"/>
        <v>0.3</v>
      </c>
      <c r="EG60" s="39">
        <f ca="1" t="shared" si="36"/>
        <v>1</v>
      </c>
      <c r="EH60" s="39">
        <f ca="1" t="shared" si="37"/>
        <v>0.02083020544021</v>
      </c>
      <c r="EI60" s="39">
        <f ca="1" t="shared" si="38"/>
        <v>0.02083020544021</v>
      </c>
      <c r="EJ60" s="39">
        <f ca="1" t="shared" si="39"/>
        <v>0.02083020544021</v>
      </c>
      <c r="EK60" s="39">
        <f ca="1" t="shared" si="40"/>
        <v>0.02083020544021</v>
      </c>
      <c r="EL60" s="39">
        <f ca="1" t="shared" si="41"/>
        <v>0.02083020544021</v>
      </c>
      <c r="EM60" s="39">
        <f ca="1" t="shared" si="42"/>
        <v>0.02083020544021</v>
      </c>
      <c r="EN60" s="39">
        <f ca="1" t="shared" si="43"/>
        <v>0.02083020544021</v>
      </c>
      <c r="EO60" s="39">
        <f ca="1" t="shared" si="44"/>
        <v>0.02083020544021</v>
      </c>
      <c r="EP60" s="39">
        <f ca="1" t="shared" si="45"/>
        <v>0.02083020544021</v>
      </c>
      <c r="EQ60" s="39">
        <f ca="1" t="shared" si="46"/>
        <v>0.02083020544021</v>
      </c>
      <c r="ER60" s="39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58" t="str">
        <f t="shared" si="48"/>
        <v/>
      </c>
      <c r="D61" s="70"/>
      <c r="E61" s="59" t="s">
        <v>220</v>
      </c>
      <c r="F61" s="60" t="str">
        <f t="shared" si="82"/>
        <v>Natural Gas</v>
      </c>
      <c r="G61" s="58"/>
      <c r="H61" s="71" t="str">
        <f ca="1">IF(SUM(H57:H60)=1,"-","&lt;&gt;1!!")</f>
        <v>-</v>
      </c>
      <c r="I61" s="71" t="str">
        <f ca="1" t="shared" ref="I61:BA61" si="83">IF(SUM(I57:I60)=1,"-","&lt;&gt;1!!")</f>
        <v>-</v>
      </c>
      <c r="J61" s="71" t="str">
        <f ca="1" t="shared" si="83"/>
        <v>-</v>
      </c>
      <c r="K61" s="71" t="str">
        <f ca="1" t="shared" si="83"/>
        <v>-</v>
      </c>
      <c r="L61" s="71" t="str">
        <f ca="1" t="shared" si="83"/>
        <v>-</v>
      </c>
      <c r="M61" s="71" t="str">
        <f ca="1" t="shared" si="83"/>
        <v>-</v>
      </c>
      <c r="N61" s="71" t="str">
        <f ca="1" t="shared" si="83"/>
        <v>-</v>
      </c>
      <c r="O61" s="71" t="str">
        <f ca="1" t="shared" si="83"/>
        <v>-</v>
      </c>
      <c r="P61" s="71" t="str">
        <f ca="1" t="shared" si="83"/>
        <v>-</v>
      </c>
      <c r="Q61" s="71" t="str">
        <f ca="1" t="shared" si="83"/>
        <v>-</v>
      </c>
      <c r="R61" s="71" t="str">
        <f ca="1" t="shared" si="83"/>
        <v>-</v>
      </c>
      <c r="S61" s="71" t="str">
        <f ca="1" t="shared" si="83"/>
        <v>-</v>
      </c>
      <c r="T61" s="71" t="str">
        <f ca="1" t="shared" si="83"/>
        <v>-</v>
      </c>
      <c r="U61" s="71" t="str">
        <f ca="1" t="shared" si="83"/>
        <v>-</v>
      </c>
      <c r="V61" s="71" t="str">
        <f ca="1" t="shared" si="83"/>
        <v>-</v>
      </c>
      <c r="W61" s="71" t="str">
        <f ca="1" t="shared" si="83"/>
        <v>-</v>
      </c>
      <c r="X61" s="71" t="str">
        <f ca="1" t="shared" si="83"/>
        <v>-</v>
      </c>
      <c r="Y61" s="71" t="str">
        <f ca="1" t="shared" si="83"/>
        <v>-</v>
      </c>
      <c r="Z61" s="71" t="str">
        <f ca="1" t="shared" si="83"/>
        <v>-</v>
      </c>
      <c r="AA61" s="71" t="str">
        <f ca="1" t="shared" si="83"/>
        <v>-</v>
      </c>
      <c r="AB61" s="71" t="str">
        <f ca="1" t="shared" si="83"/>
        <v>-</v>
      </c>
      <c r="AC61" s="71" t="str">
        <f ca="1" t="shared" si="83"/>
        <v>-</v>
      </c>
      <c r="AD61" s="71" t="str">
        <f ca="1" t="shared" si="83"/>
        <v>-</v>
      </c>
      <c r="AE61" s="71" t="str">
        <f ca="1" t="shared" si="83"/>
        <v>-</v>
      </c>
      <c r="AF61" s="71" t="str">
        <f ca="1" t="shared" si="83"/>
        <v>-</v>
      </c>
      <c r="AG61" s="71" t="str">
        <f ca="1" t="shared" si="83"/>
        <v>-</v>
      </c>
      <c r="AH61" s="71" t="str">
        <f ca="1" t="shared" si="83"/>
        <v>-</v>
      </c>
      <c r="AI61" s="71" t="str">
        <f ca="1" t="shared" si="83"/>
        <v>-</v>
      </c>
      <c r="AJ61" s="71" t="str">
        <f ca="1" t="shared" si="83"/>
        <v>-</v>
      </c>
      <c r="AK61" s="71" t="str">
        <f ca="1" t="shared" si="83"/>
        <v>-</v>
      </c>
      <c r="AL61" s="71" t="str">
        <f ca="1" t="shared" si="83"/>
        <v>-</v>
      </c>
      <c r="AM61" s="71" t="str">
        <f ca="1" t="shared" si="83"/>
        <v>-</v>
      </c>
      <c r="AN61" s="71" t="str">
        <f ca="1" t="shared" si="83"/>
        <v>-</v>
      </c>
      <c r="AO61" s="71" t="str">
        <f ca="1" t="shared" si="83"/>
        <v>-</v>
      </c>
      <c r="AP61" s="71" t="str">
        <f ca="1" t="shared" si="83"/>
        <v>-</v>
      </c>
      <c r="AQ61" s="71" t="str">
        <f ca="1" t="shared" si="83"/>
        <v>-</v>
      </c>
      <c r="AR61" s="71" t="str">
        <f ca="1" t="shared" si="83"/>
        <v>-</v>
      </c>
      <c r="AS61" s="71" t="str">
        <f ca="1" t="shared" si="83"/>
        <v>-</v>
      </c>
      <c r="AT61" s="71" t="str">
        <f ca="1" t="shared" si="83"/>
        <v>-</v>
      </c>
      <c r="AU61" s="71" t="str">
        <f ca="1" t="shared" si="83"/>
        <v>-</v>
      </c>
      <c r="AV61" s="71" t="str">
        <f ca="1" t="shared" si="83"/>
        <v>-</v>
      </c>
      <c r="AW61" s="71" t="str">
        <f ca="1" t="shared" si="83"/>
        <v>-</v>
      </c>
      <c r="AX61" s="71" t="str">
        <f ca="1" t="shared" si="83"/>
        <v>-</v>
      </c>
      <c r="AY61" s="71" t="str">
        <f ca="1" t="shared" si="83"/>
        <v>-</v>
      </c>
      <c r="AZ61" s="71" t="str">
        <f ca="1" t="shared" si="83"/>
        <v>-</v>
      </c>
      <c r="BA61" s="71" t="str">
        <f ca="1" t="shared" si="83"/>
        <v>-</v>
      </c>
      <c r="BD61" s="40" t="str">
        <f ca="1">IFERROR(SUMIFS('TRA balance'!E$5:E$40,'TRA balance'!$C$5:$C$40,Assumptions!$C61,'TRA balance'!$D$5:$D$40,Assumptions!$B61)*CY61*H61,"")</f>
        <v/>
      </c>
      <c r="BE61" s="40" t="str">
        <f ca="1">IFERROR(SUMIFS('TRA balance'!F$5:F$40,'TRA balance'!$C$5:$C$40,Assumptions!$C61,'TRA balance'!$D$5:$D$40,Assumptions!$B61)*CZ61*I61,"")</f>
        <v/>
      </c>
      <c r="BF61" s="40" t="str">
        <f ca="1">IFERROR(SUMIFS('TRA balance'!G$5:G$40,'TRA balance'!$C$5:$C$40,Assumptions!$C61,'TRA balance'!$D$5:$D$40,Assumptions!$B61)*DA61*J61,"")</f>
        <v/>
      </c>
      <c r="BG61" s="40" t="str">
        <f ca="1">IFERROR(SUMIFS('TRA balance'!H$5:H$40,'TRA balance'!$C$5:$C$40,Assumptions!$C61,'TRA balance'!$D$5:$D$40,Assumptions!$B61)*DB61*K61,"")</f>
        <v/>
      </c>
      <c r="BH61" s="40" t="str">
        <f ca="1">IFERROR(SUMIFS('TRA balance'!I$5:I$40,'TRA balance'!$C$5:$C$40,Assumptions!$C61,'TRA balance'!$D$5:$D$40,Assumptions!$B61)*DC61*L61,"")</f>
        <v/>
      </c>
      <c r="BI61" s="40" t="str">
        <f ca="1">IFERROR(SUMIFS('TRA balance'!J$5:J$40,'TRA balance'!$C$5:$C$40,Assumptions!$C61,'TRA balance'!$D$5:$D$40,Assumptions!$B61)*DD61*M61,"")</f>
        <v/>
      </c>
      <c r="BJ61" s="40" t="str">
        <f ca="1">IFERROR(SUMIFS('TRA balance'!K$5:K$40,'TRA balance'!$C$5:$C$40,Assumptions!$C61,'TRA balance'!$D$5:$D$40,Assumptions!$B61)*DE61*N61,"")</f>
        <v/>
      </c>
      <c r="BK61" s="40" t="str">
        <f ca="1">IFERROR(SUMIFS('TRA balance'!L$5:L$40,'TRA balance'!$C$5:$C$40,Assumptions!$C61,'TRA balance'!$D$5:$D$40,Assumptions!$B61)*DF61*O61,"")</f>
        <v/>
      </c>
      <c r="BL61" s="40" t="str">
        <f ca="1">IFERROR(SUMIFS('TRA balance'!M$5:M$40,'TRA balance'!$C$5:$C$40,Assumptions!$C61,'TRA balance'!$D$5:$D$40,Assumptions!$B61)*DG61*P61,"")</f>
        <v/>
      </c>
      <c r="BM61" s="40" t="str">
        <f ca="1">IFERROR(SUMIFS('TRA balance'!N$5:N$40,'TRA balance'!$C$5:$C$40,Assumptions!$C61,'TRA balance'!$D$5:$D$40,Assumptions!$B61)*DH61*Q61,"")</f>
        <v/>
      </c>
      <c r="BN61" s="40" t="str">
        <f ca="1">IFERROR(SUMIFS('TRA balance'!O$5:O$40,'TRA balance'!$C$5:$C$40,Assumptions!$C61,'TRA balance'!$D$5:$D$40,Assumptions!$B61)*DI61*R61,"")</f>
        <v/>
      </c>
      <c r="BO61" s="40" t="str">
        <f ca="1">IFERROR(SUMIFS('TRA balance'!P$5:P$40,'TRA balance'!$C$5:$C$40,Assumptions!$C61,'TRA balance'!$D$5:$D$40,Assumptions!$B61)*DJ61*S61,"")</f>
        <v/>
      </c>
      <c r="BP61" s="40" t="str">
        <f ca="1">IFERROR(SUMIFS('TRA balance'!Q$5:Q$40,'TRA balance'!$C$5:$C$40,Assumptions!$C61,'TRA balance'!$D$5:$D$40,Assumptions!$B61)*DK61*T61,"")</f>
        <v/>
      </c>
      <c r="BQ61" s="40" t="str">
        <f ca="1">IFERROR(SUMIFS('TRA balance'!R$5:R$40,'TRA balance'!$C$5:$C$40,Assumptions!$C61,'TRA balance'!$D$5:$D$40,Assumptions!$B61)*DL61*U61,"")</f>
        <v/>
      </c>
      <c r="BR61" s="40" t="str">
        <f ca="1">IFERROR(SUMIFS('TRA balance'!S$5:S$40,'TRA balance'!$C$5:$C$40,Assumptions!$C61,'TRA balance'!$D$5:$D$40,Assumptions!$B61)*DM61*V61,"")</f>
        <v/>
      </c>
      <c r="BS61" s="40" t="str">
        <f ca="1">IFERROR(SUMIFS('TRA balance'!T$5:T$40,'TRA balance'!$C$5:$C$40,Assumptions!$C61,'TRA balance'!$D$5:$D$40,Assumptions!$B61)*DN61*W61,"")</f>
        <v/>
      </c>
      <c r="BT61" s="40" t="str">
        <f ca="1">IFERROR(SUMIFS('TRA balance'!U$5:U$40,'TRA balance'!$C$5:$C$40,Assumptions!$C61,'TRA balance'!$D$5:$D$40,Assumptions!$B61)*DO61*X61,"")</f>
        <v/>
      </c>
      <c r="BU61" s="40" t="str">
        <f ca="1">IFERROR(SUMIFS('TRA balance'!V$5:V$40,'TRA balance'!$C$5:$C$40,Assumptions!$C61,'TRA balance'!$D$5:$D$40,Assumptions!$B61)*DP61*Y61,"")</f>
        <v/>
      </c>
      <c r="BV61" s="40" t="str">
        <f ca="1">IFERROR(SUMIFS('TRA balance'!W$5:W$40,'TRA balance'!$C$5:$C$40,Assumptions!$C61,'TRA balance'!$D$5:$D$40,Assumptions!$B61)*DQ61*Z61,"")</f>
        <v/>
      </c>
      <c r="BW61" s="40" t="str">
        <f ca="1">IFERROR(SUMIFS('TRA balance'!X$5:X$40,'TRA balance'!$C$5:$C$40,Assumptions!$C61,'TRA balance'!$D$5:$D$40,Assumptions!$B61)*DR61*AA61,"")</f>
        <v/>
      </c>
      <c r="BX61" s="40" t="str">
        <f ca="1">IFERROR(SUMIFS('TRA balance'!Y$5:Y$40,'TRA balance'!$C$5:$C$40,Assumptions!$C61,'TRA balance'!$D$5:$D$40,Assumptions!$B61)*DS61*AB61,"")</f>
        <v/>
      </c>
      <c r="BY61" s="40" t="str">
        <f ca="1">IFERROR(SUMIFS('TRA balance'!Z$5:Z$40,'TRA balance'!$C$5:$C$40,Assumptions!$C61,'TRA balance'!$D$5:$D$40,Assumptions!$B61)*DT61*AC61,"")</f>
        <v/>
      </c>
      <c r="BZ61" s="40" t="str">
        <f ca="1">IFERROR(SUMIFS('TRA balance'!AA$5:AA$40,'TRA balance'!$C$5:$C$40,Assumptions!$C61,'TRA balance'!$D$5:$D$40,Assumptions!$B61)*DU61*AD61,"")</f>
        <v/>
      </c>
      <c r="CA61" s="40" t="str">
        <f ca="1">IFERROR(SUMIFS('TRA balance'!AB$5:AB$40,'TRA balance'!$C$5:$C$40,Assumptions!$C61,'TRA balance'!$D$5:$D$40,Assumptions!$B61)*DV61*AE61,"")</f>
        <v/>
      </c>
      <c r="CB61" s="40" t="str">
        <f ca="1">IFERROR(SUMIFS('TRA balance'!AC$5:AC$40,'TRA balance'!$C$5:$C$40,Assumptions!$C61,'TRA balance'!$D$5:$D$40,Assumptions!$B61)*DW61*AF61,"")</f>
        <v/>
      </c>
      <c r="CC61" s="40" t="str">
        <f ca="1">IFERROR(SUMIFS('TRA balance'!AD$5:AD$40,'TRA balance'!$C$5:$C$40,Assumptions!$C61,'TRA balance'!$D$5:$D$40,Assumptions!$B61)*DX61*AG61,"")</f>
        <v/>
      </c>
      <c r="CD61" s="40" t="str">
        <f ca="1">IFERROR(SUMIFS('TRA balance'!AE$5:AE$40,'TRA balance'!$C$5:$C$40,Assumptions!$C61,'TRA balance'!$D$5:$D$40,Assumptions!$B61)*DY61*AH61,"")</f>
        <v/>
      </c>
      <c r="CE61" s="40" t="str">
        <f ca="1">IFERROR(SUMIFS('TRA balance'!AF$5:AF$40,'TRA balance'!$C$5:$C$40,Assumptions!$C61,'TRA balance'!$D$5:$D$40,Assumptions!$B61)*DZ61*AI61,"")</f>
        <v/>
      </c>
      <c r="CF61" s="40" t="str">
        <f ca="1">IFERROR(SUMIFS('TRA balance'!AG$5:AG$40,'TRA balance'!$C$5:$C$40,Assumptions!$C61,'TRA balance'!$D$5:$D$40,Assumptions!$B61)*EA61*AJ61,"")</f>
        <v/>
      </c>
      <c r="CG61" s="40" t="str">
        <f ca="1">IFERROR(SUMIFS('TRA balance'!AH$5:AH$40,'TRA balance'!$C$5:$C$40,Assumptions!$C61,'TRA balance'!$D$5:$D$40,Assumptions!$B61)*EB61*AK61,"")</f>
        <v/>
      </c>
      <c r="CH61" s="40" t="str">
        <f ca="1">IFERROR(SUMIFS('TRA balance'!AI$5:AI$40,'TRA balance'!$C$5:$C$40,Assumptions!$C61,'TRA balance'!$D$5:$D$40,Assumptions!$B61)*EC61*AL61,"")</f>
        <v/>
      </c>
      <c r="CI61" s="40" t="str">
        <f ca="1">IFERROR(SUMIFS('TRA balance'!AJ$5:AJ$40,'TRA balance'!$C$5:$C$40,Assumptions!$C61,'TRA balance'!$D$5:$D$40,Assumptions!$B61)*ED61*AM61,"")</f>
        <v/>
      </c>
      <c r="CJ61" s="40" t="str">
        <f ca="1">IFERROR(SUMIFS('TRA balance'!AK$5:AK$40,'TRA balance'!$C$5:$C$40,Assumptions!$C61,'TRA balance'!$D$5:$D$40,Assumptions!$B61)*EE61*AN61,"")</f>
        <v/>
      </c>
      <c r="CK61" s="40" t="str">
        <f ca="1">IFERROR(SUMIFS('TRA balance'!AL$5:AL$40,'TRA balance'!$C$5:$C$40,Assumptions!$C61,'TRA balance'!$D$5:$D$40,Assumptions!$B61)*EF61*AO61,"")</f>
        <v/>
      </c>
      <c r="CL61" s="40" t="str">
        <f ca="1">IFERROR(SUMIFS('TRA balance'!AM$5:AM$40,'TRA balance'!$C$5:$C$40,Assumptions!$C61,'TRA balance'!$D$5:$D$40,Assumptions!$B61)*EG61*AP61,"")</f>
        <v/>
      </c>
      <c r="CM61" s="40" t="str">
        <f ca="1">IFERROR(SUMIFS('TRA balance'!AN$5:AN$40,'TRA balance'!$C$5:$C$40,Assumptions!$C61,'TRA balance'!$D$5:$D$40,Assumptions!$B61)*EH61*AQ61,"")</f>
        <v/>
      </c>
      <c r="CN61" s="40" t="str">
        <f ca="1">IFERROR(SUMIFS('TRA balance'!AO$5:AO$40,'TRA balance'!$C$5:$C$40,Assumptions!$C61,'TRA balance'!$D$5:$D$40,Assumptions!$B61)*EI61*AR61,"")</f>
        <v/>
      </c>
      <c r="CO61" s="40" t="str">
        <f ca="1">IFERROR(SUMIFS('TRA balance'!AP$5:AP$40,'TRA balance'!$C$5:$C$40,Assumptions!$C61,'TRA balance'!$D$5:$D$40,Assumptions!$B61)*EJ61*AS61,"")</f>
        <v/>
      </c>
      <c r="CP61" s="40" t="str">
        <f ca="1">IFERROR(SUMIFS('TRA balance'!AQ$5:AQ$40,'TRA balance'!$C$5:$C$40,Assumptions!$C61,'TRA balance'!$D$5:$D$40,Assumptions!$B61)*EK61*AT61,"")</f>
        <v/>
      </c>
      <c r="CQ61" s="40" t="str">
        <f ca="1">IFERROR(SUMIFS('TRA balance'!AR$5:AR$40,'TRA balance'!$C$5:$C$40,Assumptions!$C61,'TRA balance'!$D$5:$D$40,Assumptions!$B61)*EL61*AU61,"")</f>
        <v/>
      </c>
      <c r="CR61" s="40" t="str">
        <f ca="1">IFERROR(SUMIFS('TRA balance'!AS$5:AS$40,'TRA balance'!$C$5:$C$40,Assumptions!$C61,'TRA balance'!$D$5:$D$40,Assumptions!$B61)*EM61*AV61,"")</f>
        <v/>
      </c>
      <c r="CS61" s="40" t="str">
        <f ca="1">IFERROR(SUMIFS('TRA balance'!AT$5:AT$40,'TRA balance'!$C$5:$C$40,Assumptions!$C61,'TRA balance'!$D$5:$D$40,Assumptions!$B61)*EN61*AW61,"")</f>
        <v/>
      </c>
      <c r="CT61" s="40" t="str">
        <f ca="1">IFERROR(SUMIFS('TRA balance'!AU$5:AU$40,'TRA balance'!$C$5:$C$40,Assumptions!$C61,'TRA balance'!$D$5:$D$40,Assumptions!$B61)*EO61*AX61,"")</f>
        <v/>
      </c>
      <c r="CU61" s="40" t="str">
        <f ca="1">IFERROR(SUMIFS('TRA balance'!AV$5:AV$40,'TRA balance'!$C$5:$C$40,Assumptions!$C61,'TRA balance'!$D$5:$D$40,Assumptions!$B61)*EP61*AY61,"")</f>
        <v/>
      </c>
      <c r="CV61" s="40" t="str">
        <f ca="1">IFERROR(SUMIFS('TRA balance'!AW$5:AW$40,'TRA balance'!$C$5:$C$40,Assumptions!$C61,'TRA balance'!$D$5:$D$40,Assumptions!$B61)*EQ61*AZ61,"")</f>
        <v/>
      </c>
      <c r="CW61" s="40" t="str">
        <f ca="1">IFERROR(SUMIFS('TRA balance'!AX$5:AX$40,'TRA balance'!$C$5:$C$40,Assumptions!$C61,'TRA balance'!$D$5:$D$40,Assumptions!$B61)*ER61*BA61,"")</f>
        <v/>
      </c>
      <c r="CY61" s="39">
        <f ca="1" t="shared" si="66"/>
        <v>1</v>
      </c>
      <c r="CZ61" s="39">
        <f ca="1" t="shared" si="3"/>
        <v>1</v>
      </c>
      <c r="DA61" s="39">
        <f ca="1" t="shared" si="4"/>
        <v>1</v>
      </c>
      <c r="DB61" s="39">
        <f ca="1" t="shared" si="5"/>
        <v>1</v>
      </c>
      <c r="DC61" s="39">
        <f ca="1" t="shared" si="6"/>
        <v>1</v>
      </c>
      <c r="DD61" s="39">
        <f ca="1" t="shared" si="7"/>
        <v>1</v>
      </c>
      <c r="DE61" s="39">
        <f ca="1" t="shared" si="8"/>
        <v>1</v>
      </c>
      <c r="DF61" s="39">
        <f ca="1" t="shared" si="9"/>
        <v>1</v>
      </c>
      <c r="DG61" s="39">
        <f ca="1" t="shared" si="10"/>
        <v>1</v>
      </c>
      <c r="DH61" s="39">
        <f ca="1" t="shared" si="11"/>
        <v>1</v>
      </c>
      <c r="DI61" s="39">
        <f ca="1" t="shared" si="12"/>
        <v>1</v>
      </c>
      <c r="DJ61" s="39">
        <f ca="1" t="shared" si="13"/>
        <v>1</v>
      </c>
      <c r="DK61" s="39">
        <f ca="1" t="shared" si="14"/>
        <v>1</v>
      </c>
      <c r="DL61" s="39">
        <f ca="1" t="shared" si="15"/>
        <v>1</v>
      </c>
      <c r="DM61" s="39">
        <f ca="1" t="shared" si="16"/>
        <v>1</v>
      </c>
      <c r="DN61" s="39">
        <f ca="1" t="shared" si="17"/>
        <v>1</v>
      </c>
      <c r="DO61" s="39">
        <f ca="1" t="shared" si="18"/>
        <v>1</v>
      </c>
      <c r="DP61" s="39">
        <f ca="1" t="shared" si="19"/>
        <v>1</v>
      </c>
      <c r="DQ61" s="39">
        <f ca="1" t="shared" si="20"/>
        <v>1</v>
      </c>
      <c r="DR61" s="39">
        <f ca="1" t="shared" si="21"/>
        <v>1</v>
      </c>
      <c r="DS61" s="39">
        <f ca="1" t="shared" si="22"/>
        <v>1</v>
      </c>
      <c r="DT61" s="39">
        <f ca="1" t="shared" si="23"/>
        <v>1</v>
      </c>
      <c r="DU61" s="39">
        <f ca="1" t="shared" si="24"/>
        <v>1</v>
      </c>
      <c r="DV61" s="39">
        <f ca="1" t="shared" si="25"/>
        <v>1</v>
      </c>
      <c r="DW61" s="39">
        <f ca="1" t="shared" si="26"/>
        <v>1</v>
      </c>
      <c r="DX61" s="39">
        <f ca="1" t="shared" si="27"/>
        <v>1</v>
      </c>
      <c r="DY61" s="39">
        <f ca="1" t="shared" si="28"/>
        <v>1</v>
      </c>
      <c r="DZ61" s="39">
        <f ca="1" t="shared" si="29"/>
        <v>1</v>
      </c>
      <c r="EA61" s="39">
        <f ca="1" t="shared" si="30"/>
        <v>1</v>
      </c>
      <c r="EB61" s="39">
        <f ca="1" t="shared" si="31"/>
        <v>1</v>
      </c>
      <c r="EC61" s="39">
        <f ca="1" t="shared" si="32"/>
        <v>1</v>
      </c>
      <c r="ED61" s="39">
        <f ca="1" t="shared" si="33"/>
        <v>1</v>
      </c>
      <c r="EE61" s="39">
        <f ca="1" t="shared" si="34"/>
        <v>1</v>
      </c>
      <c r="EF61" s="39">
        <f ca="1" t="shared" si="35"/>
        <v>1</v>
      </c>
      <c r="EG61" s="39">
        <f ca="1" t="shared" si="36"/>
        <v>1</v>
      </c>
      <c r="EH61" s="39">
        <f ca="1" t="shared" si="37"/>
        <v>1</v>
      </c>
      <c r="EI61" s="39">
        <f ca="1" t="shared" si="38"/>
        <v>1</v>
      </c>
      <c r="EJ61" s="39">
        <f ca="1" t="shared" si="39"/>
        <v>1</v>
      </c>
      <c r="EK61" s="39">
        <f ca="1" t="shared" si="40"/>
        <v>1</v>
      </c>
      <c r="EL61" s="39">
        <f ca="1" t="shared" si="41"/>
        <v>1</v>
      </c>
      <c r="EM61" s="39">
        <f ca="1" t="shared" si="42"/>
        <v>1</v>
      </c>
      <c r="EN61" s="39">
        <f ca="1" t="shared" si="43"/>
        <v>1</v>
      </c>
      <c r="EO61" s="39">
        <f ca="1" t="shared" si="44"/>
        <v>1</v>
      </c>
      <c r="EP61" s="39">
        <f ca="1" t="shared" si="45"/>
        <v>1</v>
      </c>
      <c r="EQ61" s="39">
        <f ca="1" t="shared" si="46"/>
        <v>1</v>
      </c>
      <c r="ER61" s="39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2">
        <v>1</v>
      </c>
      <c r="D62" s="63" t="s">
        <v>200</v>
      </c>
      <c r="E62" s="63" t="s">
        <v>201</v>
      </c>
      <c r="F62" s="64" t="s">
        <v>43</v>
      </c>
      <c r="G62" s="62"/>
      <c r="H62" s="57">
        <f ca="1">OFFSET(TIAM15_assumptions!$G62,0,MATCH(VLOOKUP(Assumptions!H$2,TIAM15_assumptions!$Y$3:$Z$87,2,FALSE),TIAM15_assumptions!$H$2:$V$2,0))</f>
        <v>0.1</v>
      </c>
      <c r="I62" s="57">
        <f ca="1">OFFSET(TIAM15_assumptions!$G62,0,MATCH(VLOOKUP(Assumptions!I$2,TIAM15_assumptions!$Y$3:$Z$87,2,FALSE),TIAM15_assumptions!$H$2:$V$2,0))</f>
        <v>0.1</v>
      </c>
      <c r="J62" s="57">
        <f ca="1">OFFSET(TIAM15_assumptions!$G62,0,MATCH(VLOOKUP(Assumptions!J$2,TIAM15_assumptions!$Y$3:$Z$87,2,FALSE),TIAM15_assumptions!$H$2:$V$2,0))</f>
        <v>0.02</v>
      </c>
      <c r="K62" s="57">
        <f ca="1">OFFSET(TIAM15_assumptions!$G62,0,MATCH(VLOOKUP(Assumptions!K$2,TIAM15_assumptions!$Y$3:$Z$87,2,FALSE),TIAM15_assumptions!$H$2:$V$2,0))</f>
        <v>0.2</v>
      </c>
      <c r="L62" s="57">
        <f ca="1">OFFSET(TIAM15_assumptions!$G62,0,MATCH(VLOOKUP(Assumptions!L$2,TIAM15_assumptions!$Y$3:$Z$87,2,FALSE),TIAM15_assumptions!$H$2:$V$2,0))</f>
        <v>0.05</v>
      </c>
      <c r="M62" s="57">
        <f ca="1">OFFSET(TIAM15_assumptions!$G62,0,MATCH(VLOOKUP(Assumptions!M$2,TIAM15_assumptions!$Y$3:$Z$87,2,FALSE),TIAM15_assumptions!$H$2:$V$2,0))</f>
        <v>0.2</v>
      </c>
      <c r="N62" s="57">
        <f ca="1">OFFSET(TIAM15_assumptions!$G62,0,MATCH(VLOOKUP(Assumptions!N$2,TIAM15_assumptions!$Y$3:$Z$87,2,FALSE),TIAM15_assumptions!$H$2:$V$2,0))</f>
        <v>0.07</v>
      </c>
      <c r="O62" s="57">
        <f ca="1">OFFSET(TIAM15_assumptions!$G62,0,MATCH(VLOOKUP(Assumptions!O$2,TIAM15_assumptions!$Y$3:$Z$87,2,FALSE),TIAM15_assumptions!$H$2:$V$2,0))</f>
        <v>0.1</v>
      </c>
      <c r="P62" s="57">
        <f ca="1">OFFSET(TIAM15_assumptions!$G62,0,MATCH(VLOOKUP(Assumptions!P$2,TIAM15_assumptions!$Y$3:$Z$87,2,FALSE),TIAM15_assumptions!$H$2:$V$2,0))</f>
        <v>0.2</v>
      </c>
      <c r="Q62" s="57">
        <f ca="1">OFFSET(TIAM15_assumptions!$G62,0,MATCH(VLOOKUP(Assumptions!Q$2,TIAM15_assumptions!$Y$3:$Z$87,2,FALSE),TIAM15_assumptions!$H$2:$V$2,0))</f>
        <v>0.2</v>
      </c>
      <c r="R62" s="57">
        <f ca="1">OFFSET(TIAM15_assumptions!$G62,0,MATCH(VLOOKUP(Assumptions!R$2,TIAM15_assumptions!$Y$3:$Z$87,2,FALSE),TIAM15_assumptions!$H$2:$V$2,0))</f>
        <v>0.2</v>
      </c>
      <c r="S62" s="57">
        <f ca="1">OFFSET(TIAM15_assumptions!$G62,0,MATCH(VLOOKUP(Assumptions!S$2,TIAM15_assumptions!$Y$3:$Z$87,2,FALSE),TIAM15_assumptions!$H$2:$V$2,0))</f>
        <v>0.2</v>
      </c>
      <c r="T62" s="57">
        <f ca="1">OFFSET(TIAM15_assumptions!$G62,0,MATCH(VLOOKUP(Assumptions!T$2,TIAM15_assumptions!$Y$3:$Z$87,2,FALSE),TIAM15_assumptions!$H$2:$V$2,0))</f>
        <v>0.2</v>
      </c>
      <c r="U62" s="57">
        <f ca="1">OFFSET(TIAM15_assumptions!$G62,0,MATCH(VLOOKUP(Assumptions!U$2,TIAM15_assumptions!$Y$3:$Z$87,2,FALSE),TIAM15_assumptions!$H$2:$V$2,0))</f>
        <v>0.2</v>
      </c>
      <c r="V62" s="57">
        <f ca="1">OFFSET(TIAM15_assumptions!$G62,0,MATCH(VLOOKUP(Assumptions!V$2,TIAM15_assumptions!$Y$3:$Z$87,2,FALSE),TIAM15_assumptions!$H$2:$V$2,0))</f>
        <v>0.2</v>
      </c>
      <c r="W62" s="57">
        <f ca="1">OFFSET(TIAM15_assumptions!$G62,0,MATCH(VLOOKUP(Assumptions!W$2,TIAM15_assumptions!$Y$3:$Z$87,2,FALSE),TIAM15_assumptions!$H$2:$V$2,0))</f>
        <v>0.25</v>
      </c>
      <c r="X62" s="57">
        <f ca="1">OFFSET(TIAM15_assumptions!$G62,0,MATCH(VLOOKUP(Assumptions!X$2,TIAM15_assumptions!$Y$3:$Z$87,2,FALSE),TIAM15_assumptions!$H$2:$V$2,0))</f>
        <v>0.2</v>
      </c>
      <c r="Y62" s="57">
        <f ca="1">OFFSET(TIAM15_assumptions!$G62,0,MATCH(VLOOKUP(Assumptions!Y$2,TIAM15_assumptions!$Y$3:$Z$87,2,FALSE),TIAM15_assumptions!$H$2:$V$2,0))</f>
        <v>0.2</v>
      </c>
      <c r="Z62" s="57">
        <f ca="1">OFFSET(TIAM15_assumptions!$G62,0,MATCH(VLOOKUP(Assumptions!Z$2,TIAM15_assumptions!$Y$3:$Z$87,2,FALSE),TIAM15_assumptions!$H$2:$V$2,0))</f>
        <v>0.05</v>
      </c>
      <c r="AA62" s="57">
        <f ca="1">OFFSET(TIAM15_assumptions!$G62,0,MATCH(VLOOKUP(Assumptions!AA$2,TIAM15_assumptions!$Y$3:$Z$87,2,FALSE),TIAM15_assumptions!$H$2:$V$2,0))</f>
        <v>0.07</v>
      </c>
      <c r="AB62" s="57">
        <f ca="1">OFFSET(TIAM15_assumptions!$G62,0,MATCH(VLOOKUP(Assumptions!AB$2,TIAM15_assumptions!$Y$3:$Z$87,2,FALSE),TIAM15_assumptions!$H$2:$V$2,0))</f>
        <v>0.1</v>
      </c>
      <c r="AC62" s="57">
        <f ca="1">OFFSET(TIAM15_assumptions!$G62,0,MATCH(VLOOKUP(Assumptions!AC$2,TIAM15_assumptions!$Y$3:$Z$87,2,FALSE),TIAM15_assumptions!$H$2:$V$2,0))</f>
        <v>0.0244064218226165</v>
      </c>
      <c r="AD62" s="57">
        <f ca="1">OFFSET(TIAM15_assumptions!$G62,0,MATCH(VLOOKUP(Assumptions!AD$2,TIAM15_assumptions!$Y$3:$Z$87,2,FALSE),TIAM15_assumptions!$H$2:$V$2,0))</f>
        <v>0.2</v>
      </c>
      <c r="AE62" s="57">
        <f ca="1">OFFSET(TIAM15_assumptions!$G62,0,MATCH(VLOOKUP(Assumptions!AE$2,TIAM15_assumptions!$Y$3:$Z$87,2,FALSE),TIAM15_assumptions!$H$2:$V$2,0))</f>
        <v>0.2</v>
      </c>
      <c r="AF62" s="57">
        <f ca="1">OFFSET(TIAM15_assumptions!$G62,0,MATCH(VLOOKUP(Assumptions!AF$2,TIAM15_assumptions!$Y$3:$Z$87,2,FALSE),TIAM15_assumptions!$H$2:$V$2,0))</f>
        <v>0.08</v>
      </c>
      <c r="AG62" s="57">
        <f ca="1">OFFSET(TIAM15_assumptions!$G62,0,MATCH(VLOOKUP(Assumptions!AG$2,TIAM15_assumptions!$Y$3:$Z$87,2,FALSE),TIAM15_assumptions!$H$2:$V$2,0))</f>
        <v>0.05</v>
      </c>
      <c r="AH62" s="57">
        <f ca="1">OFFSET(TIAM15_assumptions!$G62,0,MATCH(VLOOKUP(Assumptions!AH$2,TIAM15_assumptions!$Y$3:$Z$87,2,FALSE),TIAM15_assumptions!$H$2:$V$2,0))</f>
        <v>0.1</v>
      </c>
      <c r="AI62" s="57">
        <f ca="1">OFFSET(TIAM15_assumptions!$G62,0,MATCH(VLOOKUP(Assumptions!AI$2,TIAM15_assumptions!$Y$3:$Z$87,2,FALSE),TIAM15_assumptions!$H$2:$V$2,0))</f>
        <v>0.1</v>
      </c>
      <c r="AJ62" s="57">
        <f ca="1">OFFSET(TIAM15_assumptions!$G62,0,MATCH(VLOOKUP(Assumptions!AJ$2,TIAM15_assumptions!$Y$3:$Z$87,2,FALSE),TIAM15_assumptions!$H$2:$V$2,0))</f>
        <v>0.2</v>
      </c>
      <c r="AK62" s="57">
        <f ca="1">OFFSET(TIAM15_assumptions!$G62,0,MATCH(VLOOKUP(Assumptions!AK$2,TIAM15_assumptions!$Y$3:$Z$87,2,FALSE),TIAM15_assumptions!$H$2:$V$2,0))</f>
        <v>0.2</v>
      </c>
      <c r="AL62" s="57">
        <f ca="1">OFFSET(TIAM15_assumptions!$G62,0,MATCH(VLOOKUP(Assumptions!AL$2,TIAM15_assumptions!$Y$3:$Z$87,2,FALSE),TIAM15_assumptions!$H$2:$V$2,0))</f>
        <v>0.2</v>
      </c>
      <c r="AM62" s="57">
        <f ca="1">OFFSET(TIAM15_assumptions!$G62,0,MATCH(VLOOKUP(Assumptions!AM$2,TIAM15_assumptions!$Y$3:$Z$87,2,FALSE),TIAM15_assumptions!$H$2:$V$2,0))</f>
        <v>0.1</v>
      </c>
      <c r="AN62" s="57">
        <f ca="1">OFFSET(TIAM15_assumptions!$G62,0,MATCH(VLOOKUP(Assumptions!AN$2,TIAM15_assumptions!$Y$3:$Z$87,2,FALSE),TIAM15_assumptions!$H$2:$V$2,0))</f>
        <v>0.2</v>
      </c>
      <c r="AO62" s="57">
        <f ca="1">OFFSET(TIAM15_assumptions!$G62,0,MATCH(VLOOKUP(Assumptions!AO$2,TIAM15_assumptions!$Y$3:$Z$87,2,FALSE),TIAM15_assumptions!$H$2:$V$2,0))</f>
        <v>0.05</v>
      </c>
      <c r="AP62" s="57">
        <f ca="1">OFFSET(TIAM15_assumptions!$G62,0,MATCH(VLOOKUP(Assumptions!AP$2,TIAM15_assumptions!$Y$3:$Z$87,2,FALSE),TIAM15_assumptions!$H$2:$V$2,0))</f>
        <v>0.2</v>
      </c>
      <c r="AQ62" s="57">
        <f ca="1">OFFSET(TIAM15_assumptions!$G62,0,MATCH(VLOOKUP(Assumptions!AQ$2,TIAM15_assumptions!$Y$3:$Z$87,2,FALSE),TIAM15_assumptions!$H$2:$V$2,0))</f>
        <v>0.0244064218226165</v>
      </c>
      <c r="AR62" s="57">
        <f ca="1">OFFSET(TIAM15_assumptions!$G62,0,MATCH(VLOOKUP(Assumptions!AR$2,TIAM15_assumptions!$Y$3:$Z$87,2,FALSE),TIAM15_assumptions!$H$2:$V$2,0))</f>
        <v>0.0244064218226165</v>
      </c>
      <c r="AS62" s="57">
        <f ca="1">OFFSET(TIAM15_assumptions!$G62,0,MATCH(VLOOKUP(Assumptions!AS$2,TIAM15_assumptions!$Y$3:$Z$87,2,FALSE),TIAM15_assumptions!$H$2:$V$2,0))</f>
        <v>0.0244064218226165</v>
      </c>
      <c r="AT62" s="57">
        <f ca="1">OFFSET(TIAM15_assumptions!$G62,0,MATCH(VLOOKUP(Assumptions!AT$2,TIAM15_assumptions!$Y$3:$Z$87,2,FALSE),TIAM15_assumptions!$H$2:$V$2,0))</f>
        <v>0.0244064218226165</v>
      </c>
      <c r="AU62" s="57">
        <f ca="1">OFFSET(TIAM15_assumptions!$G62,0,MATCH(VLOOKUP(Assumptions!AU$2,TIAM15_assumptions!$Y$3:$Z$87,2,FALSE),TIAM15_assumptions!$H$2:$V$2,0))</f>
        <v>0.0244064218226165</v>
      </c>
      <c r="AV62" s="57">
        <f ca="1">OFFSET(TIAM15_assumptions!$G62,0,MATCH(VLOOKUP(Assumptions!AV$2,TIAM15_assumptions!$Y$3:$Z$87,2,FALSE),TIAM15_assumptions!$H$2:$V$2,0))</f>
        <v>0.0244064218226165</v>
      </c>
      <c r="AW62" s="57">
        <f ca="1">OFFSET(TIAM15_assumptions!$G62,0,MATCH(VLOOKUP(Assumptions!AW$2,TIAM15_assumptions!$Y$3:$Z$87,2,FALSE),TIAM15_assumptions!$H$2:$V$2,0))</f>
        <v>0.0244064218226165</v>
      </c>
      <c r="AX62" s="57">
        <f ca="1">OFFSET(TIAM15_assumptions!$G62,0,MATCH(VLOOKUP(Assumptions!AX$2,TIAM15_assumptions!$Y$3:$Z$87,2,FALSE),TIAM15_assumptions!$H$2:$V$2,0))</f>
        <v>0.0244064218226165</v>
      </c>
      <c r="AY62" s="57">
        <f ca="1">OFFSET(TIAM15_assumptions!$G62,0,MATCH(VLOOKUP(Assumptions!AY$2,TIAM15_assumptions!$Y$3:$Z$87,2,FALSE),TIAM15_assumptions!$H$2:$V$2,0))</f>
        <v>0.0244064218226165</v>
      </c>
      <c r="AZ62" s="57">
        <f ca="1">OFFSET(TIAM15_assumptions!$G62,0,MATCH(VLOOKUP(Assumptions!AZ$2,TIAM15_assumptions!$Y$3:$Z$87,2,FALSE),TIAM15_assumptions!$H$2:$V$2,0))</f>
        <v>0.0244064218226165</v>
      </c>
      <c r="BA62" s="57">
        <f ca="1">OFFSET(TIAM15_assumptions!$G62,0,MATCH(VLOOKUP(Assumptions!BA$2,TIAM15_assumptions!$Y$3:$Z$87,2,FALSE),TIAM15_assumptions!$H$2:$V$2,0))</f>
        <v>0.0244064218226165</v>
      </c>
      <c r="BD62" s="40">
        <f ca="1">IFERROR(SUMIFS('TRA balance'!E$5:E$40,'TRA balance'!$C$5:$C$40,Assumptions!$C62,'TRA balance'!$D$5:$D$40,Assumptions!$B62)*CY62*H62,"")</f>
        <v>0</v>
      </c>
      <c r="BE62" s="40">
        <f ca="1">IFERROR(SUMIFS('TRA balance'!F$5:F$40,'TRA balance'!$C$5:$C$40,Assumptions!$C62,'TRA balance'!$D$5:$D$40,Assumptions!$B62)*CZ62*I62,"")</f>
        <v>0</v>
      </c>
      <c r="BF62" s="40">
        <f ca="1">IFERROR(SUMIFS('TRA balance'!G$5:G$40,'TRA balance'!$C$5:$C$40,Assumptions!$C62,'TRA balance'!$D$5:$D$40,Assumptions!$B62)*DA62*J62,"")</f>
        <v>0</v>
      </c>
      <c r="BG62" s="40">
        <f ca="1">IFERROR(SUMIFS('TRA balance'!H$5:H$40,'TRA balance'!$C$5:$C$40,Assumptions!$C62,'TRA balance'!$D$5:$D$40,Assumptions!$B62)*DB62*K62,"")</f>
        <v>0</v>
      </c>
      <c r="BH62" s="40">
        <f ca="1">IFERROR(SUMIFS('TRA balance'!I$5:I$40,'TRA balance'!$C$5:$C$40,Assumptions!$C62,'TRA balance'!$D$5:$D$40,Assumptions!$B62)*DC62*L62,"")</f>
        <v>0</v>
      </c>
      <c r="BI62" s="40">
        <f ca="1">IFERROR(SUMIFS('TRA balance'!J$5:J$40,'TRA balance'!$C$5:$C$40,Assumptions!$C62,'TRA balance'!$D$5:$D$40,Assumptions!$B62)*DD62*M62,"")</f>
        <v>0</v>
      </c>
      <c r="BJ62" s="40">
        <f ca="1">IFERROR(SUMIFS('TRA balance'!K$5:K$40,'TRA balance'!$C$5:$C$40,Assumptions!$C62,'TRA balance'!$D$5:$D$40,Assumptions!$B62)*DE62*N62,"")</f>
        <v>0</v>
      </c>
      <c r="BK62" s="40">
        <f ca="1">IFERROR(SUMIFS('TRA balance'!L$5:L$40,'TRA balance'!$C$5:$C$40,Assumptions!$C62,'TRA balance'!$D$5:$D$40,Assumptions!$B62)*DF62*O62,"")</f>
        <v>0</v>
      </c>
      <c r="BL62" s="40">
        <f ca="1">IFERROR(SUMIFS('TRA balance'!M$5:M$40,'TRA balance'!$C$5:$C$40,Assumptions!$C62,'TRA balance'!$D$5:$D$40,Assumptions!$B62)*DG62*P62,"")</f>
        <v>0</v>
      </c>
      <c r="BM62" s="40">
        <f ca="1">IFERROR(SUMIFS('TRA balance'!N$5:N$40,'TRA balance'!$C$5:$C$40,Assumptions!$C62,'TRA balance'!$D$5:$D$40,Assumptions!$B62)*DH62*Q62,"")</f>
        <v>0</v>
      </c>
      <c r="BN62" s="40">
        <f ca="1">IFERROR(SUMIFS('TRA balance'!O$5:O$40,'TRA balance'!$C$5:$C$40,Assumptions!$C62,'TRA balance'!$D$5:$D$40,Assumptions!$B62)*DI62*R62,"")</f>
        <v>0</v>
      </c>
      <c r="BO62" s="40">
        <f ca="1">IFERROR(SUMIFS('TRA balance'!P$5:P$40,'TRA balance'!$C$5:$C$40,Assumptions!$C62,'TRA balance'!$D$5:$D$40,Assumptions!$B62)*DJ62*S62,"")</f>
        <v>0</v>
      </c>
      <c r="BP62" s="40">
        <f ca="1">IFERROR(SUMIFS('TRA balance'!Q$5:Q$40,'TRA balance'!$C$5:$C$40,Assumptions!$C62,'TRA balance'!$D$5:$D$40,Assumptions!$B62)*DK62*T62,"")</f>
        <v>0</v>
      </c>
      <c r="BQ62" s="40">
        <f ca="1">IFERROR(SUMIFS('TRA balance'!R$5:R$40,'TRA balance'!$C$5:$C$40,Assumptions!$C62,'TRA balance'!$D$5:$D$40,Assumptions!$B62)*DL62*U62,"")</f>
        <v>0</v>
      </c>
      <c r="BR62" s="40">
        <f ca="1">IFERROR(SUMIFS('TRA balance'!S$5:S$40,'TRA balance'!$C$5:$C$40,Assumptions!$C62,'TRA balance'!$D$5:$D$40,Assumptions!$B62)*DM62*V62,"")</f>
        <v>0</v>
      </c>
      <c r="BS62" s="40">
        <f ca="1">IFERROR(SUMIFS('TRA balance'!T$5:T$40,'TRA balance'!$C$5:$C$40,Assumptions!$C62,'TRA balance'!$D$5:$D$40,Assumptions!$B62)*DN62*W62,"")</f>
        <v>0</v>
      </c>
      <c r="BT62" s="40">
        <f ca="1">IFERROR(SUMIFS('TRA balance'!U$5:U$40,'TRA balance'!$C$5:$C$40,Assumptions!$C62,'TRA balance'!$D$5:$D$40,Assumptions!$B62)*DO62*X62,"")</f>
        <v>0</v>
      </c>
      <c r="BU62" s="40">
        <f ca="1">IFERROR(SUMIFS('TRA balance'!V$5:V$40,'TRA balance'!$C$5:$C$40,Assumptions!$C62,'TRA balance'!$D$5:$D$40,Assumptions!$B62)*DP62*Y62,"")</f>
        <v>0</v>
      </c>
      <c r="BV62" s="40">
        <f ca="1">IFERROR(SUMIFS('TRA balance'!W$5:W$40,'TRA balance'!$C$5:$C$40,Assumptions!$C62,'TRA balance'!$D$5:$D$40,Assumptions!$B62)*DQ62*Z62,"")</f>
        <v>0</v>
      </c>
      <c r="BW62" s="40">
        <f ca="1">IFERROR(SUMIFS('TRA balance'!X$5:X$40,'TRA balance'!$C$5:$C$40,Assumptions!$C62,'TRA balance'!$D$5:$D$40,Assumptions!$B62)*DR62*AA62,"")</f>
        <v>0</v>
      </c>
      <c r="BX62" s="40">
        <f ca="1">IFERROR(SUMIFS('TRA balance'!Y$5:Y$40,'TRA balance'!$C$5:$C$40,Assumptions!$C62,'TRA balance'!$D$5:$D$40,Assumptions!$B62)*DS62*AB62,"")</f>
        <v>0</v>
      </c>
      <c r="BY62" s="40">
        <f ca="1">IFERROR(SUMIFS('TRA balance'!Z$5:Z$40,'TRA balance'!$C$5:$C$40,Assumptions!$C62,'TRA balance'!$D$5:$D$40,Assumptions!$B62)*DT62*AC62,"")</f>
        <v>0</v>
      </c>
      <c r="BZ62" s="40">
        <f ca="1">IFERROR(SUMIFS('TRA balance'!AA$5:AA$40,'TRA balance'!$C$5:$C$40,Assumptions!$C62,'TRA balance'!$D$5:$D$40,Assumptions!$B62)*DU62*AD62,"")</f>
        <v>0</v>
      </c>
      <c r="CA62" s="40">
        <f ca="1">IFERROR(SUMIFS('TRA balance'!AB$5:AB$40,'TRA balance'!$C$5:$C$40,Assumptions!$C62,'TRA balance'!$D$5:$D$40,Assumptions!$B62)*DV62*AE62,"")</f>
        <v>0</v>
      </c>
      <c r="CB62" s="40">
        <f ca="1">IFERROR(SUMIFS('TRA balance'!AC$5:AC$40,'TRA balance'!$C$5:$C$40,Assumptions!$C62,'TRA balance'!$D$5:$D$40,Assumptions!$B62)*DW62*AF62,"")</f>
        <v>0</v>
      </c>
      <c r="CC62" s="40">
        <f ca="1">IFERROR(SUMIFS('TRA balance'!AD$5:AD$40,'TRA balance'!$C$5:$C$40,Assumptions!$C62,'TRA balance'!$D$5:$D$40,Assumptions!$B62)*DX62*AG62,"")</f>
        <v>0</v>
      </c>
      <c r="CD62" s="40">
        <f ca="1">IFERROR(SUMIFS('TRA balance'!AE$5:AE$40,'TRA balance'!$C$5:$C$40,Assumptions!$C62,'TRA balance'!$D$5:$D$40,Assumptions!$B62)*DY62*AH62,"")</f>
        <v>0</v>
      </c>
      <c r="CE62" s="40">
        <f ca="1">IFERROR(SUMIFS('TRA balance'!AF$5:AF$40,'TRA balance'!$C$5:$C$40,Assumptions!$C62,'TRA balance'!$D$5:$D$40,Assumptions!$B62)*DZ62*AI62,"")</f>
        <v>0</v>
      </c>
      <c r="CF62" s="40">
        <f ca="1">IFERROR(SUMIFS('TRA balance'!AG$5:AG$40,'TRA balance'!$C$5:$C$40,Assumptions!$C62,'TRA balance'!$D$5:$D$40,Assumptions!$B62)*EA62*AJ62,"")</f>
        <v>0</v>
      </c>
      <c r="CG62" s="40">
        <f ca="1">IFERROR(SUMIFS('TRA balance'!AH$5:AH$40,'TRA balance'!$C$5:$C$40,Assumptions!$C62,'TRA balance'!$D$5:$D$40,Assumptions!$B62)*EB62*AK62,"")</f>
        <v>0</v>
      </c>
      <c r="CH62" s="40">
        <f ca="1">IFERROR(SUMIFS('TRA balance'!AI$5:AI$40,'TRA balance'!$C$5:$C$40,Assumptions!$C62,'TRA balance'!$D$5:$D$40,Assumptions!$B62)*EC62*AL62,"")</f>
        <v>0</v>
      </c>
      <c r="CI62" s="40">
        <f ca="1">IFERROR(SUMIFS('TRA balance'!AJ$5:AJ$40,'TRA balance'!$C$5:$C$40,Assumptions!$C62,'TRA balance'!$D$5:$D$40,Assumptions!$B62)*ED62*AM62,"")</f>
        <v>0</v>
      </c>
      <c r="CJ62" s="40">
        <f ca="1">IFERROR(SUMIFS('TRA balance'!AK$5:AK$40,'TRA balance'!$C$5:$C$40,Assumptions!$C62,'TRA balance'!$D$5:$D$40,Assumptions!$B62)*EE62*AN62,"")</f>
        <v>0</v>
      </c>
      <c r="CK62" s="40">
        <f ca="1">IFERROR(SUMIFS('TRA balance'!AL$5:AL$40,'TRA balance'!$C$5:$C$40,Assumptions!$C62,'TRA balance'!$D$5:$D$40,Assumptions!$B62)*EF62*AO62,"")</f>
        <v>0</v>
      </c>
      <c r="CL62" s="40">
        <f ca="1">IFERROR(SUMIFS('TRA balance'!AM$5:AM$40,'TRA balance'!$C$5:$C$40,Assumptions!$C62,'TRA balance'!$D$5:$D$40,Assumptions!$B62)*EG62*AP62,"")</f>
        <v>0</v>
      </c>
      <c r="CM62" s="40">
        <f ca="1">IFERROR(SUMIFS('TRA balance'!AN$5:AN$40,'TRA balance'!$C$5:$C$40,Assumptions!$C62,'TRA balance'!$D$5:$D$40,Assumptions!$B62)*EH62*AQ62,"")</f>
        <v>0</v>
      </c>
      <c r="CN62" s="40">
        <f ca="1">IFERROR(SUMIFS('TRA balance'!AO$5:AO$40,'TRA balance'!$C$5:$C$40,Assumptions!$C62,'TRA balance'!$D$5:$D$40,Assumptions!$B62)*EI62*AR62,"")</f>
        <v>0</v>
      </c>
      <c r="CO62" s="40">
        <f ca="1">IFERROR(SUMIFS('TRA balance'!AP$5:AP$40,'TRA balance'!$C$5:$C$40,Assumptions!$C62,'TRA balance'!$D$5:$D$40,Assumptions!$B62)*EJ62*AS62,"")</f>
        <v>0</v>
      </c>
      <c r="CP62" s="40">
        <f ca="1">IFERROR(SUMIFS('TRA balance'!AQ$5:AQ$40,'TRA balance'!$C$5:$C$40,Assumptions!$C62,'TRA balance'!$D$5:$D$40,Assumptions!$B62)*EK62*AT62,"")</f>
        <v>0</v>
      </c>
      <c r="CQ62" s="40">
        <f ca="1">IFERROR(SUMIFS('TRA balance'!AR$5:AR$40,'TRA balance'!$C$5:$C$40,Assumptions!$C62,'TRA balance'!$D$5:$D$40,Assumptions!$B62)*EL62*AU62,"")</f>
        <v>0</v>
      </c>
      <c r="CR62" s="40">
        <f ca="1">IFERROR(SUMIFS('TRA balance'!AS$5:AS$40,'TRA balance'!$C$5:$C$40,Assumptions!$C62,'TRA balance'!$D$5:$D$40,Assumptions!$B62)*EM62*AV62,"")</f>
        <v>0</v>
      </c>
      <c r="CS62" s="40">
        <f ca="1">IFERROR(SUMIFS('TRA balance'!AT$5:AT$40,'TRA balance'!$C$5:$C$40,Assumptions!$C62,'TRA balance'!$D$5:$D$40,Assumptions!$B62)*EN62*AW62,"")</f>
        <v>0</v>
      </c>
      <c r="CT62" s="40">
        <f ca="1">IFERROR(SUMIFS('TRA balance'!AU$5:AU$40,'TRA balance'!$C$5:$C$40,Assumptions!$C62,'TRA balance'!$D$5:$D$40,Assumptions!$B62)*EO62*AX62,"")</f>
        <v>0</v>
      </c>
      <c r="CU62" s="40">
        <f ca="1">IFERROR(SUMIFS('TRA balance'!AV$5:AV$40,'TRA balance'!$C$5:$C$40,Assumptions!$C62,'TRA balance'!$D$5:$D$40,Assumptions!$B62)*EP62*AY62,"")</f>
        <v>0</v>
      </c>
      <c r="CV62" s="40">
        <f ca="1">IFERROR(SUMIFS('TRA balance'!AW$5:AW$40,'TRA balance'!$C$5:$C$40,Assumptions!$C62,'TRA balance'!$D$5:$D$40,Assumptions!$B62)*EQ62*AZ62,"")</f>
        <v>0</v>
      </c>
      <c r="CW62" s="40">
        <f ca="1">IFERROR(SUMIFS('TRA balance'!AX$5:AX$40,'TRA balance'!$C$5:$C$40,Assumptions!$C62,'TRA balance'!$D$5:$D$40,Assumptions!$B62)*ER62*BA62,"")</f>
        <v>0</v>
      </c>
      <c r="CY62" s="39">
        <f ca="1" t="shared" si="66"/>
        <v>1</v>
      </c>
      <c r="CZ62" s="39">
        <f ca="1" t="shared" si="3"/>
        <v>1</v>
      </c>
      <c r="DA62" s="39">
        <f ca="1" t="shared" si="4"/>
        <v>1</v>
      </c>
      <c r="DB62" s="39">
        <f ca="1" t="shared" si="5"/>
        <v>1</v>
      </c>
      <c r="DC62" s="39">
        <f ca="1" t="shared" si="6"/>
        <v>1</v>
      </c>
      <c r="DD62" s="39">
        <f ca="1" t="shared" si="7"/>
        <v>1</v>
      </c>
      <c r="DE62" s="39">
        <f ca="1" t="shared" si="8"/>
        <v>1</v>
      </c>
      <c r="DF62" s="39">
        <f ca="1" t="shared" si="9"/>
        <v>1</v>
      </c>
      <c r="DG62" s="39">
        <f ca="1" t="shared" si="10"/>
        <v>1</v>
      </c>
      <c r="DH62" s="39">
        <f ca="1" t="shared" si="11"/>
        <v>1</v>
      </c>
      <c r="DI62" s="39">
        <f ca="1" t="shared" si="12"/>
        <v>1</v>
      </c>
      <c r="DJ62" s="39">
        <f ca="1" t="shared" si="13"/>
        <v>1</v>
      </c>
      <c r="DK62" s="39">
        <f ca="1" t="shared" si="14"/>
        <v>1</v>
      </c>
      <c r="DL62" s="39">
        <f ca="1" t="shared" si="15"/>
        <v>1</v>
      </c>
      <c r="DM62" s="39">
        <f ca="1" t="shared" si="16"/>
        <v>1</v>
      </c>
      <c r="DN62" s="39">
        <f ca="1" t="shared" si="17"/>
        <v>1</v>
      </c>
      <c r="DO62" s="39">
        <f ca="1" t="shared" si="18"/>
        <v>1</v>
      </c>
      <c r="DP62" s="39">
        <f ca="1" t="shared" si="19"/>
        <v>1</v>
      </c>
      <c r="DQ62" s="39">
        <f ca="1" t="shared" si="20"/>
        <v>1</v>
      </c>
      <c r="DR62" s="39">
        <f ca="1" t="shared" si="21"/>
        <v>1</v>
      </c>
      <c r="DS62" s="39">
        <f ca="1" t="shared" si="22"/>
        <v>1</v>
      </c>
      <c r="DT62" s="39">
        <f ca="1" t="shared" si="23"/>
        <v>1</v>
      </c>
      <c r="DU62" s="39">
        <f ca="1" t="shared" si="24"/>
        <v>1</v>
      </c>
      <c r="DV62" s="39">
        <f ca="1" t="shared" si="25"/>
        <v>1</v>
      </c>
      <c r="DW62" s="39">
        <f ca="1" t="shared" si="26"/>
        <v>1</v>
      </c>
      <c r="DX62" s="39">
        <f ca="1" t="shared" si="27"/>
        <v>1</v>
      </c>
      <c r="DY62" s="39">
        <f ca="1" t="shared" si="28"/>
        <v>1</v>
      </c>
      <c r="DZ62" s="39">
        <f ca="1" t="shared" si="29"/>
        <v>1</v>
      </c>
      <c r="EA62" s="39">
        <f ca="1" t="shared" si="30"/>
        <v>1</v>
      </c>
      <c r="EB62" s="39">
        <f ca="1" t="shared" si="31"/>
        <v>1</v>
      </c>
      <c r="EC62" s="39">
        <f ca="1" t="shared" si="32"/>
        <v>1</v>
      </c>
      <c r="ED62" s="39">
        <f ca="1" t="shared" si="33"/>
        <v>1</v>
      </c>
      <c r="EE62" s="39">
        <f ca="1" t="shared" si="34"/>
        <v>1</v>
      </c>
      <c r="EF62" s="39">
        <f ca="1" t="shared" si="35"/>
        <v>1</v>
      </c>
      <c r="EG62" s="39">
        <f ca="1" t="shared" si="36"/>
        <v>1</v>
      </c>
      <c r="EH62" s="39">
        <f ca="1" t="shared" si="37"/>
        <v>1</v>
      </c>
      <c r="EI62" s="39">
        <f ca="1" t="shared" si="38"/>
        <v>1</v>
      </c>
      <c r="EJ62" s="39">
        <f ca="1" t="shared" si="39"/>
        <v>1</v>
      </c>
      <c r="EK62" s="39">
        <f ca="1" t="shared" si="40"/>
        <v>1</v>
      </c>
      <c r="EL62" s="39">
        <f ca="1" t="shared" si="41"/>
        <v>1</v>
      </c>
      <c r="EM62" s="39">
        <f ca="1" t="shared" si="42"/>
        <v>1</v>
      </c>
      <c r="EN62" s="39">
        <f ca="1" t="shared" si="43"/>
        <v>1</v>
      </c>
      <c r="EO62" s="39">
        <f ca="1" t="shared" si="44"/>
        <v>1</v>
      </c>
      <c r="EP62" s="39">
        <f ca="1" t="shared" si="45"/>
        <v>1</v>
      </c>
      <c r="EQ62" s="39">
        <f ca="1" t="shared" si="46"/>
        <v>1</v>
      </c>
      <c r="ER62" s="39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4" t="str">
        <f t="shared" si="48"/>
        <v>TR</v>
      </c>
      <c r="D63" s="55" t="s">
        <v>200</v>
      </c>
      <c r="E63" s="66" t="s">
        <v>202</v>
      </c>
      <c r="F63" s="56" t="str">
        <f>F62</f>
        <v>Bio Diesel</v>
      </c>
      <c r="G63" s="54" t="s">
        <v>203</v>
      </c>
      <c r="H63" s="57">
        <f ca="1">OFFSET(TIAM15_assumptions!$G63,0,MATCH(VLOOKUP(Assumptions!H$2,TIAM15_assumptions!$Y$3:$Z$87,2,FALSE),TIAM15_assumptions!$H$2:$V$2,0))</f>
        <v>0.5</v>
      </c>
      <c r="I63" s="57">
        <f ca="1">OFFSET(TIAM15_assumptions!$G63,0,MATCH(VLOOKUP(Assumptions!I$2,TIAM15_assumptions!$Y$3:$Z$87,2,FALSE),TIAM15_assumptions!$H$2:$V$2,0))</f>
        <v>0.5</v>
      </c>
      <c r="J63" s="57">
        <f ca="1">OFFSET(TIAM15_assumptions!$G63,0,MATCH(VLOOKUP(Assumptions!J$2,TIAM15_assumptions!$Y$3:$Z$87,2,FALSE),TIAM15_assumptions!$H$2:$V$2,0))</f>
        <v>0.3</v>
      </c>
      <c r="K63" s="57">
        <f ca="1">OFFSET(TIAM15_assumptions!$G63,0,MATCH(VLOOKUP(Assumptions!K$2,TIAM15_assumptions!$Y$3:$Z$87,2,FALSE),TIAM15_assumptions!$H$2:$V$2,0))</f>
        <v>0.8</v>
      </c>
      <c r="L63" s="57">
        <f ca="1">OFFSET(TIAM15_assumptions!$G63,0,MATCH(VLOOKUP(Assumptions!L$2,TIAM15_assumptions!$Y$3:$Z$87,2,FALSE),TIAM15_assumptions!$H$2:$V$2,0))</f>
        <v>0.51</v>
      </c>
      <c r="M63" s="57">
        <f ca="1">OFFSET(TIAM15_assumptions!$G63,0,MATCH(VLOOKUP(Assumptions!M$2,TIAM15_assumptions!$Y$3:$Z$87,2,FALSE),TIAM15_assumptions!$H$2:$V$2,0))</f>
        <v>0.8</v>
      </c>
      <c r="N63" s="57">
        <f ca="1">OFFSET(TIAM15_assumptions!$G63,0,MATCH(VLOOKUP(Assumptions!N$2,TIAM15_assumptions!$Y$3:$Z$87,2,FALSE),TIAM15_assumptions!$H$2:$V$2,0))</f>
        <v>0.3</v>
      </c>
      <c r="O63" s="57">
        <f ca="1">OFFSET(TIAM15_assumptions!$G63,0,MATCH(VLOOKUP(Assumptions!O$2,TIAM15_assumptions!$Y$3:$Z$87,2,FALSE),TIAM15_assumptions!$H$2:$V$2,0))</f>
        <v>0.2</v>
      </c>
      <c r="P63" s="57">
        <f ca="1">OFFSET(TIAM15_assumptions!$G63,0,MATCH(VLOOKUP(Assumptions!P$2,TIAM15_assumptions!$Y$3:$Z$87,2,FALSE),TIAM15_assumptions!$H$2:$V$2,0))</f>
        <v>0.51</v>
      </c>
      <c r="Q63" s="57">
        <f ca="1">OFFSET(TIAM15_assumptions!$G63,0,MATCH(VLOOKUP(Assumptions!Q$2,TIAM15_assumptions!$Y$3:$Z$87,2,FALSE),TIAM15_assumptions!$H$2:$V$2,0))</f>
        <v>0.51</v>
      </c>
      <c r="R63" s="57">
        <f ca="1">OFFSET(TIAM15_assumptions!$G63,0,MATCH(VLOOKUP(Assumptions!R$2,TIAM15_assumptions!$Y$3:$Z$87,2,FALSE),TIAM15_assumptions!$H$2:$V$2,0))</f>
        <v>0.8</v>
      </c>
      <c r="S63" s="57">
        <f ca="1">OFFSET(TIAM15_assumptions!$G63,0,MATCH(VLOOKUP(Assumptions!S$2,TIAM15_assumptions!$Y$3:$Z$87,2,FALSE),TIAM15_assumptions!$H$2:$V$2,0))</f>
        <v>0.8</v>
      </c>
      <c r="T63" s="57">
        <f ca="1">OFFSET(TIAM15_assumptions!$G63,0,MATCH(VLOOKUP(Assumptions!T$2,TIAM15_assumptions!$Y$3:$Z$87,2,FALSE),TIAM15_assumptions!$H$2:$V$2,0))</f>
        <v>0.8</v>
      </c>
      <c r="U63" s="57">
        <f ca="1">OFFSET(TIAM15_assumptions!$G63,0,MATCH(VLOOKUP(Assumptions!U$2,TIAM15_assumptions!$Y$3:$Z$87,2,FALSE),TIAM15_assumptions!$H$2:$V$2,0))</f>
        <v>0.51</v>
      </c>
      <c r="V63" s="57">
        <f ca="1">OFFSET(TIAM15_assumptions!$G63,0,MATCH(VLOOKUP(Assumptions!V$2,TIAM15_assumptions!$Y$3:$Z$87,2,FALSE),TIAM15_assumptions!$H$2:$V$2,0))</f>
        <v>0.8</v>
      </c>
      <c r="W63" s="57">
        <f ca="1">OFFSET(TIAM15_assumptions!$G63,0,MATCH(VLOOKUP(Assumptions!W$2,TIAM15_assumptions!$Y$3:$Z$87,2,FALSE),TIAM15_assumptions!$H$2:$V$2,0))</f>
        <v>0.4</v>
      </c>
      <c r="X63" s="57">
        <f ca="1">OFFSET(TIAM15_assumptions!$G63,0,MATCH(VLOOKUP(Assumptions!X$2,TIAM15_assumptions!$Y$3:$Z$87,2,FALSE),TIAM15_assumptions!$H$2:$V$2,0))</f>
        <v>0.8</v>
      </c>
      <c r="Y63" s="57">
        <f ca="1">OFFSET(TIAM15_assumptions!$G63,0,MATCH(VLOOKUP(Assumptions!Y$2,TIAM15_assumptions!$Y$3:$Z$87,2,FALSE),TIAM15_assumptions!$H$2:$V$2,0))</f>
        <v>0.8</v>
      </c>
      <c r="Z63" s="57">
        <f ca="1">OFFSET(TIAM15_assumptions!$G63,0,MATCH(VLOOKUP(Assumptions!Z$2,TIAM15_assumptions!$Y$3:$Z$87,2,FALSE),TIAM15_assumptions!$H$2:$V$2,0))</f>
        <v>0.46</v>
      </c>
      <c r="AA63" s="57">
        <f ca="1">OFFSET(TIAM15_assumptions!$G63,0,MATCH(VLOOKUP(Assumptions!AA$2,TIAM15_assumptions!$Y$3:$Z$87,2,FALSE),TIAM15_assumptions!$H$2:$V$2,0))</f>
        <v>0.3</v>
      </c>
      <c r="AB63" s="57">
        <f ca="1">OFFSET(TIAM15_assumptions!$G63,0,MATCH(VLOOKUP(Assumptions!AB$2,TIAM15_assumptions!$Y$3:$Z$87,2,FALSE),TIAM15_assumptions!$H$2:$V$2,0))</f>
        <v>0.2</v>
      </c>
      <c r="AC63" s="57">
        <f ca="1">OFFSET(TIAM15_assumptions!$G63,0,MATCH(VLOOKUP(Assumptions!AC$2,TIAM15_assumptions!$Y$3:$Z$87,2,FALSE),TIAM15_assumptions!$H$2:$V$2,0))</f>
        <v>0.391737102078734</v>
      </c>
      <c r="AD63" s="57">
        <f ca="1">OFFSET(TIAM15_assumptions!$G63,0,MATCH(VLOOKUP(Assumptions!AD$2,TIAM15_assumptions!$Y$3:$Z$87,2,FALSE),TIAM15_assumptions!$H$2:$V$2,0))</f>
        <v>0.8</v>
      </c>
      <c r="AE63" s="57">
        <f ca="1">OFFSET(TIAM15_assumptions!$G63,0,MATCH(VLOOKUP(Assumptions!AE$2,TIAM15_assumptions!$Y$3:$Z$87,2,FALSE),TIAM15_assumptions!$H$2:$V$2,0))</f>
        <v>0.51</v>
      </c>
      <c r="AF63" s="57">
        <f ca="1">OFFSET(TIAM15_assumptions!$G63,0,MATCH(VLOOKUP(Assumptions!AF$2,TIAM15_assumptions!$Y$3:$Z$87,2,FALSE),TIAM15_assumptions!$H$2:$V$2,0))</f>
        <v>0.34</v>
      </c>
      <c r="AG63" s="57">
        <f ca="1">OFFSET(TIAM15_assumptions!$G63,0,MATCH(VLOOKUP(Assumptions!AG$2,TIAM15_assumptions!$Y$3:$Z$87,2,FALSE),TIAM15_assumptions!$H$2:$V$2,0))</f>
        <v>0.51</v>
      </c>
      <c r="AH63" s="57">
        <f ca="1">OFFSET(TIAM15_assumptions!$G63,0,MATCH(VLOOKUP(Assumptions!AH$2,TIAM15_assumptions!$Y$3:$Z$87,2,FALSE),TIAM15_assumptions!$H$2:$V$2,0))</f>
        <v>0.2</v>
      </c>
      <c r="AI63" s="57">
        <f ca="1">OFFSET(TIAM15_assumptions!$G63,0,MATCH(VLOOKUP(Assumptions!AI$2,TIAM15_assumptions!$Y$3:$Z$87,2,FALSE),TIAM15_assumptions!$H$2:$V$2,0))</f>
        <v>0.5</v>
      </c>
      <c r="AJ63" s="57">
        <f ca="1">OFFSET(TIAM15_assumptions!$G63,0,MATCH(VLOOKUP(Assumptions!AJ$2,TIAM15_assumptions!$Y$3:$Z$87,2,FALSE),TIAM15_assumptions!$H$2:$V$2,0))</f>
        <v>0.8</v>
      </c>
      <c r="AK63" s="57">
        <f ca="1">OFFSET(TIAM15_assumptions!$G63,0,MATCH(VLOOKUP(Assumptions!AK$2,TIAM15_assumptions!$Y$3:$Z$87,2,FALSE),TIAM15_assumptions!$H$2:$V$2,0))</f>
        <v>0.8</v>
      </c>
      <c r="AL63" s="57">
        <f ca="1">OFFSET(TIAM15_assumptions!$G63,0,MATCH(VLOOKUP(Assumptions!AL$2,TIAM15_assumptions!$Y$3:$Z$87,2,FALSE),TIAM15_assumptions!$H$2:$V$2,0))</f>
        <v>0.8</v>
      </c>
      <c r="AM63" s="57">
        <f ca="1">OFFSET(TIAM15_assumptions!$G63,0,MATCH(VLOOKUP(Assumptions!AM$2,TIAM15_assumptions!$Y$3:$Z$87,2,FALSE),TIAM15_assumptions!$H$2:$V$2,0))</f>
        <v>0.2</v>
      </c>
      <c r="AN63" s="57">
        <f ca="1">OFFSET(TIAM15_assumptions!$G63,0,MATCH(VLOOKUP(Assumptions!AN$2,TIAM15_assumptions!$Y$3:$Z$87,2,FALSE),TIAM15_assumptions!$H$2:$V$2,0))</f>
        <v>0.8</v>
      </c>
      <c r="AO63" s="57">
        <f ca="1">OFFSET(TIAM15_assumptions!$G63,0,MATCH(VLOOKUP(Assumptions!AO$2,TIAM15_assumptions!$Y$3:$Z$87,2,FALSE),TIAM15_assumptions!$H$2:$V$2,0))</f>
        <v>0.51</v>
      </c>
      <c r="AP63" s="57">
        <f ca="1">OFFSET(TIAM15_assumptions!$G63,0,MATCH(VLOOKUP(Assumptions!AP$2,TIAM15_assumptions!$Y$3:$Z$87,2,FALSE),TIAM15_assumptions!$H$2:$V$2,0))</f>
        <v>0.51</v>
      </c>
      <c r="AQ63" s="57">
        <f ca="1">OFFSET(TIAM15_assumptions!$G63,0,MATCH(VLOOKUP(Assumptions!AQ$2,TIAM15_assumptions!$Y$3:$Z$87,2,FALSE),TIAM15_assumptions!$H$2:$V$2,0))</f>
        <v>0.391737102078734</v>
      </c>
      <c r="AR63" s="57">
        <f ca="1">OFFSET(TIAM15_assumptions!$G63,0,MATCH(VLOOKUP(Assumptions!AR$2,TIAM15_assumptions!$Y$3:$Z$87,2,FALSE),TIAM15_assumptions!$H$2:$V$2,0))</f>
        <v>0.391737102078734</v>
      </c>
      <c r="AS63" s="57">
        <f ca="1">OFFSET(TIAM15_assumptions!$G63,0,MATCH(VLOOKUP(Assumptions!AS$2,TIAM15_assumptions!$Y$3:$Z$87,2,FALSE),TIAM15_assumptions!$H$2:$V$2,0))</f>
        <v>0.391737102078734</v>
      </c>
      <c r="AT63" s="57">
        <f ca="1">OFFSET(TIAM15_assumptions!$G63,0,MATCH(VLOOKUP(Assumptions!AT$2,TIAM15_assumptions!$Y$3:$Z$87,2,FALSE),TIAM15_assumptions!$H$2:$V$2,0))</f>
        <v>0.391737102078734</v>
      </c>
      <c r="AU63" s="57">
        <f ca="1">OFFSET(TIAM15_assumptions!$G63,0,MATCH(VLOOKUP(Assumptions!AU$2,TIAM15_assumptions!$Y$3:$Z$87,2,FALSE),TIAM15_assumptions!$H$2:$V$2,0))</f>
        <v>0.391737102078734</v>
      </c>
      <c r="AV63" s="57">
        <f ca="1">OFFSET(TIAM15_assumptions!$G63,0,MATCH(VLOOKUP(Assumptions!AV$2,TIAM15_assumptions!$Y$3:$Z$87,2,FALSE),TIAM15_assumptions!$H$2:$V$2,0))</f>
        <v>0.391737102078734</v>
      </c>
      <c r="AW63" s="57">
        <f ca="1">OFFSET(TIAM15_assumptions!$G63,0,MATCH(VLOOKUP(Assumptions!AW$2,TIAM15_assumptions!$Y$3:$Z$87,2,FALSE),TIAM15_assumptions!$H$2:$V$2,0))</f>
        <v>0.391737102078734</v>
      </c>
      <c r="AX63" s="57">
        <f ca="1">OFFSET(TIAM15_assumptions!$G63,0,MATCH(VLOOKUP(Assumptions!AX$2,TIAM15_assumptions!$Y$3:$Z$87,2,FALSE),TIAM15_assumptions!$H$2:$V$2,0))</f>
        <v>0.391737102078734</v>
      </c>
      <c r="AY63" s="57">
        <f ca="1">OFFSET(TIAM15_assumptions!$G63,0,MATCH(VLOOKUP(Assumptions!AY$2,TIAM15_assumptions!$Y$3:$Z$87,2,FALSE),TIAM15_assumptions!$H$2:$V$2,0))</f>
        <v>0.391737102078734</v>
      </c>
      <c r="AZ63" s="57">
        <f ca="1">OFFSET(TIAM15_assumptions!$G63,0,MATCH(VLOOKUP(Assumptions!AZ$2,TIAM15_assumptions!$Y$3:$Z$87,2,FALSE),TIAM15_assumptions!$H$2:$V$2,0))</f>
        <v>0.391737102078734</v>
      </c>
      <c r="BA63" s="57">
        <f ca="1">OFFSET(TIAM15_assumptions!$G63,0,MATCH(VLOOKUP(Assumptions!BA$2,TIAM15_assumptions!$Y$3:$Z$87,2,FALSE),TIAM15_assumptions!$H$2:$V$2,0))</f>
        <v>0.391737102078734</v>
      </c>
      <c r="BD63" s="40">
        <f ca="1">IFERROR(SUMIFS('TRA balance'!E$5:E$40,'TRA balance'!$C$5:$C$40,Assumptions!$C63,'TRA balance'!$D$5:$D$40,Assumptions!$B63)*CY63*H63,"")</f>
        <v>0</v>
      </c>
      <c r="BE63" s="40">
        <f ca="1">IFERROR(SUMIFS('TRA balance'!F$5:F$40,'TRA balance'!$C$5:$C$40,Assumptions!$C63,'TRA balance'!$D$5:$D$40,Assumptions!$B63)*CZ63*I63,"")</f>
        <v>0</v>
      </c>
      <c r="BF63" s="40">
        <f ca="1">IFERROR(SUMIFS('TRA balance'!G$5:G$40,'TRA balance'!$C$5:$C$40,Assumptions!$C63,'TRA balance'!$D$5:$D$40,Assumptions!$B63)*DA63*J63,"")</f>
        <v>0.000220811832</v>
      </c>
      <c r="BG63" s="40">
        <f ca="1">IFERROR(SUMIFS('TRA balance'!H$5:H$40,'TRA balance'!$C$5:$C$40,Assumptions!$C63,'TRA balance'!$D$5:$D$40,Assumptions!$B63)*DB63*K63,"")</f>
        <v>2.851916861952</v>
      </c>
      <c r="BH63" s="40">
        <f ca="1">IFERROR(SUMIFS('TRA balance'!I$5:I$40,'TRA balance'!$C$5:$C$40,Assumptions!$C63,'TRA balance'!$D$5:$D$40,Assumptions!$B63)*DC63*L63,"")</f>
        <v>0.1168751751408</v>
      </c>
      <c r="BI63" s="40">
        <f ca="1">IFERROR(SUMIFS('TRA balance'!J$5:J$40,'TRA balance'!$C$5:$C$40,Assumptions!$C63,'TRA balance'!$D$5:$D$40,Assumptions!$B63)*DD63*M63,"")</f>
        <v>5.908785287616</v>
      </c>
      <c r="BJ63" s="40">
        <f ca="1">IFERROR(SUMIFS('TRA balance'!K$5:K$40,'TRA balance'!$C$5:$C$40,Assumptions!$C63,'TRA balance'!$D$5:$D$40,Assumptions!$B63)*DE63*N63,"")</f>
        <v>13.6716284102328</v>
      </c>
      <c r="BK63" s="40">
        <f ca="1">IFERROR(SUMIFS('TRA balance'!L$5:L$40,'TRA balance'!$C$5:$C$40,Assumptions!$C63,'TRA balance'!$D$5:$D$40,Assumptions!$B63)*DF63*O63,"")</f>
        <v>0.75808001124</v>
      </c>
      <c r="BL63" s="40">
        <f ca="1">IFERROR(SUMIFS('TRA balance'!M$5:M$40,'TRA balance'!$C$5:$C$40,Assumptions!$C63,'TRA balance'!$D$5:$D$40,Assumptions!$B63)*DG63*P63,"")</f>
        <v>0.6510961678464</v>
      </c>
      <c r="BM63" s="40">
        <f ca="1">IFERROR(SUMIFS('TRA balance'!N$5:N$40,'TRA balance'!$C$5:$C$40,Assumptions!$C63,'TRA balance'!$D$5:$D$40,Assumptions!$B63)*DH63*Q63,"")</f>
        <v>1.7064446898816</v>
      </c>
      <c r="BN63" s="40">
        <f ca="1">IFERROR(SUMIFS('TRA balance'!O$5:O$40,'TRA balance'!$C$5:$C$40,Assumptions!$C63,'TRA balance'!$D$5:$D$40,Assumptions!$B63)*DI63*R63,"")</f>
        <v>16.912520989632</v>
      </c>
      <c r="BO63" s="40">
        <f ca="1">IFERROR(SUMIFS('TRA balance'!P$5:P$40,'TRA balance'!$C$5:$C$40,Assumptions!$C63,'TRA balance'!$D$5:$D$40,Assumptions!$B63)*DJ63*S63,"")</f>
        <v>12.655022349888</v>
      </c>
      <c r="BP63" s="40">
        <f ca="1">IFERROR(SUMIFS('TRA balance'!Q$5:Q$40,'TRA balance'!$C$5:$C$40,Assumptions!$C63,'TRA balance'!$D$5:$D$40,Assumptions!$B63)*DK63*T63,"")</f>
        <v>1.146517331328</v>
      </c>
      <c r="BQ63" s="40">
        <f ca="1">IFERROR(SUMIFS('TRA balance'!R$5:R$40,'TRA balance'!$C$5:$C$40,Assumptions!$C63,'TRA balance'!$D$5:$D$40,Assumptions!$B63)*DL63*U63,"")</f>
        <v>2.6429873274504</v>
      </c>
      <c r="BR63" s="40">
        <f ca="1">IFERROR(SUMIFS('TRA balance'!S$5:S$40,'TRA balance'!$C$5:$C$40,Assumptions!$C63,'TRA balance'!$D$5:$D$40,Assumptions!$B63)*DM63*V63,"")</f>
        <v>0.10382929056</v>
      </c>
      <c r="BS63" s="40">
        <f ca="1">IFERROR(SUMIFS('TRA balance'!T$5:T$40,'TRA balance'!$C$5:$C$40,Assumptions!$C63,'TRA balance'!$D$5:$D$40,Assumptions!$B63)*DN63*W63,"")</f>
        <v>0.16369383168</v>
      </c>
      <c r="BT63" s="40">
        <f ca="1">IFERROR(SUMIFS('TRA balance'!U$5:U$40,'TRA balance'!$C$5:$C$40,Assumptions!$C63,'TRA balance'!$D$5:$D$40,Assumptions!$B63)*DO63*X63,"")</f>
        <v>1.08509128128</v>
      </c>
      <c r="BU63" s="40">
        <f ca="1">IFERROR(SUMIFS('TRA balance'!V$5:V$40,'TRA balance'!$C$5:$C$40,Assumptions!$C63,'TRA balance'!$D$5:$D$40,Assumptions!$B63)*DP63*Y63,"")</f>
        <v>8.417485032768</v>
      </c>
      <c r="BV63" s="40">
        <f ca="1">IFERROR(SUMIFS('TRA balance'!W$5:W$40,'TRA balance'!$C$5:$C$40,Assumptions!$C63,'TRA balance'!$D$5:$D$40,Assumptions!$B63)*DQ63*Z63,"")</f>
        <v>0.011942679528</v>
      </c>
      <c r="BW63" s="40">
        <f ca="1">IFERROR(SUMIFS('TRA balance'!X$5:X$40,'TRA balance'!$C$5:$C$40,Assumptions!$C63,'TRA balance'!$D$5:$D$40,Assumptions!$B63)*DR63*AA63,"")</f>
        <v>1.5595340939892</v>
      </c>
      <c r="BX63" s="40">
        <f ca="1">IFERROR(SUMIFS('TRA balance'!Y$5:Y$40,'TRA balance'!$C$5:$C$40,Assumptions!$C63,'TRA balance'!$D$5:$D$40,Assumptions!$B63)*DS63*AB63,"")</f>
        <v>0</v>
      </c>
      <c r="BY63" s="40">
        <f ca="1">IFERROR(SUMIFS('TRA balance'!Z$5:Z$40,'TRA balance'!$C$5:$C$40,Assumptions!$C63,'TRA balance'!$D$5:$D$40,Assumptions!$B63)*DT63*AC63,"")</f>
        <v>1.95271297032913</v>
      </c>
      <c r="BZ63" s="40">
        <f ca="1">IFERROR(SUMIFS('TRA balance'!AA$5:AA$40,'TRA balance'!$C$5:$C$40,Assumptions!$C63,'TRA balance'!$D$5:$D$40,Assumptions!$B63)*DU63*AD63,"")</f>
        <v>2.80680392448</v>
      </c>
      <c r="CA63" s="40">
        <f ca="1">IFERROR(SUMIFS('TRA balance'!AB$5:AB$40,'TRA balance'!$C$5:$C$40,Assumptions!$C63,'TRA balance'!$D$5:$D$40,Assumptions!$B63)*DV63*AE63,"")</f>
        <v>3.5777935650816</v>
      </c>
      <c r="CB63" s="40">
        <f ca="1">IFERROR(SUMIFS('TRA balance'!AC$5:AC$40,'TRA balance'!$C$5:$C$40,Assumptions!$C63,'TRA balance'!$D$5:$D$40,Assumptions!$B63)*DW63*AF63,"")</f>
        <v>7.75375689408768</v>
      </c>
      <c r="CC63" s="40">
        <f ca="1">IFERROR(SUMIFS('TRA balance'!AD$5:AD$40,'TRA balance'!$C$5:$C$40,Assumptions!$C63,'TRA balance'!$D$5:$D$40,Assumptions!$B63)*DX63*AG63,"")</f>
        <v>0.0018360101898</v>
      </c>
      <c r="CD63" s="40">
        <f ca="1">IFERROR(SUMIFS('TRA balance'!AE$5:AE$40,'TRA balance'!$C$5:$C$40,Assumptions!$C63,'TRA balance'!$D$5:$D$40,Assumptions!$B63)*DY63*AH63,"")</f>
        <v>0</v>
      </c>
      <c r="CE63" s="40">
        <f ca="1">IFERROR(SUMIFS('TRA balance'!AF$5:AF$40,'TRA balance'!$C$5:$C$40,Assumptions!$C63,'TRA balance'!$D$5:$D$40,Assumptions!$B63)*DZ63*AI63,"")</f>
        <v>0</v>
      </c>
      <c r="CF63" s="40">
        <f ca="1">IFERROR(SUMIFS('TRA balance'!AG$5:AG$40,'TRA balance'!$C$5:$C$40,Assumptions!$C63,'TRA balance'!$D$5:$D$40,Assumptions!$B63)*EA63*AJ63,"")</f>
        <v>11.773547545536</v>
      </c>
      <c r="CG63" s="40">
        <f ca="1">IFERROR(SUMIFS('TRA balance'!AH$5:AH$40,'TRA balance'!$C$5:$C$40,Assumptions!$C63,'TRA balance'!$D$5:$D$40,Assumptions!$B63)*EB63*AK63,"")</f>
        <v>11.466407916864</v>
      </c>
      <c r="CH63" s="40">
        <f ca="1">IFERROR(SUMIFS('TRA balance'!AI$5:AI$40,'TRA balance'!$C$5:$C$40,Assumptions!$C63,'TRA balance'!$D$5:$D$40,Assumptions!$B63)*EC63*AL63,"")</f>
        <v>1.00371998592</v>
      </c>
      <c r="CI63" s="40">
        <f ca="1">IFERROR(SUMIFS('TRA balance'!AJ$5:AJ$40,'TRA balance'!$C$5:$C$40,Assumptions!$C63,'TRA balance'!$D$5:$D$40,Assumptions!$B63)*ED63*AM63,"")</f>
        <v>0.095590003104</v>
      </c>
      <c r="CJ63" s="40">
        <f ca="1">IFERROR(SUMIFS('TRA balance'!AK$5:AK$40,'TRA balance'!$C$5:$C$40,Assumptions!$C63,'TRA balance'!$D$5:$D$40,Assumptions!$B63)*EE63*AN63,"")</f>
        <v>8.461696300992</v>
      </c>
      <c r="CK63" s="40">
        <f ca="1">IFERROR(SUMIFS('TRA balance'!AL$5:AL$40,'TRA balance'!$C$5:$C$40,Assumptions!$C63,'TRA balance'!$D$5:$D$40,Assumptions!$B63)*EF63*AO63,"")</f>
        <v>0</v>
      </c>
      <c r="CL63" s="40">
        <f ca="1">IFERROR(SUMIFS('TRA balance'!AM$5:AM$40,'TRA balance'!$C$5:$C$40,Assumptions!$C63,'TRA balance'!$D$5:$D$40,Assumptions!$B63)*EG63*AP63,"")</f>
        <v>0.5135964390936</v>
      </c>
      <c r="CM63" s="40">
        <f ca="1">IFERROR(SUMIFS('TRA balance'!AN$5:AN$40,'TRA balance'!$C$5:$C$40,Assumptions!$C63,'TRA balance'!$D$5:$D$40,Assumptions!$B63)*EH63*AQ63,"")</f>
        <v>0</v>
      </c>
      <c r="CN63" s="40">
        <f ca="1">IFERROR(SUMIFS('TRA balance'!AO$5:AO$40,'TRA balance'!$C$5:$C$40,Assumptions!$C63,'TRA balance'!$D$5:$D$40,Assumptions!$B63)*EI63*AR63,"")</f>
        <v>0</v>
      </c>
      <c r="CO63" s="40">
        <f ca="1">IFERROR(SUMIFS('TRA balance'!AP$5:AP$40,'TRA balance'!$C$5:$C$40,Assumptions!$C63,'TRA balance'!$D$5:$D$40,Assumptions!$B63)*EJ63*AS63,"")</f>
        <v>0</v>
      </c>
      <c r="CP63" s="40">
        <f ca="1">IFERROR(SUMIFS('TRA balance'!AQ$5:AQ$40,'TRA balance'!$C$5:$C$40,Assumptions!$C63,'TRA balance'!$D$5:$D$40,Assumptions!$B63)*EK63*AT63,"")</f>
        <v>0</v>
      </c>
      <c r="CQ63" s="40">
        <f ca="1">IFERROR(SUMIFS('TRA balance'!AR$5:AR$40,'TRA balance'!$C$5:$C$40,Assumptions!$C63,'TRA balance'!$D$5:$D$40,Assumptions!$B63)*EL63*AU63,"")</f>
        <v>0</v>
      </c>
      <c r="CR63" s="40">
        <f ca="1">IFERROR(SUMIFS('TRA balance'!AS$5:AS$40,'TRA balance'!$C$5:$C$40,Assumptions!$C63,'TRA balance'!$D$5:$D$40,Assumptions!$B63)*EM63*AV63,"")</f>
        <v>0</v>
      </c>
      <c r="CS63" s="40">
        <f ca="1">IFERROR(SUMIFS('TRA balance'!AT$5:AT$40,'TRA balance'!$C$5:$C$40,Assumptions!$C63,'TRA balance'!$D$5:$D$40,Assumptions!$B63)*EN63*AW63,"")</f>
        <v>0</v>
      </c>
      <c r="CT63" s="40">
        <f ca="1">IFERROR(SUMIFS('TRA balance'!AU$5:AU$40,'TRA balance'!$C$5:$C$40,Assumptions!$C63,'TRA balance'!$D$5:$D$40,Assumptions!$B63)*EO63*AX63,"")</f>
        <v>0</v>
      </c>
      <c r="CU63" s="40">
        <f ca="1">IFERROR(SUMIFS('TRA balance'!AV$5:AV$40,'TRA balance'!$C$5:$C$40,Assumptions!$C63,'TRA balance'!$D$5:$D$40,Assumptions!$B63)*EP63*AY63,"")</f>
        <v>0</v>
      </c>
      <c r="CV63" s="40">
        <f ca="1">IFERROR(SUMIFS('TRA balance'!AW$5:AW$40,'TRA balance'!$C$5:$C$40,Assumptions!$C63,'TRA balance'!$D$5:$D$40,Assumptions!$B63)*EQ63*AZ63,"")</f>
        <v>0</v>
      </c>
      <c r="CW63" s="40">
        <f ca="1">IFERROR(SUMIFS('TRA balance'!AX$5:AX$40,'TRA balance'!$C$5:$C$40,Assumptions!$C63,'TRA balance'!$D$5:$D$40,Assumptions!$B63)*ER63*BA63,"")</f>
        <v>0</v>
      </c>
      <c r="CY63" s="39">
        <f ca="1" t="shared" si="66"/>
        <v>0.1</v>
      </c>
      <c r="CZ63" s="39">
        <f ca="1" t="shared" si="3"/>
        <v>0.1</v>
      </c>
      <c r="DA63" s="39">
        <f ca="1" t="shared" si="4"/>
        <v>0.02</v>
      </c>
      <c r="DB63" s="39">
        <f ca="1" t="shared" si="5"/>
        <v>0.2</v>
      </c>
      <c r="DC63" s="39">
        <f ca="1" t="shared" si="6"/>
        <v>0.05</v>
      </c>
      <c r="DD63" s="39">
        <f ca="1" t="shared" si="7"/>
        <v>0.2</v>
      </c>
      <c r="DE63" s="39">
        <f ca="1" t="shared" si="8"/>
        <v>0.07</v>
      </c>
      <c r="DF63" s="39">
        <f ca="1" t="shared" si="9"/>
        <v>0.1</v>
      </c>
      <c r="DG63" s="39">
        <f ca="1" t="shared" si="10"/>
        <v>0.2</v>
      </c>
      <c r="DH63" s="39">
        <f ca="1" t="shared" si="11"/>
        <v>0.2</v>
      </c>
      <c r="DI63" s="39">
        <f ca="1" t="shared" si="12"/>
        <v>0.2</v>
      </c>
      <c r="DJ63" s="39">
        <f ca="1" t="shared" si="13"/>
        <v>0.2</v>
      </c>
      <c r="DK63" s="39">
        <f ca="1" t="shared" si="14"/>
        <v>0.2</v>
      </c>
      <c r="DL63" s="39">
        <f ca="1" t="shared" si="15"/>
        <v>0.2</v>
      </c>
      <c r="DM63" s="39">
        <f ca="1" t="shared" si="16"/>
        <v>0.2</v>
      </c>
      <c r="DN63" s="39">
        <f ca="1" t="shared" si="17"/>
        <v>0.25</v>
      </c>
      <c r="DO63" s="39">
        <f ca="1" t="shared" si="18"/>
        <v>0.2</v>
      </c>
      <c r="DP63" s="39">
        <f ca="1" t="shared" si="19"/>
        <v>0.2</v>
      </c>
      <c r="DQ63" s="39">
        <f ca="1" t="shared" si="20"/>
        <v>0.05</v>
      </c>
      <c r="DR63" s="39">
        <f ca="1" t="shared" si="21"/>
        <v>0.07</v>
      </c>
      <c r="DS63" s="39">
        <f ca="1" t="shared" si="22"/>
        <v>0.1</v>
      </c>
      <c r="DT63" s="39">
        <f ca="1" t="shared" si="23"/>
        <v>0.0244064218226165</v>
      </c>
      <c r="DU63" s="39">
        <f ca="1" t="shared" si="24"/>
        <v>0.2</v>
      </c>
      <c r="DV63" s="39">
        <f ca="1" t="shared" si="25"/>
        <v>0.2</v>
      </c>
      <c r="DW63" s="39">
        <f ca="1" t="shared" si="26"/>
        <v>0.08</v>
      </c>
      <c r="DX63" s="39">
        <f ca="1" t="shared" si="27"/>
        <v>0.05</v>
      </c>
      <c r="DY63" s="39">
        <f ca="1" t="shared" si="28"/>
        <v>0.1</v>
      </c>
      <c r="DZ63" s="39">
        <f ca="1" t="shared" si="29"/>
        <v>0.1</v>
      </c>
      <c r="EA63" s="39">
        <f ca="1" t="shared" si="30"/>
        <v>0.2</v>
      </c>
      <c r="EB63" s="39">
        <f ca="1" t="shared" si="31"/>
        <v>0.2</v>
      </c>
      <c r="EC63" s="39">
        <f ca="1" t="shared" si="32"/>
        <v>0.2</v>
      </c>
      <c r="ED63" s="39">
        <f ca="1" t="shared" si="33"/>
        <v>0.1</v>
      </c>
      <c r="EE63" s="39">
        <f ca="1" t="shared" si="34"/>
        <v>0.2</v>
      </c>
      <c r="EF63" s="39">
        <f ca="1" t="shared" si="35"/>
        <v>0.05</v>
      </c>
      <c r="EG63" s="39">
        <f ca="1" t="shared" si="36"/>
        <v>0.2</v>
      </c>
      <c r="EH63" s="39">
        <f ca="1" t="shared" si="37"/>
        <v>0.0244064218226165</v>
      </c>
      <c r="EI63" s="39">
        <f ca="1" t="shared" si="38"/>
        <v>0.0244064218226165</v>
      </c>
      <c r="EJ63" s="39">
        <f ca="1" t="shared" si="39"/>
        <v>0.0244064218226165</v>
      </c>
      <c r="EK63" s="39">
        <f ca="1" t="shared" si="40"/>
        <v>0.0244064218226165</v>
      </c>
      <c r="EL63" s="39">
        <f ca="1" t="shared" si="41"/>
        <v>0.0244064218226165</v>
      </c>
      <c r="EM63" s="39">
        <f ca="1" t="shared" si="42"/>
        <v>0.0244064218226165</v>
      </c>
      <c r="EN63" s="39">
        <f ca="1" t="shared" si="43"/>
        <v>0.0244064218226165</v>
      </c>
      <c r="EO63" s="39">
        <f ca="1" t="shared" si="44"/>
        <v>0.0244064218226165</v>
      </c>
      <c r="EP63" s="39">
        <f ca="1" t="shared" si="45"/>
        <v>0.0244064218226165</v>
      </c>
      <c r="EQ63" s="39">
        <f ca="1" t="shared" si="46"/>
        <v>0.0244064218226165</v>
      </c>
      <c r="ER63" s="39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4" t="str">
        <f t="shared" si="48"/>
        <v>TR</v>
      </c>
      <c r="D64" s="55" t="s">
        <v>200</v>
      </c>
      <c r="E64" s="66" t="s">
        <v>204</v>
      </c>
      <c r="F64" s="56" t="str">
        <f t="shared" ref="F64:F69" si="84">F63</f>
        <v>Bio Diesel</v>
      </c>
      <c r="G64" s="54" t="s">
        <v>205</v>
      </c>
      <c r="H64" s="57">
        <f ca="1">OFFSET(TIAM15_assumptions!$G64,0,MATCH(VLOOKUP(Assumptions!H$2,TIAM15_assumptions!$Y$3:$Z$87,2,FALSE),TIAM15_assumptions!$H$2:$V$2,0))</f>
        <v>0.5</v>
      </c>
      <c r="I64" s="57">
        <f ca="1">OFFSET(TIAM15_assumptions!$G64,0,MATCH(VLOOKUP(Assumptions!I$2,TIAM15_assumptions!$Y$3:$Z$87,2,FALSE),TIAM15_assumptions!$H$2:$V$2,0))</f>
        <v>0.5</v>
      </c>
      <c r="J64" s="57">
        <f ca="1">OFFSET(TIAM15_assumptions!$G64,0,MATCH(VLOOKUP(Assumptions!J$2,TIAM15_assumptions!$Y$3:$Z$87,2,FALSE),TIAM15_assumptions!$H$2:$V$2,0))</f>
        <v>0.7</v>
      </c>
      <c r="K64" s="57">
        <f ca="1">OFFSET(TIAM15_assumptions!$G64,0,MATCH(VLOOKUP(Assumptions!K$2,TIAM15_assumptions!$Y$3:$Z$87,2,FALSE),TIAM15_assumptions!$H$2:$V$2,0))</f>
        <v>0.2</v>
      </c>
      <c r="L64" s="57">
        <f ca="1">OFFSET(TIAM15_assumptions!$G64,0,MATCH(VLOOKUP(Assumptions!L$2,TIAM15_assumptions!$Y$3:$Z$87,2,FALSE),TIAM15_assumptions!$H$2:$V$2,0))</f>
        <v>0.49</v>
      </c>
      <c r="M64" s="57">
        <f ca="1">OFFSET(TIAM15_assumptions!$G64,0,MATCH(VLOOKUP(Assumptions!M$2,TIAM15_assumptions!$Y$3:$Z$87,2,FALSE),TIAM15_assumptions!$H$2:$V$2,0))</f>
        <v>0.2</v>
      </c>
      <c r="N64" s="57">
        <f ca="1">OFFSET(TIAM15_assumptions!$G64,0,MATCH(VLOOKUP(Assumptions!N$2,TIAM15_assumptions!$Y$3:$Z$87,2,FALSE),TIAM15_assumptions!$H$2:$V$2,0))</f>
        <v>0.69</v>
      </c>
      <c r="O64" s="57">
        <f ca="1">OFFSET(TIAM15_assumptions!$G64,0,MATCH(VLOOKUP(Assumptions!O$2,TIAM15_assumptions!$Y$3:$Z$87,2,FALSE),TIAM15_assumptions!$H$2:$V$2,0))</f>
        <v>0.2</v>
      </c>
      <c r="P64" s="57">
        <f ca="1">OFFSET(TIAM15_assumptions!$G64,0,MATCH(VLOOKUP(Assumptions!P$2,TIAM15_assumptions!$Y$3:$Z$87,2,FALSE),TIAM15_assumptions!$H$2:$V$2,0))</f>
        <v>0.49</v>
      </c>
      <c r="Q64" s="57">
        <f ca="1">OFFSET(TIAM15_assumptions!$G64,0,MATCH(VLOOKUP(Assumptions!Q$2,TIAM15_assumptions!$Y$3:$Z$87,2,FALSE),TIAM15_assumptions!$H$2:$V$2,0))</f>
        <v>0.49</v>
      </c>
      <c r="R64" s="57">
        <f ca="1">OFFSET(TIAM15_assumptions!$G64,0,MATCH(VLOOKUP(Assumptions!R$2,TIAM15_assumptions!$Y$3:$Z$87,2,FALSE),TIAM15_assumptions!$H$2:$V$2,0))</f>
        <v>0.2</v>
      </c>
      <c r="S64" s="57">
        <f ca="1">OFFSET(TIAM15_assumptions!$G64,0,MATCH(VLOOKUP(Assumptions!S$2,TIAM15_assumptions!$Y$3:$Z$87,2,FALSE),TIAM15_assumptions!$H$2:$V$2,0))</f>
        <v>0.2</v>
      </c>
      <c r="T64" s="57">
        <f ca="1">OFFSET(TIAM15_assumptions!$G64,0,MATCH(VLOOKUP(Assumptions!T$2,TIAM15_assumptions!$Y$3:$Z$87,2,FALSE),TIAM15_assumptions!$H$2:$V$2,0))</f>
        <v>0.2</v>
      </c>
      <c r="U64" s="57">
        <f ca="1">OFFSET(TIAM15_assumptions!$G64,0,MATCH(VLOOKUP(Assumptions!U$2,TIAM15_assumptions!$Y$3:$Z$87,2,FALSE),TIAM15_assumptions!$H$2:$V$2,0))</f>
        <v>0.49</v>
      </c>
      <c r="V64" s="57">
        <f ca="1">OFFSET(TIAM15_assumptions!$G64,0,MATCH(VLOOKUP(Assumptions!V$2,TIAM15_assumptions!$Y$3:$Z$87,2,FALSE),TIAM15_assumptions!$H$2:$V$2,0))</f>
        <v>0.2</v>
      </c>
      <c r="W64" s="57">
        <f ca="1">OFFSET(TIAM15_assumptions!$G64,0,MATCH(VLOOKUP(Assumptions!W$2,TIAM15_assumptions!$Y$3:$Z$87,2,FALSE),TIAM15_assumptions!$H$2:$V$2,0))</f>
        <v>0.35</v>
      </c>
      <c r="X64" s="57">
        <f ca="1">OFFSET(TIAM15_assumptions!$G64,0,MATCH(VLOOKUP(Assumptions!X$2,TIAM15_assumptions!$Y$3:$Z$87,2,FALSE),TIAM15_assumptions!$H$2:$V$2,0))</f>
        <v>0.2</v>
      </c>
      <c r="Y64" s="57">
        <f ca="1">OFFSET(TIAM15_assumptions!$G64,0,MATCH(VLOOKUP(Assumptions!Y$2,TIAM15_assumptions!$Y$3:$Z$87,2,FALSE),TIAM15_assumptions!$H$2:$V$2,0))</f>
        <v>0.2</v>
      </c>
      <c r="Z64" s="57">
        <f ca="1">OFFSET(TIAM15_assumptions!$G64,0,MATCH(VLOOKUP(Assumptions!Z$2,TIAM15_assumptions!$Y$3:$Z$87,2,FALSE),TIAM15_assumptions!$H$2:$V$2,0))</f>
        <v>0.53</v>
      </c>
      <c r="AA64" s="57">
        <f ca="1">OFFSET(TIAM15_assumptions!$G64,0,MATCH(VLOOKUP(Assumptions!AA$2,TIAM15_assumptions!$Y$3:$Z$87,2,FALSE),TIAM15_assumptions!$H$2:$V$2,0))</f>
        <v>0.69</v>
      </c>
      <c r="AB64" s="57">
        <f ca="1">OFFSET(TIAM15_assumptions!$G64,0,MATCH(VLOOKUP(Assumptions!AB$2,TIAM15_assumptions!$Y$3:$Z$87,2,FALSE),TIAM15_assumptions!$H$2:$V$2,0))</f>
        <v>0.8</v>
      </c>
      <c r="AC64" s="57">
        <f ca="1">OFFSET(TIAM15_assumptions!$G64,0,MATCH(VLOOKUP(Assumptions!AC$2,TIAM15_assumptions!$Y$3:$Z$87,2,FALSE),TIAM15_assumptions!$H$2:$V$2,0))</f>
        <v>0.608262897921266</v>
      </c>
      <c r="AD64" s="57">
        <f ca="1">OFFSET(TIAM15_assumptions!$G64,0,MATCH(VLOOKUP(Assumptions!AD$2,TIAM15_assumptions!$Y$3:$Z$87,2,FALSE),TIAM15_assumptions!$H$2:$V$2,0))</f>
        <v>0.2</v>
      </c>
      <c r="AE64" s="57">
        <f ca="1">OFFSET(TIAM15_assumptions!$G64,0,MATCH(VLOOKUP(Assumptions!AE$2,TIAM15_assumptions!$Y$3:$Z$87,2,FALSE),TIAM15_assumptions!$H$2:$V$2,0))</f>
        <v>0.49</v>
      </c>
      <c r="AF64" s="57">
        <f ca="1">OFFSET(TIAM15_assumptions!$G64,0,MATCH(VLOOKUP(Assumptions!AF$2,TIAM15_assumptions!$Y$3:$Z$87,2,FALSE),TIAM15_assumptions!$H$2:$V$2,0))</f>
        <v>0.66</v>
      </c>
      <c r="AG64" s="57">
        <f ca="1">OFFSET(TIAM15_assumptions!$G64,0,MATCH(VLOOKUP(Assumptions!AG$2,TIAM15_assumptions!$Y$3:$Z$87,2,FALSE),TIAM15_assumptions!$H$2:$V$2,0))</f>
        <v>0.49</v>
      </c>
      <c r="AH64" s="57">
        <f ca="1">OFFSET(TIAM15_assumptions!$G64,0,MATCH(VLOOKUP(Assumptions!AH$2,TIAM15_assumptions!$Y$3:$Z$87,2,FALSE),TIAM15_assumptions!$H$2:$V$2,0))</f>
        <v>0.8</v>
      </c>
      <c r="AI64" s="57">
        <f ca="1">OFFSET(TIAM15_assumptions!$G64,0,MATCH(VLOOKUP(Assumptions!AI$2,TIAM15_assumptions!$Y$3:$Z$87,2,FALSE),TIAM15_assumptions!$H$2:$V$2,0))</f>
        <v>0.5</v>
      </c>
      <c r="AJ64" s="57">
        <f ca="1">OFFSET(TIAM15_assumptions!$G64,0,MATCH(VLOOKUP(Assumptions!AJ$2,TIAM15_assumptions!$Y$3:$Z$87,2,FALSE),TIAM15_assumptions!$H$2:$V$2,0))</f>
        <v>0.2</v>
      </c>
      <c r="AK64" s="57">
        <f ca="1">OFFSET(TIAM15_assumptions!$G64,0,MATCH(VLOOKUP(Assumptions!AK$2,TIAM15_assumptions!$Y$3:$Z$87,2,FALSE),TIAM15_assumptions!$H$2:$V$2,0))</f>
        <v>0.2</v>
      </c>
      <c r="AL64" s="57">
        <f ca="1">OFFSET(TIAM15_assumptions!$G64,0,MATCH(VLOOKUP(Assumptions!AL$2,TIAM15_assumptions!$Y$3:$Z$87,2,FALSE),TIAM15_assumptions!$H$2:$V$2,0))</f>
        <v>0.2</v>
      </c>
      <c r="AM64" s="57">
        <f ca="1">OFFSET(TIAM15_assumptions!$G64,0,MATCH(VLOOKUP(Assumptions!AM$2,TIAM15_assumptions!$Y$3:$Z$87,2,FALSE),TIAM15_assumptions!$H$2:$V$2,0))</f>
        <v>0.8</v>
      </c>
      <c r="AN64" s="57">
        <f ca="1">OFFSET(TIAM15_assumptions!$G64,0,MATCH(VLOOKUP(Assumptions!AN$2,TIAM15_assumptions!$Y$3:$Z$87,2,FALSE),TIAM15_assumptions!$H$2:$V$2,0))</f>
        <v>0.2</v>
      </c>
      <c r="AO64" s="57">
        <f ca="1">OFFSET(TIAM15_assumptions!$G64,0,MATCH(VLOOKUP(Assumptions!AO$2,TIAM15_assumptions!$Y$3:$Z$87,2,FALSE),TIAM15_assumptions!$H$2:$V$2,0))</f>
        <v>0.49</v>
      </c>
      <c r="AP64" s="57">
        <f ca="1">OFFSET(TIAM15_assumptions!$G64,0,MATCH(VLOOKUP(Assumptions!AP$2,TIAM15_assumptions!$Y$3:$Z$87,2,FALSE),TIAM15_assumptions!$H$2:$V$2,0))</f>
        <v>0.49</v>
      </c>
      <c r="AQ64" s="57">
        <f ca="1">OFFSET(TIAM15_assumptions!$G64,0,MATCH(VLOOKUP(Assumptions!AQ$2,TIAM15_assumptions!$Y$3:$Z$87,2,FALSE),TIAM15_assumptions!$H$2:$V$2,0))</f>
        <v>0.608262897921266</v>
      </c>
      <c r="AR64" s="57">
        <f ca="1">OFFSET(TIAM15_assumptions!$G64,0,MATCH(VLOOKUP(Assumptions!AR$2,TIAM15_assumptions!$Y$3:$Z$87,2,FALSE),TIAM15_assumptions!$H$2:$V$2,0))</f>
        <v>0.608262897921266</v>
      </c>
      <c r="AS64" s="57">
        <f ca="1">OFFSET(TIAM15_assumptions!$G64,0,MATCH(VLOOKUP(Assumptions!AS$2,TIAM15_assumptions!$Y$3:$Z$87,2,FALSE),TIAM15_assumptions!$H$2:$V$2,0))</f>
        <v>0.608262897921266</v>
      </c>
      <c r="AT64" s="57">
        <f ca="1">OFFSET(TIAM15_assumptions!$G64,0,MATCH(VLOOKUP(Assumptions!AT$2,TIAM15_assumptions!$Y$3:$Z$87,2,FALSE),TIAM15_assumptions!$H$2:$V$2,0))</f>
        <v>0.608262897921266</v>
      </c>
      <c r="AU64" s="57">
        <f ca="1">OFFSET(TIAM15_assumptions!$G64,0,MATCH(VLOOKUP(Assumptions!AU$2,TIAM15_assumptions!$Y$3:$Z$87,2,FALSE),TIAM15_assumptions!$H$2:$V$2,0))</f>
        <v>0.608262897921266</v>
      </c>
      <c r="AV64" s="57">
        <f ca="1">OFFSET(TIAM15_assumptions!$G64,0,MATCH(VLOOKUP(Assumptions!AV$2,TIAM15_assumptions!$Y$3:$Z$87,2,FALSE),TIAM15_assumptions!$H$2:$V$2,0))</f>
        <v>0.608262897921266</v>
      </c>
      <c r="AW64" s="57">
        <f ca="1">OFFSET(TIAM15_assumptions!$G64,0,MATCH(VLOOKUP(Assumptions!AW$2,TIAM15_assumptions!$Y$3:$Z$87,2,FALSE),TIAM15_assumptions!$H$2:$V$2,0))</f>
        <v>0.608262897921266</v>
      </c>
      <c r="AX64" s="57">
        <f ca="1">OFFSET(TIAM15_assumptions!$G64,0,MATCH(VLOOKUP(Assumptions!AX$2,TIAM15_assumptions!$Y$3:$Z$87,2,FALSE),TIAM15_assumptions!$H$2:$V$2,0))</f>
        <v>0.608262897921266</v>
      </c>
      <c r="AY64" s="57">
        <f ca="1">OFFSET(TIAM15_assumptions!$G64,0,MATCH(VLOOKUP(Assumptions!AY$2,TIAM15_assumptions!$Y$3:$Z$87,2,FALSE),TIAM15_assumptions!$H$2:$V$2,0))</f>
        <v>0.608262897921266</v>
      </c>
      <c r="AZ64" s="57">
        <f ca="1">OFFSET(TIAM15_assumptions!$G64,0,MATCH(VLOOKUP(Assumptions!AZ$2,TIAM15_assumptions!$Y$3:$Z$87,2,FALSE),TIAM15_assumptions!$H$2:$V$2,0))</f>
        <v>0.608262897921266</v>
      </c>
      <c r="BA64" s="57">
        <f ca="1">OFFSET(TIAM15_assumptions!$G64,0,MATCH(VLOOKUP(Assumptions!BA$2,TIAM15_assumptions!$Y$3:$Z$87,2,FALSE),TIAM15_assumptions!$H$2:$V$2,0))</f>
        <v>0.608262897921266</v>
      </c>
      <c r="BD64" s="40">
        <f ca="1">IFERROR(SUMIFS('TRA balance'!E$5:E$40,'TRA balance'!$C$5:$C$40,Assumptions!$C64,'TRA balance'!$D$5:$D$40,Assumptions!$B64)*CY64*H64,"")</f>
        <v>0</v>
      </c>
      <c r="BE64" s="40">
        <f ca="1">IFERROR(SUMIFS('TRA balance'!F$5:F$40,'TRA balance'!$C$5:$C$40,Assumptions!$C64,'TRA balance'!$D$5:$D$40,Assumptions!$B64)*CZ64*I64,"")</f>
        <v>0</v>
      </c>
      <c r="BF64" s="40">
        <f ca="1">IFERROR(SUMIFS('TRA balance'!G$5:G$40,'TRA balance'!$C$5:$C$40,Assumptions!$C64,'TRA balance'!$D$5:$D$40,Assumptions!$B64)*DA64*J64,"")</f>
        <v>0.000515227608</v>
      </c>
      <c r="BG64" s="40">
        <f ca="1">IFERROR(SUMIFS('TRA balance'!H$5:H$40,'TRA balance'!$C$5:$C$40,Assumptions!$C64,'TRA balance'!$D$5:$D$40,Assumptions!$B64)*DB64*K64,"")</f>
        <v>0.712979215488</v>
      </c>
      <c r="BH64" s="40">
        <f ca="1">IFERROR(SUMIFS('TRA balance'!I$5:I$40,'TRA balance'!$C$5:$C$40,Assumptions!$C64,'TRA balance'!$D$5:$D$40,Assumptions!$B64)*DC64*L64,"")</f>
        <v>0.1122918349392</v>
      </c>
      <c r="BI64" s="40">
        <f ca="1">IFERROR(SUMIFS('TRA balance'!J$5:J$40,'TRA balance'!$C$5:$C$40,Assumptions!$C64,'TRA balance'!$D$5:$D$40,Assumptions!$B64)*DD64*M64,"")</f>
        <v>1.477196321904</v>
      </c>
      <c r="BJ64" s="40">
        <f ca="1">IFERROR(SUMIFS('TRA balance'!K$5:K$40,'TRA balance'!$C$5:$C$40,Assumptions!$C64,'TRA balance'!$D$5:$D$40,Assumptions!$B64)*DE64*N64,"")</f>
        <v>31.4447453435354</v>
      </c>
      <c r="BK64" s="40">
        <f ca="1">IFERROR(SUMIFS('TRA balance'!L$5:L$40,'TRA balance'!$C$5:$C$40,Assumptions!$C64,'TRA balance'!$D$5:$D$40,Assumptions!$B64)*DF64*O64,"")</f>
        <v>0.75808001124</v>
      </c>
      <c r="BL64" s="40">
        <f ca="1">IFERROR(SUMIFS('TRA balance'!M$5:M$40,'TRA balance'!$C$5:$C$40,Assumptions!$C64,'TRA balance'!$D$5:$D$40,Assumptions!$B64)*DG64*P64,"")</f>
        <v>0.6255629847936</v>
      </c>
      <c r="BM64" s="40">
        <f ca="1">IFERROR(SUMIFS('TRA balance'!N$5:N$40,'TRA balance'!$C$5:$C$40,Assumptions!$C64,'TRA balance'!$D$5:$D$40,Assumptions!$B64)*DH64*Q64,"")</f>
        <v>1.6395252902784</v>
      </c>
      <c r="BN64" s="40">
        <f ca="1">IFERROR(SUMIFS('TRA balance'!O$5:O$40,'TRA balance'!$C$5:$C$40,Assumptions!$C64,'TRA balance'!$D$5:$D$40,Assumptions!$B64)*DI64*R64,"")</f>
        <v>4.228130247408</v>
      </c>
      <c r="BO64" s="40">
        <f ca="1">IFERROR(SUMIFS('TRA balance'!P$5:P$40,'TRA balance'!$C$5:$C$40,Assumptions!$C64,'TRA balance'!$D$5:$D$40,Assumptions!$B64)*DJ64*S64,"")</f>
        <v>3.163755587472</v>
      </c>
      <c r="BP64" s="40">
        <f ca="1">IFERROR(SUMIFS('TRA balance'!Q$5:Q$40,'TRA balance'!$C$5:$C$40,Assumptions!$C64,'TRA balance'!$D$5:$D$40,Assumptions!$B64)*DK64*T64,"")</f>
        <v>0.286629332832</v>
      </c>
      <c r="BQ64" s="40">
        <f ca="1">IFERROR(SUMIFS('TRA balance'!R$5:R$40,'TRA balance'!$C$5:$C$40,Assumptions!$C64,'TRA balance'!$D$5:$D$40,Assumptions!$B64)*DL64*U64,"")</f>
        <v>2.5393407655896</v>
      </c>
      <c r="BR64" s="40">
        <f ca="1">IFERROR(SUMIFS('TRA balance'!S$5:S$40,'TRA balance'!$C$5:$C$40,Assumptions!$C64,'TRA balance'!$D$5:$D$40,Assumptions!$B64)*DM64*V64,"")</f>
        <v>0.02595732264</v>
      </c>
      <c r="BS64" s="40">
        <f ca="1">IFERROR(SUMIFS('TRA balance'!T$5:T$40,'TRA balance'!$C$5:$C$40,Assumptions!$C64,'TRA balance'!$D$5:$D$40,Assumptions!$B64)*DN64*W64,"")</f>
        <v>0.14323210272</v>
      </c>
      <c r="BT64" s="40">
        <f ca="1">IFERROR(SUMIFS('TRA balance'!U$5:U$40,'TRA balance'!$C$5:$C$40,Assumptions!$C64,'TRA balance'!$D$5:$D$40,Assumptions!$B64)*DO64*X64,"")</f>
        <v>0.27127282032</v>
      </c>
      <c r="BU64" s="40">
        <f ca="1">IFERROR(SUMIFS('TRA balance'!V$5:V$40,'TRA balance'!$C$5:$C$40,Assumptions!$C64,'TRA balance'!$D$5:$D$40,Assumptions!$B64)*DP64*Y64,"")</f>
        <v>2.104371258192</v>
      </c>
      <c r="BV64" s="40">
        <f ca="1">IFERROR(SUMIFS('TRA balance'!W$5:W$40,'TRA balance'!$C$5:$C$40,Assumptions!$C64,'TRA balance'!$D$5:$D$40,Assumptions!$B64)*DQ64*Z64,"")</f>
        <v>0.013760043804</v>
      </c>
      <c r="BW64" s="40">
        <f ca="1">IFERROR(SUMIFS('TRA balance'!X$5:X$40,'TRA balance'!$C$5:$C$40,Assumptions!$C64,'TRA balance'!$D$5:$D$40,Assumptions!$B64)*DR64*AA64,"")</f>
        <v>3.58692841617516</v>
      </c>
      <c r="BX64" s="40">
        <f ca="1">IFERROR(SUMIFS('TRA balance'!Y$5:Y$40,'TRA balance'!$C$5:$C$40,Assumptions!$C64,'TRA balance'!$D$5:$D$40,Assumptions!$B64)*DS64*AB64,"")</f>
        <v>0</v>
      </c>
      <c r="BY64" s="40">
        <f ca="1">IFERROR(SUMIFS('TRA balance'!Z$5:Z$40,'TRA balance'!$C$5:$C$40,Assumptions!$C64,'TRA balance'!$D$5:$D$40,Assumptions!$B64)*DT64*AC64,"")</f>
        <v>3.03204073302741</v>
      </c>
      <c r="BZ64" s="40">
        <f ca="1">IFERROR(SUMIFS('TRA balance'!AA$5:AA$40,'TRA balance'!$C$5:$C$40,Assumptions!$C64,'TRA balance'!$D$5:$D$40,Assumptions!$B64)*DU64*AD64,"")</f>
        <v>0.70170098112</v>
      </c>
      <c r="CA64" s="40">
        <f ca="1">IFERROR(SUMIFS('TRA balance'!AB$5:AB$40,'TRA balance'!$C$5:$C$40,Assumptions!$C64,'TRA balance'!$D$5:$D$40,Assumptions!$B64)*DV64*AE64,"")</f>
        <v>3.4374879350784</v>
      </c>
      <c r="CB64" s="40">
        <f ca="1">IFERROR(SUMIFS('TRA balance'!AC$5:AC$40,'TRA balance'!$C$5:$C$40,Assumptions!$C64,'TRA balance'!$D$5:$D$40,Assumptions!$B64)*DW64*AF64,"")</f>
        <v>15.0514104414643</v>
      </c>
      <c r="CC64" s="40">
        <f ca="1">IFERROR(SUMIFS('TRA balance'!AD$5:AD$40,'TRA balance'!$C$5:$C$40,Assumptions!$C64,'TRA balance'!$D$5:$D$40,Assumptions!$B64)*DX64*AG64,"")</f>
        <v>0.0017640097902</v>
      </c>
      <c r="CD64" s="40">
        <f ca="1">IFERROR(SUMIFS('TRA balance'!AE$5:AE$40,'TRA balance'!$C$5:$C$40,Assumptions!$C64,'TRA balance'!$D$5:$D$40,Assumptions!$B64)*DY64*AH64,"")</f>
        <v>0</v>
      </c>
      <c r="CE64" s="40">
        <f ca="1">IFERROR(SUMIFS('TRA balance'!AF$5:AF$40,'TRA balance'!$C$5:$C$40,Assumptions!$C64,'TRA balance'!$D$5:$D$40,Assumptions!$B64)*DZ64*AI64,"")</f>
        <v>0</v>
      </c>
      <c r="CF64" s="40">
        <f ca="1">IFERROR(SUMIFS('TRA balance'!AG$5:AG$40,'TRA balance'!$C$5:$C$40,Assumptions!$C64,'TRA balance'!$D$5:$D$40,Assumptions!$B64)*EA64*AJ64,"")</f>
        <v>2.943386886384</v>
      </c>
      <c r="CG64" s="40">
        <f ca="1">IFERROR(SUMIFS('TRA balance'!AH$5:AH$40,'TRA balance'!$C$5:$C$40,Assumptions!$C64,'TRA balance'!$D$5:$D$40,Assumptions!$B64)*EB64*AK64,"")</f>
        <v>2.866601979216</v>
      </c>
      <c r="CH64" s="40">
        <f ca="1">IFERROR(SUMIFS('TRA balance'!AI$5:AI$40,'TRA balance'!$C$5:$C$40,Assumptions!$C64,'TRA balance'!$D$5:$D$40,Assumptions!$B64)*EC64*AL64,"")</f>
        <v>0.25092999648</v>
      </c>
      <c r="CI64" s="40">
        <f ca="1">IFERROR(SUMIFS('TRA balance'!AJ$5:AJ$40,'TRA balance'!$C$5:$C$40,Assumptions!$C64,'TRA balance'!$D$5:$D$40,Assumptions!$B64)*ED64*AM64,"")</f>
        <v>0.382360012416</v>
      </c>
      <c r="CJ64" s="40">
        <f ca="1">IFERROR(SUMIFS('TRA balance'!AK$5:AK$40,'TRA balance'!$C$5:$C$40,Assumptions!$C64,'TRA balance'!$D$5:$D$40,Assumptions!$B64)*EE64*AN64,"")</f>
        <v>2.115424075248</v>
      </c>
      <c r="CK64" s="40">
        <f ca="1">IFERROR(SUMIFS('TRA balance'!AL$5:AL$40,'TRA balance'!$C$5:$C$40,Assumptions!$C64,'TRA balance'!$D$5:$D$40,Assumptions!$B64)*EF64*AO64,"")</f>
        <v>0</v>
      </c>
      <c r="CL64" s="40">
        <f ca="1">IFERROR(SUMIFS('TRA balance'!AM$5:AM$40,'TRA balance'!$C$5:$C$40,Assumptions!$C64,'TRA balance'!$D$5:$D$40,Assumptions!$B64)*EG64*AP64,"")</f>
        <v>0.4934554022664</v>
      </c>
      <c r="CM64" s="40">
        <f ca="1">IFERROR(SUMIFS('TRA balance'!AN$5:AN$40,'TRA balance'!$C$5:$C$40,Assumptions!$C64,'TRA balance'!$D$5:$D$40,Assumptions!$B64)*EH64*AQ64,"")</f>
        <v>0</v>
      </c>
      <c r="CN64" s="40">
        <f ca="1">IFERROR(SUMIFS('TRA balance'!AO$5:AO$40,'TRA balance'!$C$5:$C$40,Assumptions!$C64,'TRA balance'!$D$5:$D$40,Assumptions!$B64)*EI64*AR64,"")</f>
        <v>0</v>
      </c>
      <c r="CO64" s="40">
        <f ca="1">IFERROR(SUMIFS('TRA balance'!AP$5:AP$40,'TRA balance'!$C$5:$C$40,Assumptions!$C64,'TRA balance'!$D$5:$D$40,Assumptions!$B64)*EJ64*AS64,"")</f>
        <v>0</v>
      </c>
      <c r="CP64" s="40">
        <f ca="1">IFERROR(SUMIFS('TRA balance'!AQ$5:AQ$40,'TRA balance'!$C$5:$C$40,Assumptions!$C64,'TRA balance'!$D$5:$D$40,Assumptions!$B64)*EK64*AT64,"")</f>
        <v>0</v>
      </c>
      <c r="CQ64" s="40">
        <f ca="1">IFERROR(SUMIFS('TRA balance'!AR$5:AR$40,'TRA balance'!$C$5:$C$40,Assumptions!$C64,'TRA balance'!$D$5:$D$40,Assumptions!$B64)*EL64*AU64,"")</f>
        <v>0</v>
      </c>
      <c r="CR64" s="40">
        <f ca="1">IFERROR(SUMIFS('TRA balance'!AS$5:AS$40,'TRA balance'!$C$5:$C$40,Assumptions!$C64,'TRA balance'!$D$5:$D$40,Assumptions!$B64)*EM64*AV64,"")</f>
        <v>0</v>
      </c>
      <c r="CS64" s="40">
        <f ca="1">IFERROR(SUMIFS('TRA balance'!AT$5:AT$40,'TRA balance'!$C$5:$C$40,Assumptions!$C64,'TRA balance'!$D$5:$D$40,Assumptions!$B64)*EN64*AW64,"")</f>
        <v>0</v>
      </c>
      <c r="CT64" s="40">
        <f ca="1">IFERROR(SUMIFS('TRA balance'!AU$5:AU$40,'TRA balance'!$C$5:$C$40,Assumptions!$C64,'TRA balance'!$D$5:$D$40,Assumptions!$B64)*EO64*AX64,"")</f>
        <v>0</v>
      </c>
      <c r="CU64" s="40">
        <f ca="1">IFERROR(SUMIFS('TRA balance'!AV$5:AV$40,'TRA balance'!$C$5:$C$40,Assumptions!$C64,'TRA balance'!$D$5:$D$40,Assumptions!$B64)*EP64*AY64,"")</f>
        <v>0</v>
      </c>
      <c r="CV64" s="40">
        <f ca="1">IFERROR(SUMIFS('TRA balance'!AW$5:AW$40,'TRA balance'!$C$5:$C$40,Assumptions!$C64,'TRA balance'!$D$5:$D$40,Assumptions!$B64)*EQ64*AZ64,"")</f>
        <v>0</v>
      </c>
      <c r="CW64" s="40">
        <f ca="1">IFERROR(SUMIFS('TRA balance'!AX$5:AX$40,'TRA balance'!$C$5:$C$40,Assumptions!$C64,'TRA balance'!$D$5:$D$40,Assumptions!$B64)*ER64*BA64,"")</f>
        <v>0</v>
      </c>
      <c r="CY64" s="39">
        <f ca="1" t="shared" si="66"/>
        <v>0.1</v>
      </c>
      <c r="CZ64" s="39">
        <f ca="1" t="shared" si="3"/>
        <v>0.1</v>
      </c>
      <c r="DA64" s="39">
        <f ca="1" t="shared" si="4"/>
        <v>0.02</v>
      </c>
      <c r="DB64" s="39">
        <f ca="1" t="shared" si="5"/>
        <v>0.2</v>
      </c>
      <c r="DC64" s="39">
        <f ca="1" t="shared" si="6"/>
        <v>0.05</v>
      </c>
      <c r="DD64" s="39">
        <f ca="1" t="shared" si="7"/>
        <v>0.2</v>
      </c>
      <c r="DE64" s="39">
        <f ca="1" t="shared" si="8"/>
        <v>0.07</v>
      </c>
      <c r="DF64" s="39">
        <f ca="1" t="shared" si="9"/>
        <v>0.1</v>
      </c>
      <c r="DG64" s="39">
        <f ca="1" t="shared" si="10"/>
        <v>0.2</v>
      </c>
      <c r="DH64" s="39">
        <f ca="1" t="shared" si="11"/>
        <v>0.2</v>
      </c>
      <c r="DI64" s="39">
        <f ca="1" t="shared" si="12"/>
        <v>0.2</v>
      </c>
      <c r="DJ64" s="39">
        <f ca="1" t="shared" si="13"/>
        <v>0.2</v>
      </c>
      <c r="DK64" s="39">
        <f ca="1" t="shared" si="14"/>
        <v>0.2</v>
      </c>
      <c r="DL64" s="39">
        <f ca="1" t="shared" si="15"/>
        <v>0.2</v>
      </c>
      <c r="DM64" s="39">
        <f ca="1" t="shared" si="16"/>
        <v>0.2</v>
      </c>
      <c r="DN64" s="39">
        <f ca="1" t="shared" si="17"/>
        <v>0.25</v>
      </c>
      <c r="DO64" s="39">
        <f ca="1" t="shared" si="18"/>
        <v>0.2</v>
      </c>
      <c r="DP64" s="39">
        <f ca="1" t="shared" si="19"/>
        <v>0.2</v>
      </c>
      <c r="DQ64" s="39">
        <f ca="1" t="shared" si="20"/>
        <v>0.05</v>
      </c>
      <c r="DR64" s="39">
        <f ca="1" t="shared" si="21"/>
        <v>0.07</v>
      </c>
      <c r="DS64" s="39">
        <f ca="1" t="shared" si="22"/>
        <v>0.1</v>
      </c>
      <c r="DT64" s="39">
        <f ca="1" t="shared" si="23"/>
        <v>0.0244064218226165</v>
      </c>
      <c r="DU64" s="39">
        <f ca="1" t="shared" si="24"/>
        <v>0.2</v>
      </c>
      <c r="DV64" s="39">
        <f ca="1" t="shared" si="25"/>
        <v>0.2</v>
      </c>
      <c r="DW64" s="39">
        <f ca="1" t="shared" si="26"/>
        <v>0.08</v>
      </c>
      <c r="DX64" s="39">
        <f ca="1" t="shared" si="27"/>
        <v>0.05</v>
      </c>
      <c r="DY64" s="39">
        <f ca="1" t="shared" si="28"/>
        <v>0.1</v>
      </c>
      <c r="DZ64" s="39">
        <f ca="1" t="shared" si="29"/>
        <v>0.1</v>
      </c>
      <c r="EA64" s="39">
        <f ca="1" t="shared" si="30"/>
        <v>0.2</v>
      </c>
      <c r="EB64" s="39">
        <f ca="1" t="shared" si="31"/>
        <v>0.2</v>
      </c>
      <c r="EC64" s="39">
        <f ca="1" t="shared" si="32"/>
        <v>0.2</v>
      </c>
      <c r="ED64" s="39">
        <f ca="1" t="shared" si="33"/>
        <v>0.1</v>
      </c>
      <c r="EE64" s="39">
        <f ca="1" t="shared" si="34"/>
        <v>0.2</v>
      </c>
      <c r="EF64" s="39">
        <f ca="1" t="shared" si="35"/>
        <v>0.05</v>
      </c>
      <c r="EG64" s="39">
        <f ca="1" t="shared" si="36"/>
        <v>0.2</v>
      </c>
      <c r="EH64" s="39">
        <f ca="1" t="shared" si="37"/>
        <v>0.0244064218226165</v>
      </c>
      <c r="EI64" s="39">
        <f ca="1" t="shared" si="38"/>
        <v>0.0244064218226165</v>
      </c>
      <c r="EJ64" s="39">
        <f ca="1" t="shared" si="39"/>
        <v>0.0244064218226165</v>
      </c>
      <c r="EK64" s="39">
        <f ca="1" t="shared" si="40"/>
        <v>0.0244064218226165</v>
      </c>
      <c r="EL64" s="39">
        <f ca="1" t="shared" si="41"/>
        <v>0.0244064218226165</v>
      </c>
      <c r="EM64" s="39">
        <f ca="1" t="shared" si="42"/>
        <v>0.0244064218226165</v>
      </c>
      <c r="EN64" s="39">
        <f ca="1" t="shared" si="43"/>
        <v>0.0244064218226165</v>
      </c>
      <c r="EO64" s="39">
        <f ca="1" t="shared" si="44"/>
        <v>0.0244064218226165</v>
      </c>
      <c r="EP64" s="39">
        <f ca="1" t="shared" si="45"/>
        <v>0.0244064218226165</v>
      </c>
      <c r="EQ64" s="39">
        <f ca="1" t="shared" si="46"/>
        <v>0.0244064218226165</v>
      </c>
      <c r="ER64" s="39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4" t="str">
        <f t="shared" si="48"/>
        <v>TR</v>
      </c>
      <c r="D65" s="55" t="s">
        <v>200</v>
      </c>
      <c r="E65" s="66" t="s">
        <v>206</v>
      </c>
      <c r="F65" s="56" t="str">
        <f t="shared" si="84"/>
        <v>Bio Diesel</v>
      </c>
      <c r="G65" s="54" t="s">
        <v>207</v>
      </c>
      <c r="H65" s="57">
        <f ca="1">OFFSET(TIAM15_assumptions!$G65,0,MATCH(VLOOKUP(Assumptions!H$2,TIAM15_assumptions!$Y$3:$Z$87,2,FALSE),TIAM15_assumptions!$H$2:$V$2,0))</f>
        <v>0</v>
      </c>
      <c r="I65" s="57">
        <f ca="1">OFFSET(TIAM15_assumptions!$G65,0,MATCH(VLOOKUP(Assumptions!I$2,TIAM15_assumptions!$Y$3:$Z$87,2,FALSE),TIAM15_assumptions!$H$2:$V$2,0))</f>
        <v>0</v>
      </c>
      <c r="J65" s="57">
        <f ca="1">OFFSET(TIAM15_assumptions!$G65,0,MATCH(VLOOKUP(Assumptions!J$2,TIAM15_assumptions!$Y$3:$Z$87,2,FALSE),TIAM15_assumptions!$H$2:$V$2,0))</f>
        <v>0</v>
      </c>
      <c r="K65" s="57">
        <f ca="1">OFFSET(TIAM15_assumptions!$G65,0,MATCH(VLOOKUP(Assumptions!K$2,TIAM15_assumptions!$Y$3:$Z$87,2,FALSE),TIAM15_assumptions!$H$2:$V$2,0))</f>
        <v>0</v>
      </c>
      <c r="L65" s="57">
        <f ca="1">OFFSET(TIAM15_assumptions!$G65,0,MATCH(VLOOKUP(Assumptions!L$2,TIAM15_assumptions!$Y$3:$Z$87,2,FALSE),TIAM15_assumptions!$H$2:$V$2,0))</f>
        <v>0</v>
      </c>
      <c r="M65" s="57">
        <f ca="1">OFFSET(TIAM15_assumptions!$G65,0,MATCH(VLOOKUP(Assumptions!M$2,TIAM15_assumptions!$Y$3:$Z$87,2,FALSE),TIAM15_assumptions!$H$2:$V$2,0))</f>
        <v>0</v>
      </c>
      <c r="N65" s="57">
        <f ca="1">OFFSET(TIAM15_assumptions!$G65,0,MATCH(VLOOKUP(Assumptions!N$2,TIAM15_assumptions!$Y$3:$Z$87,2,FALSE),TIAM15_assumptions!$H$2:$V$2,0))</f>
        <v>0.01</v>
      </c>
      <c r="O65" s="57">
        <f ca="1">OFFSET(TIAM15_assumptions!$G65,0,MATCH(VLOOKUP(Assumptions!O$2,TIAM15_assumptions!$Y$3:$Z$87,2,FALSE),TIAM15_assumptions!$H$2:$V$2,0))</f>
        <v>0.6</v>
      </c>
      <c r="P65" s="57">
        <f ca="1">OFFSET(TIAM15_assumptions!$G65,0,MATCH(VLOOKUP(Assumptions!P$2,TIAM15_assumptions!$Y$3:$Z$87,2,FALSE),TIAM15_assumptions!$H$2:$V$2,0))</f>
        <v>0</v>
      </c>
      <c r="Q65" s="57">
        <f ca="1">OFFSET(TIAM15_assumptions!$G65,0,MATCH(VLOOKUP(Assumptions!Q$2,TIAM15_assumptions!$Y$3:$Z$87,2,FALSE),TIAM15_assumptions!$H$2:$V$2,0))</f>
        <v>0</v>
      </c>
      <c r="R65" s="57">
        <f ca="1">OFFSET(TIAM15_assumptions!$G65,0,MATCH(VLOOKUP(Assumptions!R$2,TIAM15_assumptions!$Y$3:$Z$87,2,FALSE),TIAM15_assumptions!$H$2:$V$2,0))</f>
        <v>0</v>
      </c>
      <c r="S65" s="57">
        <f ca="1">OFFSET(TIAM15_assumptions!$G65,0,MATCH(VLOOKUP(Assumptions!S$2,TIAM15_assumptions!$Y$3:$Z$87,2,FALSE),TIAM15_assumptions!$H$2:$V$2,0))</f>
        <v>0</v>
      </c>
      <c r="T65" s="57">
        <f ca="1">OFFSET(TIAM15_assumptions!$G65,0,MATCH(VLOOKUP(Assumptions!T$2,TIAM15_assumptions!$Y$3:$Z$87,2,FALSE),TIAM15_assumptions!$H$2:$V$2,0))</f>
        <v>0</v>
      </c>
      <c r="U65" s="57">
        <f ca="1">OFFSET(TIAM15_assumptions!$G65,0,MATCH(VLOOKUP(Assumptions!U$2,TIAM15_assumptions!$Y$3:$Z$87,2,FALSE),TIAM15_assumptions!$H$2:$V$2,0))</f>
        <v>0</v>
      </c>
      <c r="V65" s="57">
        <f ca="1">OFFSET(TIAM15_assumptions!$G65,0,MATCH(VLOOKUP(Assumptions!V$2,TIAM15_assumptions!$Y$3:$Z$87,2,FALSE),TIAM15_assumptions!$H$2:$V$2,0))</f>
        <v>0</v>
      </c>
      <c r="W65" s="57">
        <f ca="1">OFFSET(TIAM15_assumptions!$G65,0,MATCH(VLOOKUP(Assumptions!W$2,TIAM15_assumptions!$Y$3:$Z$87,2,FALSE),TIAM15_assumptions!$H$2:$V$2,0))</f>
        <v>0.25</v>
      </c>
      <c r="X65" s="57">
        <f ca="1">OFFSET(TIAM15_assumptions!$G65,0,MATCH(VLOOKUP(Assumptions!X$2,TIAM15_assumptions!$Y$3:$Z$87,2,FALSE),TIAM15_assumptions!$H$2:$V$2,0))</f>
        <v>0</v>
      </c>
      <c r="Y65" s="57">
        <f ca="1">OFFSET(TIAM15_assumptions!$G65,0,MATCH(VLOOKUP(Assumptions!Y$2,TIAM15_assumptions!$Y$3:$Z$87,2,FALSE),TIAM15_assumptions!$H$2:$V$2,0))</f>
        <v>0</v>
      </c>
      <c r="Z65" s="57">
        <f ca="1">OFFSET(TIAM15_assumptions!$G65,0,MATCH(VLOOKUP(Assumptions!Z$2,TIAM15_assumptions!$Y$3:$Z$87,2,FALSE),TIAM15_assumptions!$H$2:$V$2,0))</f>
        <v>0.01</v>
      </c>
      <c r="AA65" s="57">
        <f ca="1">OFFSET(TIAM15_assumptions!$G65,0,MATCH(VLOOKUP(Assumptions!AA$2,TIAM15_assumptions!$Y$3:$Z$87,2,FALSE),TIAM15_assumptions!$H$2:$V$2,0))</f>
        <v>0.01</v>
      </c>
      <c r="AB65" s="57">
        <f ca="1">OFFSET(TIAM15_assumptions!$G65,0,MATCH(VLOOKUP(Assumptions!AB$2,TIAM15_assumptions!$Y$3:$Z$87,2,FALSE),TIAM15_assumptions!$H$2:$V$2,0))</f>
        <v>0</v>
      </c>
      <c r="AC65" s="57">
        <f ca="1">OFFSET(TIAM15_assumptions!$G65,0,MATCH(VLOOKUP(Assumptions!AC$2,TIAM15_assumptions!$Y$3:$Z$87,2,FALSE),TIAM15_assumptions!$H$2:$V$2,0))</f>
        <v>0</v>
      </c>
      <c r="AD65" s="57">
        <f ca="1">OFFSET(TIAM15_assumptions!$G65,0,MATCH(VLOOKUP(Assumptions!AD$2,TIAM15_assumptions!$Y$3:$Z$87,2,FALSE),TIAM15_assumptions!$H$2:$V$2,0))</f>
        <v>0</v>
      </c>
      <c r="AE65" s="57">
        <f ca="1">OFFSET(TIAM15_assumptions!$G65,0,MATCH(VLOOKUP(Assumptions!AE$2,TIAM15_assumptions!$Y$3:$Z$87,2,FALSE),TIAM15_assumptions!$H$2:$V$2,0))</f>
        <v>0</v>
      </c>
      <c r="AF65" s="57">
        <f ca="1">OFFSET(TIAM15_assumptions!$G65,0,MATCH(VLOOKUP(Assumptions!AF$2,TIAM15_assumptions!$Y$3:$Z$87,2,FALSE),TIAM15_assumptions!$H$2:$V$2,0))</f>
        <v>0</v>
      </c>
      <c r="AG65" s="57">
        <f ca="1">OFFSET(TIAM15_assumptions!$G65,0,MATCH(VLOOKUP(Assumptions!AG$2,TIAM15_assumptions!$Y$3:$Z$87,2,FALSE),TIAM15_assumptions!$H$2:$V$2,0))</f>
        <v>0</v>
      </c>
      <c r="AH65" s="57">
        <f ca="1">OFFSET(TIAM15_assumptions!$G65,0,MATCH(VLOOKUP(Assumptions!AH$2,TIAM15_assumptions!$Y$3:$Z$87,2,FALSE),TIAM15_assumptions!$H$2:$V$2,0))</f>
        <v>0</v>
      </c>
      <c r="AI65" s="57">
        <f ca="1">OFFSET(TIAM15_assumptions!$G65,0,MATCH(VLOOKUP(Assumptions!AI$2,TIAM15_assumptions!$Y$3:$Z$87,2,FALSE),TIAM15_assumptions!$H$2:$V$2,0))</f>
        <v>0</v>
      </c>
      <c r="AJ65" s="57">
        <f ca="1">OFFSET(TIAM15_assumptions!$G65,0,MATCH(VLOOKUP(Assumptions!AJ$2,TIAM15_assumptions!$Y$3:$Z$87,2,FALSE),TIAM15_assumptions!$H$2:$V$2,0))</f>
        <v>0</v>
      </c>
      <c r="AK65" s="57">
        <f ca="1">OFFSET(TIAM15_assumptions!$G65,0,MATCH(VLOOKUP(Assumptions!AK$2,TIAM15_assumptions!$Y$3:$Z$87,2,FALSE),TIAM15_assumptions!$H$2:$V$2,0))</f>
        <v>0</v>
      </c>
      <c r="AL65" s="57">
        <f ca="1">OFFSET(TIAM15_assumptions!$G65,0,MATCH(VLOOKUP(Assumptions!AL$2,TIAM15_assumptions!$Y$3:$Z$87,2,FALSE),TIAM15_assumptions!$H$2:$V$2,0))</f>
        <v>0</v>
      </c>
      <c r="AM65" s="57">
        <f ca="1">OFFSET(TIAM15_assumptions!$G65,0,MATCH(VLOOKUP(Assumptions!AM$2,TIAM15_assumptions!$Y$3:$Z$87,2,FALSE),TIAM15_assumptions!$H$2:$V$2,0))</f>
        <v>0</v>
      </c>
      <c r="AN65" s="57">
        <f ca="1">OFFSET(TIAM15_assumptions!$G65,0,MATCH(VLOOKUP(Assumptions!AN$2,TIAM15_assumptions!$Y$3:$Z$87,2,FALSE),TIAM15_assumptions!$H$2:$V$2,0))</f>
        <v>0</v>
      </c>
      <c r="AO65" s="57">
        <f ca="1">OFFSET(TIAM15_assumptions!$G65,0,MATCH(VLOOKUP(Assumptions!AO$2,TIAM15_assumptions!$Y$3:$Z$87,2,FALSE),TIAM15_assumptions!$H$2:$V$2,0))</f>
        <v>0</v>
      </c>
      <c r="AP65" s="57">
        <f ca="1">OFFSET(TIAM15_assumptions!$G65,0,MATCH(VLOOKUP(Assumptions!AP$2,TIAM15_assumptions!$Y$3:$Z$87,2,FALSE),TIAM15_assumptions!$H$2:$V$2,0))</f>
        <v>0</v>
      </c>
      <c r="AQ65" s="57">
        <f ca="1">OFFSET(TIAM15_assumptions!$G65,0,MATCH(VLOOKUP(Assumptions!AQ$2,TIAM15_assumptions!$Y$3:$Z$87,2,FALSE),TIAM15_assumptions!$H$2:$V$2,0))</f>
        <v>0</v>
      </c>
      <c r="AR65" s="57">
        <f ca="1">OFFSET(TIAM15_assumptions!$G65,0,MATCH(VLOOKUP(Assumptions!AR$2,TIAM15_assumptions!$Y$3:$Z$87,2,FALSE),TIAM15_assumptions!$H$2:$V$2,0))</f>
        <v>0</v>
      </c>
      <c r="AS65" s="57">
        <f ca="1">OFFSET(TIAM15_assumptions!$G65,0,MATCH(VLOOKUP(Assumptions!AS$2,TIAM15_assumptions!$Y$3:$Z$87,2,FALSE),TIAM15_assumptions!$H$2:$V$2,0))</f>
        <v>0</v>
      </c>
      <c r="AT65" s="57">
        <f ca="1">OFFSET(TIAM15_assumptions!$G65,0,MATCH(VLOOKUP(Assumptions!AT$2,TIAM15_assumptions!$Y$3:$Z$87,2,FALSE),TIAM15_assumptions!$H$2:$V$2,0))</f>
        <v>0</v>
      </c>
      <c r="AU65" s="57">
        <f ca="1">OFFSET(TIAM15_assumptions!$G65,0,MATCH(VLOOKUP(Assumptions!AU$2,TIAM15_assumptions!$Y$3:$Z$87,2,FALSE),TIAM15_assumptions!$H$2:$V$2,0))</f>
        <v>0</v>
      </c>
      <c r="AV65" s="57">
        <f ca="1">OFFSET(TIAM15_assumptions!$G65,0,MATCH(VLOOKUP(Assumptions!AV$2,TIAM15_assumptions!$Y$3:$Z$87,2,FALSE),TIAM15_assumptions!$H$2:$V$2,0))</f>
        <v>0</v>
      </c>
      <c r="AW65" s="57">
        <f ca="1">OFFSET(TIAM15_assumptions!$G65,0,MATCH(VLOOKUP(Assumptions!AW$2,TIAM15_assumptions!$Y$3:$Z$87,2,FALSE),TIAM15_assumptions!$H$2:$V$2,0))</f>
        <v>0</v>
      </c>
      <c r="AX65" s="57">
        <f ca="1">OFFSET(TIAM15_assumptions!$G65,0,MATCH(VLOOKUP(Assumptions!AX$2,TIAM15_assumptions!$Y$3:$Z$87,2,FALSE),TIAM15_assumptions!$H$2:$V$2,0))</f>
        <v>0</v>
      </c>
      <c r="AY65" s="57">
        <f ca="1">OFFSET(TIAM15_assumptions!$G65,0,MATCH(VLOOKUP(Assumptions!AY$2,TIAM15_assumptions!$Y$3:$Z$87,2,FALSE),TIAM15_assumptions!$H$2:$V$2,0))</f>
        <v>0</v>
      </c>
      <c r="AZ65" s="57">
        <f ca="1">OFFSET(TIAM15_assumptions!$G65,0,MATCH(VLOOKUP(Assumptions!AZ$2,TIAM15_assumptions!$Y$3:$Z$87,2,FALSE),TIAM15_assumptions!$H$2:$V$2,0))</f>
        <v>0</v>
      </c>
      <c r="BA65" s="57">
        <f ca="1">OFFSET(TIAM15_assumptions!$G65,0,MATCH(VLOOKUP(Assumptions!BA$2,TIAM15_assumptions!$Y$3:$Z$87,2,FALSE),TIAM15_assumptions!$H$2:$V$2,0))</f>
        <v>0</v>
      </c>
      <c r="BD65" s="40">
        <f ca="1">IFERROR(SUMIFS('TRA balance'!E$5:E$40,'TRA balance'!$C$5:$C$40,Assumptions!$C65,'TRA balance'!$D$5:$D$40,Assumptions!$B65)*CY65*H65,"")</f>
        <v>0</v>
      </c>
      <c r="BE65" s="40">
        <f ca="1">IFERROR(SUMIFS('TRA balance'!F$5:F$40,'TRA balance'!$C$5:$C$40,Assumptions!$C65,'TRA balance'!$D$5:$D$40,Assumptions!$B65)*CZ65*I65,"")</f>
        <v>0</v>
      </c>
      <c r="BF65" s="40">
        <f ca="1">IFERROR(SUMIFS('TRA balance'!G$5:G$40,'TRA balance'!$C$5:$C$40,Assumptions!$C65,'TRA balance'!$D$5:$D$40,Assumptions!$B65)*DA65*J65,"")</f>
        <v>0</v>
      </c>
      <c r="BG65" s="40">
        <f ca="1">IFERROR(SUMIFS('TRA balance'!H$5:H$40,'TRA balance'!$C$5:$C$40,Assumptions!$C65,'TRA balance'!$D$5:$D$40,Assumptions!$B65)*DB65*K65,"")</f>
        <v>0</v>
      </c>
      <c r="BH65" s="40">
        <f ca="1">IFERROR(SUMIFS('TRA balance'!I$5:I$40,'TRA balance'!$C$5:$C$40,Assumptions!$C65,'TRA balance'!$D$5:$D$40,Assumptions!$B65)*DC65*L65,"")</f>
        <v>0</v>
      </c>
      <c r="BI65" s="40">
        <f ca="1">IFERROR(SUMIFS('TRA balance'!J$5:J$40,'TRA balance'!$C$5:$C$40,Assumptions!$C65,'TRA balance'!$D$5:$D$40,Assumptions!$B65)*DD65*M65,"")</f>
        <v>0</v>
      </c>
      <c r="BJ65" s="40">
        <f ca="1">IFERROR(SUMIFS('TRA balance'!K$5:K$40,'TRA balance'!$C$5:$C$40,Assumptions!$C65,'TRA balance'!$D$5:$D$40,Assumptions!$B65)*DE65*N65,"")</f>
        <v>0.45572094700776</v>
      </c>
      <c r="BK65" s="40">
        <f ca="1">IFERROR(SUMIFS('TRA balance'!L$5:L$40,'TRA balance'!$C$5:$C$40,Assumptions!$C65,'TRA balance'!$D$5:$D$40,Assumptions!$B65)*DF65*O65,"")</f>
        <v>2.27424003372</v>
      </c>
      <c r="BL65" s="40">
        <f ca="1">IFERROR(SUMIFS('TRA balance'!M$5:M$40,'TRA balance'!$C$5:$C$40,Assumptions!$C65,'TRA balance'!$D$5:$D$40,Assumptions!$B65)*DG65*P65,"")</f>
        <v>0</v>
      </c>
      <c r="BM65" s="40">
        <f ca="1">IFERROR(SUMIFS('TRA balance'!N$5:N$40,'TRA balance'!$C$5:$C$40,Assumptions!$C65,'TRA balance'!$D$5:$D$40,Assumptions!$B65)*DH65*Q65,"")</f>
        <v>0</v>
      </c>
      <c r="BN65" s="40">
        <f ca="1">IFERROR(SUMIFS('TRA balance'!O$5:O$40,'TRA balance'!$C$5:$C$40,Assumptions!$C65,'TRA balance'!$D$5:$D$40,Assumptions!$B65)*DI65*R65,"")</f>
        <v>0</v>
      </c>
      <c r="BO65" s="40">
        <f ca="1">IFERROR(SUMIFS('TRA balance'!P$5:P$40,'TRA balance'!$C$5:$C$40,Assumptions!$C65,'TRA balance'!$D$5:$D$40,Assumptions!$B65)*DJ65*S65,"")</f>
        <v>0</v>
      </c>
      <c r="BP65" s="40">
        <f ca="1">IFERROR(SUMIFS('TRA balance'!Q$5:Q$40,'TRA balance'!$C$5:$C$40,Assumptions!$C65,'TRA balance'!$D$5:$D$40,Assumptions!$B65)*DK65*T65,"")</f>
        <v>0</v>
      </c>
      <c r="BQ65" s="40">
        <f ca="1">IFERROR(SUMIFS('TRA balance'!R$5:R$40,'TRA balance'!$C$5:$C$40,Assumptions!$C65,'TRA balance'!$D$5:$D$40,Assumptions!$B65)*DL65*U65,"")</f>
        <v>0</v>
      </c>
      <c r="BR65" s="40">
        <f ca="1">IFERROR(SUMIFS('TRA balance'!S$5:S$40,'TRA balance'!$C$5:$C$40,Assumptions!$C65,'TRA balance'!$D$5:$D$40,Assumptions!$B65)*DM65*V65,"")</f>
        <v>0</v>
      </c>
      <c r="BS65" s="40">
        <f ca="1">IFERROR(SUMIFS('TRA balance'!T$5:T$40,'TRA balance'!$C$5:$C$40,Assumptions!$C65,'TRA balance'!$D$5:$D$40,Assumptions!$B65)*DN65*W65,"")</f>
        <v>0.1023086448</v>
      </c>
      <c r="BT65" s="40">
        <f ca="1">IFERROR(SUMIFS('TRA balance'!U$5:U$40,'TRA balance'!$C$5:$C$40,Assumptions!$C65,'TRA balance'!$D$5:$D$40,Assumptions!$B65)*DO65*X65,"")</f>
        <v>0</v>
      </c>
      <c r="BU65" s="40">
        <f ca="1">IFERROR(SUMIFS('TRA balance'!V$5:V$40,'TRA balance'!$C$5:$C$40,Assumptions!$C65,'TRA balance'!$D$5:$D$40,Assumptions!$B65)*DP65*Y65,"")</f>
        <v>0</v>
      </c>
      <c r="BV65" s="40">
        <f ca="1">IFERROR(SUMIFS('TRA balance'!W$5:W$40,'TRA balance'!$C$5:$C$40,Assumptions!$C65,'TRA balance'!$D$5:$D$40,Assumptions!$B65)*DQ65*Z65,"")</f>
        <v>0.000259623468</v>
      </c>
      <c r="BW65" s="40">
        <f ca="1">IFERROR(SUMIFS('TRA balance'!X$5:X$40,'TRA balance'!$C$5:$C$40,Assumptions!$C65,'TRA balance'!$D$5:$D$40,Assumptions!$B65)*DR65*AA65,"")</f>
        <v>0.05198446979964</v>
      </c>
      <c r="BX65" s="40">
        <f ca="1">IFERROR(SUMIFS('TRA balance'!Y$5:Y$40,'TRA balance'!$C$5:$C$40,Assumptions!$C65,'TRA balance'!$D$5:$D$40,Assumptions!$B65)*DS65*AB65,"")</f>
        <v>0</v>
      </c>
      <c r="BY65" s="40">
        <f ca="1">IFERROR(SUMIFS('TRA balance'!Z$5:Z$40,'TRA balance'!$C$5:$C$40,Assumptions!$C65,'TRA balance'!$D$5:$D$40,Assumptions!$B65)*DT65*AC65,"")</f>
        <v>0</v>
      </c>
      <c r="BZ65" s="40">
        <f ca="1">IFERROR(SUMIFS('TRA balance'!AA$5:AA$40,'TRA balance'!$C$5:$C$40,Assumptions!$C65,'TRA balance'!$D$5:$D$40,Assumptions!$B65)*DU65*AD65,"")</f>
        <v>0</v>
      </c>
      <c r="CA65" s="40">
        <f ca="1">IFERROR(SUMIFS('TRA balance'!AB$5:AB$40,'TRA balance'!$C$5:$C$40,Assumptions!$C65,'TRA balance'!$D$5:$D$40,Assumptions!$B65)*DV65*AE65,"")</f>
        <v>0</v>
      </c>
      <c r="CB65" s="40">
        <f ca="1">IFERROR(SUMIFS('TRA balance'!AC$5:AC$40,'TRA balance'!$C$5:$C$40,Assumptions!$C65,'TRA balance'!$D$5:$D$40,Assumptions!$B65)*DW65*AF65,"")</f>
        <v>0</v>
      </c>
      <c r="CC65" s="40">
        <f ca="1">IFERROR(SUMIFS('TRA balance'!AD$5:AD$40,'TRA balance'!$C$5:$C$40,Assumptions!$C65,'TRA balance'!$D$5:$D$40,Assumptions!$B65)*DX65*AG65,"")</f>
        <v>0</v>
      </c>
      <c r="CD65" s="40">
        <f ca="1">IFERROR(SUMIFS('TRA balance'!AE$5:AE$40,'TRA balance'!$C$5:$C$40,Assumptions!$C65,'TRA balance'!$D$5:$D$40,Assumptions!$B65)*DY65*AH65,"")</f>
        <v>0</v>
      </c>
      <c r="CE65" s="40">
        <f ca="1">IFERROR(SUMIFS('TRA balance'!AF$5:AF$40,'TRA balance'!$C$5:$C$40,Assumptions!$C65,'TRA balance'!$D$5:$D$40,Assumptions!$B65)*DZ65*AI65,"")</f>
        <v>0</v>
      </c>
      <c r="CF65" s="40">
        <f ca="1">IFERROR(SUMIFS('TRA balance'!AG$5:AG$40,'TRA balance'!$C$5:$C$40,Assumptions!$C65,'TRA balance'!$D$5:$D$40,Assumptions!$B65)*EA65*AJ65,"")</f>
        <v>0</v>
      </c>
      <c r="CG65" s="40">
        <f ca="1">IFERROR(SUMIFS('TRA balance'!AH$5:AH$40,'TRA balance'!$C$5:$C$40,Assumptions!$C65,'TRA balance'!$D$5:$D$40,Assumptions!$B65)*EB65*AK65,"")</f>
        <v>0</v>
      </c>
      <c r="CH65" s="40">
        <f ca="1">IFERROR(SUMIFS('TRA balance'!AI$5:AI$40,'TRA balance'!$C$5:$C$40,Assumptions!$C65,'TRA balance'!$D$5:$D$40,Assumptions!$B65)*EC65*AL65,"")</f>
        <v>0</v>
      </c>
      <c r="CI65" s="40">
        <f ca="1">IFERROR(SUMIFS('TRA balance'!AJ$5:AJ$40,'TRA balance'!$C$5:$C$40,Assumptions!$C65,'TRA balance'!$D$5:$D$40,Assumptions!$B65)*ED65*AM65,"")</f>
        <v>0</v>
      </c>
      <c r="CJ65" s="40">
        <f ca="1">IFERROR(SUMIFS('TRA balance'!AK$5:AK$40,'TRA balance'!$C$5:$C$40,Assumptions!$C65,'TRA balance'!$D$5:$D$40,Assumptions!$B65)*EE65*AN65,"")</f>
        <v>0</v>
      </c>
      <c r="CK65" s="40">
        <f ca="1">IFERROR(SUMIFS('TRA balance'!AL$5:AL$40,'TRA balance'!$C$5:$C$40,Assumptions!$C65,'TRA balance'!$D$5:$D$40,Assumptions!$B65)*EF65*AO65,"")</f>
        <v>0</v>
      </c>
      <c r="CL65" s="40">
        <f ca="1">IFERROR(SUMIFS('TRA balance'!AM$5:AM$40,'TRA balance'!$C$5:$C$40,Assumptions!$C65,'TRA balance'!$D$5:$D$40,Assumptions!$B65)*EG65*AP65,"")</f>
        <v>0</v>
      </c>
      <c r="CM65" s="40">
        <f ca="1">IFERROR(SUMIFS('TRA balance'!AN$5:AN$40,'TRA balance'!$C$5:$C$40,Assumptions!$C65,'TRA balance'!$D$5:$D$40,Assumptions!$B65)*EH65*AQ65,"")</f>
        <v>0</v>
      </c>
      <c r="CN65" s="40">
        <f ca="1">IFERROR(SUMIFS('TRA balance'!AO$5:AO$40,'TRA balance'!$C$5:$C$40,Assumptions!$C65,'TRA balance'!$D$5:$D$40,Assumptions!$B65)*EI65*AR65,"")</f>
        <v>0</v>
      </c>
      <c r="CO65" s="40">
        <f ca="1">IFERROR(SUMIFS('TRA balance'!AP$5:AP$40,'TRA balance'!$C$5:$C$40,Assumptions!$C65,'TRA balance'!$D$5:$D$40,Assumptions!$B65)*EJ65*AS65,"")</f>
        <v>0</v>
      </c>
      <c r="CP65" s="40">
        <f ca="1">IFERROR(SUMIFS('TRA balance'!AQ$5:AQ$40,'TRA balance'!$C$5:$C$40,Assumptions!$C65,'TRA balance'!$D$5:$D$40,Assumptions!$B65)*EK65*AT65,"")</f>
        <v>0</v>
      </c>
      <c r="CQ65" s="40">
        <f ca="1">IFERROR(SUMIFS('TRA balance'!AR$5:AR$40,'TRA balance'!$C$5:$C$40,Assumptions!$C65,'TRA balance'!$D$5:$D$40,Assumptions!$B65)*EL65*AU65,"")</f>
        <v>0</v>
      </c>
      <c r="CR65" s="40">
        <f ca="1">IFERROR(SUMIFS('TRA balance'!AS$5:AS$40,'TRA balance'!$C$5:$C$40,Assumptions!$C65,'TRA balance'!$D$5:$D$40,Assumptions!$B65)*EM65*AV65,"")</f>
        <v>0</v>
      </c>
      <c r="CS65" s="40">
        <f ca="1">IFERROR(SUMIFS('TRA balance'!AT$5:AT$40,'TRA balance'!$C$5:$C$40,Assumptions!$C65,'TRA balance'!$D$5:$D$40,Assumptions!$B65)*EN65*AW65,"")</f>
        <v>0</v>
      </c>
      <c r="CT65" s="40">
        <f ca="1">IFERROR(SUMIFS('TRA balance'!AU$5:AU$40,'TRA balance'!$C$5:$C$40,Assumptions!$C65,'TRA balance'!$D$5:$D$40,Assumptions!$B65)*EO65*AX65,"")</f>
        <v>0</v>
      </c>
      <c r="CU65" s="40">
        <f ca="1">IFERROR(SUMIFS('TRA balance'!AV$5:AV$40,'TRA balance'!$C$5:$C$40,Assumptions!$C65,'TRA balance'!$D$5:$D$40,Assumptions!$B65)*EP65*AY65,"")</f>
        <v>0</v>
      </c>
      <c r="CV65" s="40">
        <f ca="1">IFERROR(SUMIFS('TRA balance'!AW$5:AW$40,'TRA balance'!$C$5:$C$40,Assumptions!$C65,'TRA balance'!$D$5:$D$40,Assumptions!$B65)*EQ65*AZ65,"")</f>
        <v>0</v>
      </c>
      <c r="CW65" s="40">
        <f ca="1">IFERROR(SUMIFS('TRA balance'!AX$5:AX$40,'TRA balance'!$C$5:$C$40,Assumptions!$C65,'TRA balance'!$D$5:$D$40,Assumptions!$B65)*ER65*BA65,"")</f>
        <v>0</v>
      </c>
      <c r="CY65" s="39">
        <f ca="1" t="shared" si="66"/>
        <v>0.1</v>
      </c>
      <c r="CZ65" s="39">
        <f ca="1" t="shared" si="3"/>
        <v>0.1</v>
      </c>
      <c r="DA65" s="39">
        <f ca="1" t="shared" si="4"/>
        <v>0.02</v>
      </c>
      <c r="DB65" s="39">
        <f ca="1" t="shared" si="5"/>
        <v>0.2</v>
      </c>
      <c r="DC65" s="39">
        <f ca="1" t="shared" si="6"/>
        <v>0.05</v>
      </c>
      <c r="DD65" s="39">
        <f ca="1" t="shared" si="7"/>
        <v>0.2</v>
      </c>
      <c r="DE65" s="39">
        <f ca="1" t="shared" si="8"/>
        <v>0.07</v>
      </c>
      <c r="DF65" s="39">
        <f ca="1" t="shared" si="9"/>
        <v>0.1</v>
      </c>
      <c r="DG65" s="39">
        <f ca="1" t="shared" si="10"/>
        <v>0.2</v>
      </c>
      <c r="DH65" s="39">
        <f ca="1" t="shared" si="11"/>
        <v>0.2</v>
      </c>
      <c r="DI65" s="39">
        <f ca="1" t="shared" si="12"/>
        <v>0.2</v>
      </c>
      <c r="DJ65" s="39">
        <f ca="1" t="shared" si="13"/>
        <v>0.2</v>
      </c>
      <c r="DK65" s="39">
        <f ca="1" t="shared" si="14"/>
        <v>0.2</v>
      </c>
      <c r="DL65" s="39">
        <f ca="1" t="shared" si="15"/>
        <v>0.2</v>
      </c>
      <c r="DM65" s="39">
        <f ca="1" t="shared" si="16"/>
        <v>0.2</v>
      </c>
      <c r="DN65" s="39">
        <f ca="1" t="shared" si="17"/>
        <v>0.25</v>
      </c>
      <c r="DO65" s="39">
        <f ca="1" t="shared" si="18"/>
        <v>0.2</v>
      </c>
      <c r="DP65" s="39">
        <f ca="1" t="shared" si="19"/>
        <v>0.2</v>
      </c>
      <c r="DQ65" s="39">
        <f ca="1" t="shared" si="20"/>
        <v>0.05</v>
      </c>
      <c r="DR65" s="39">
        <f ca="1" t="shared" si="21"/>
        <v>0.07</v>
      </c>
      <c r="DS65" s="39">
        <f ca="1" t="shared" si="22"/>
        <v>0.1</v>
      </c>
      <c r="DT65" s="39">
        <f ca="1" t="shared" si="23"/>
        <v>0.0244064218226165</v>
      </c>
      <c r="DU65" s="39">
        <f ca="1" t="shared" si="24"/>
        <v>0.2</v>
      </c>
      <c r="DV65" s="39">
        <f ca="1" t="shared" si="25"/>
        <v>0.2</v>
      </c>
      <c r="DW65" s="39">
        <f ca="1" t="shared" si="26"/>
        <v>0.08</v>
      </c>
      <c r="DX65" s="39">
        <f ca="1" t="shared" si="27"/>
        <v>0.05</v>
      </c>
      <c r="DY65" s="39">
        <f ca="1" t="shared" si="28"/>
        <v>0.1</v>
      </c>
      <c r="DZ65" s="39">
        <f ca="1" t="shared" si="29"/>
        <v>0.1</v>
      </c>
      <c r="EA65" s="39">
        <f ca="1" t="shared" si="30"/>
        <v>0.2</v>
      </c>
      <c r="EB65" s="39">
        <f ca="1" t="shared" si="31"/>
        <v>0.2</v>
      </c>
      <c r="EC65" s="39">
        <f ca="1" t="shared" si="32"/>
        <v>0.2</v>
      </c>
      <c r="ED65" s="39">
        <f ca="1" t="shared" si="33"/>
        <v>0.1</v>
      </c>
      <c r="EE65" s="39">
        <f ca="1" t="shared" si="34"/>
        <v>0.2</v>
      </c>
      <c r="EF65" s="39">
        <f ca="1" t="shared" si="35"/>
        <v>0.05</v>
      </c>
      <c r="EG65" s="39">
        <f ca="1" t="shared" si="36"/>
        <v>0.2</v>
      </c>
      <c r="EH65" s="39">
        <f ca="1" t="shared" si="37"/>
        <v>0.0244064218226165</v>
      </c>
      <c r="EI65" s="39">
        <f ca="1" t="shared" si="38"/>
        <v>0.0244064218226165</v>
      </c>
      <c r="EJ65" s="39">
        <f ca="1" t="shared" si="39"/>
        <v>0.0244064218226165</v>
      </c>
      <c r="EK65" s="39">
        <f ca="1" t="shared" si="40"/>
        <v>0.0244064218226165</v>
      </c>
      <c r="EL65" s="39">
        <f ca="1" t="shared" si="41"/>
        <v>0.0244064218226165</v>
      </c>
      <c r="EM65" s="39">
        <f ca="1" t="shared" si="42"/>
        <v>0.0244064218226165</v>
      </c>
      <c r="EN65" s="39">
        <f ca="1" t="shared" si="43"/>
        <v>0.0244064218226165</v>
      </c>
      <c r="EO65" s="39">
        <f ca="1" t="shared" si="44"/>
        <v>0.0244064218226165</v>
      </c>
      <c r="EP65" s="39">
        <f ca="1" t="shared" si="45"/>
        <v>0.0244064218226165</v>
      </c>
      <c r="EQ65" s="39">
        <f ca="1" t="shared" si="46"/>
        <v>0.0244064218226165</v>
      </c>
      <c r="ER65" s="39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4" t="str">
        <f t="shared" si="48"/>
        <v>TR</v>
      </c>
      <c r="D66" s="55" t="s">
        <v>200</v>
      </c>
      <c r="E66" s="66" t="s">
        <v>208</v>
      </c>
      <c r="F66" s="56" t="str">
        <f t="shared" si="84"/>
        <v>Bio Diesel</v>
      </c>
      <c r="G66" s="54" t="s">
        <v>209</v>
      </c>
      <c r="H66" s="57">
        <f ca="1">OFFSET(TIAM15_assumptions!$G66,0,MATCH(VLOOKUP(Assumptions!H$2,TIAM15_assumptions!$Y$3:$Z$87,2,FALSE),TIAM15_assumptions!$H$2:$V$2,0))</f>
        <v>0</v>
      </c>
      <c r="I66" s="57">
        <f ca="1">OFFSET(TIAM15_assumptions!$G66,0,MATCH(VLOOKUP(Assumptions!I$2,TIAM15_assumptions!$Y$3:$Z$87,2,FALSE),TIAM15_assumptions!$H$2:$V$2,0))</f>
        <v>0</v>
      </c>
      <c r="J66" s="57">
        <f ca="1">OFFSET(TIAM15_assumptions!$G66,0,MATCH(VLOOKUP(Assumptions!J$2,TIAM15_assumptions!$Y$3:$Z$87,2,FALSE),TIAM15_assumptions!$H$2:$V$2,0))</f>
        <v>0</v>
      </c>
      <c r="K66" s="57">
        <f ca="1">OFFSET(TIAM15_assumptions!$G66,0,MATCH(VLOOKUP(Assumptions!K$2,TIAM15_assumptions!$Y$3:$Z$87,2,FALSE),TIAM15_assumptions!$H$2:$V$2,0))</f>
        <v>0</v>
      </c>
      <c r="L66" s="57">
        <f ca="1">OFFSET(TIAM15_assumptions!$G66,0,MATCH(VLOOKUP(Assumptions!L$2,TIAM15_assumptions!$Y$3:$Z$87,2,FALSE),TIAM15_assumptions!$H$2:$V$2,0))</f>
        <v>0</v>
      </c>
      <c r="M66" s="57">
        <f ca="1">OFFSET(TIAM15_assumptions!$G66,0,MATCH(VLOOKUP(Assumptions!M$2,TIAM15_assumptions!$Y$3:$Z$87,2,FALSE),TIAM15_assumptions!$H$2:$V$2,0))</f>
        <v>0</v>
      </c>
      <c r="N66" s="57">
        <f ca="1">OFFSET(TIAM15_assumptions!$G66,0,MATCH(VLOOKUP(Assumptions!N$2,TIAM15_assumptions!$Y$3:$Z$87,2,FALSE),TIAM15_assumptions!$H$2:$V$2,0))</f>
        <v>0</v>
      </c>
      <c r="O66" s="57">
        <f ca="1">OFFSET(TIAM15_assumptions!$G66,0,MATCH(VLOOKUP(Assumptions!O$2,TIAM15_assumptions!$Y$3:$Z$87,2,FALSE),TIAM15_assumptions!$H$2:$V$2,0))</f>
        <v>0</v>
      </c>
      <c r="P66" s="57">
        <f ca="1">OFFSET(TIAM15_assumptions!$G66,0,MATCH(VLOOKUP(Assumptions!P$2,TIAM15_assumptions!$Y$3:$Z$87,2,FALSE),TIAM15_assumptions!$H$2:$V$2,0))</f>
        <v>0</v>
      </c>
      <c r="Q66" s="57">
        <f ca="1">OFFSET(TIAM15_assumptions!$G66,0,MATCH(VLOOKUP(Assumptions!Q$2,TIAM15_assumptions!$Y$3:$Z$87,2,FALSE),TIAM15_assumptions!$H$2:$V$2,0))</f>
        <v>0</v>
      </c>
      <c r="R66" s="57">
        <f ca="1">OFFSET(TIAM15_assumptions!$G66,0,MATCH(VLOOKUP(Assumptions!R$2,TIAM15_assumptions!$Y$3:$Z$87,2,FALSE),TIAM15_assumptions!$H$2:$V$2,0))</f>
        <v>0</v>
      </c>
      <c r="S66" s="57">
        <f ca="1">OFFSET(TIAM15_assumptions!$G66,0,MATCH(VLOOKUP(Assumptions!S$2,TIAM15_assumptions!$Y$3:$Z$87,2,FALSE),TIAM15_assumptions!$H$2:$V$2,0))</f>
        <v>0</v>
      </c>
      <c r="T66" s="57">
        <f ca="1">OFFSET(TIAM15_assumptions!$G66,0,MATCH(VLOOKUP(Assumptions!T$2,TIAM15_assumptions!$Y$3:$Z$87,2,FALSE),TIAM15_assumptions!$H$2:$V$2,0))</f>
        <v>0</v>
      </c>
      <c r="U66" s="57">
        <f ca="1">OFFSET(TIAM15_assumptions!$G66,0,MATCH(VLOOKUP(Assumptions!U$2,TIAM15_assumptions!$Y$3:$Z$87,2,FALSE),TIAM15_assumptions!$H$2:$V$2,0))</f>
        <v>0</v>
      </c>
      <c r="V66" s="57">
        <f ca="1">OFFSET(TIAM15_assumptions!$G66,0,MATCH(VLOOKUP(Assumptions!V$2,TIAM15_assumptions!$Y$3:$Z$87,2,FALSE),TIAM15_assumptions!$H$2:$V$2,0))</f>
        <v>0</v>
      </c>
      <c r="W66" s="57">
        <f ca="1">OFFSET(TIAM15_assumptions!$G66,0,MATCH(VLOOKUP(Assumptions!W$2,TIAM15_assumptions!$Y$3:$Z$87,2,FALSE),TIAM15_assumptions!$H$2:$V$2,0))</f>
        <v>0</v>
      </c>
      <c r="X66" s="57">
        <f ca="1">OFFSET(TIAM15_assumptions!$G66,0,MATCH(VLOOKUP(Assumptions!X$2,TIAM15_assumptions!$Y$3:$Z$87,2,FALSE),TIAM15_assumptions!$H$2:$V$2,0))</f>
        <v>0</v>
      </c>
      <c r="Y66" s="57">
        <f ca="1">OFFSET(TIAM15_assumptions!$G66,0,MATCH(VLOOKUP(Assumptions!Y$2,TIAM15_assumptions!$Y$3:$Z$87,2,FALSE),TIAM15_assumptions!$H$2:$V$2,0))</f>
        <v>0</v>
      </c>
      <c r="Z66" s="57">
        <f ca="1">OFFSET(TIAM15_assumptions!$G66,0,MATCH(VLOOKUP(Assumptions!Z$2,TIAM15_assumptions!$Y$3:$Z$87,2,FALSE),TIAM15_assumptions!$H$2:$V$2,0))</f>
        <v>0</v>
      </c>
      <c r="AA66" s="57">
        <f ca="1">OFFSET(TIAM15_assumptions!$G66,0,MATCH(VLOOKUP(Assumptions!AA$2,TIAM15_assumptions!$Y$3:$Z$87,2,FALSE),TIAM15_assumptions!$H$2:$V$2,0))</f>
        <v>0</v>
      </c>
      <c r="AB66" s="57">
        <f ca="1">OFFSET(TIAM15_assumptions!$G66,0,MATCH(VLOOKUP(Assumptions!AB$2,TIAM15_assumptions!$Y$3:$Z$87,2,FALSE),TIAM15_assumptions!$H$2:$V$2,0))</f>
        <v>0</v>
      </c>
      <c r="AC66" s="57">
        <f ca="1">OFFSET(TIAM15_assumptions!$G66,0,MATCH(VLOOKUP(Assumptions!AC$2,TIAM15_assumptions!$Y$3:$Z$87,2,FALSE),TIAM15_assumptions!$H$2:$V$2,0))</f>
        <v>0</v>
      </c>
      <c r="AD66" s="57">
        <f ca="1">OFFSET(TIAM15_assumptions!$G66,0,MATCH(VLOOKUP(Assumptions!AD$2,TIAM15_assumptions!$Y$3:$Z$87,2,FALSE),TIAM15_assumptions!$H$2:$V$2,0))</f>
        <v>0</v>
      </c>
      <c r="AE66" s="57">
        <f ca="1">OFFSET(TIAM15_assumptions!$G66,0,MATCH(VLOOKUP(Assumptions!AE$2,TIAM15_assumptions!$Y$3:$Z$87,2,FALSE),TIAM15_assumptions!$H$2:$V$2,0))</f>
        <v>0</v>
      </c>
      <c r="AF66" s="57">
        <f ca="1">OFFSET(TIAM15_assumptions!$G66,0,MATCH(VLOOKUP(Assumptions!AF$2,TIAM15_assumptions!$Y$3:$Z$87,2,FALSE),TIAM15_assumptions!$H$2:$V$2,0))</f>
        <v>0</v>
      </c>
      <c r="AG66" s="57">
        <f ca="1">OFFSET(TIAM15_assumptions!$G66,0,MATCH(VLOOKUP(Assumptions!AG$2,TIAM15_assumptions!$Y$3:$Z$87,2,FALSE),TIAM15_assumptions!$H$2:$V$2,0))</f>
        <v>0</v>
      </c>
      <c r="AH66" s="57">
        <f ca="1">OFFSET(TIAM15_assumptions!$G66,0,MATCH(VLOOKUP(Assumptions!AH$2,TIAM15_assumptions!$Y$3:$Z$87,2,FALSE),TIAM15_assumptions!$H$2:$V$2,0))</f>
        <v>0</v>
      </c>
      <c r="AI66" s="57">
        <f ca="1">OFFSET(TIAM15_assumptions!$G66,0,MATCH(VLOOKUP(Assumptions!AI$2,TIAM15_assumptions!$Y$3:$Z$87,2,FALSE),TIAM15_assumptions!$H$2:$V$2,0))</f>
        <v>0</v>
      </c>
      <c r="AJ66" s="57">
        <f ca="1">OFFSET(TIAM15_assumptions!$G66,0,MATCH(VLOOKUP(Assumptions!AJ$2,TIAM15_assumptions!$Y$3:$Z$87,2,FALSE),TIAM15_assumptions!$H$2:$V$2,0))</f>
        <v>0</v>
      </c>
      <c r="AK66" s="57">
        <f ca="1">OFFSET(TIAM15_assumptions!$G66,0,MATCH(VLOOKUP(Assumptions!AK$2,TIAM15_assumptions!$Y$3:$Z$87,2,FALSE),TIAM15_assumptions!$H$2:$V$2,0))</f>
        <v>0</v>
      </c>
      <c r="AL66" s="57">
        <f ca="1">OFFSET(TIAM15_assumptions!$G66,0,MATCH(VLOOKUP(Assumptions!AL$2,TIAM15_assumptions!$Y$3:$Z$87,2,FALSE),TIAM15_assumptions!$H$2:$V$2,0))</f>
        <v>0</v>
      </c>
      <c r="AM66" s="57">
        <f ca="1">OFFSET(TIAM15_assumptions!$G66,0,MATCH(VLOOKUP(Assumptions!AM$2,TIAM15_assumptions!$Y$3:$Z$87,2,FALSE),TIAM15_assumptions!$H$2:$V$2,0))</f>
        <v>0</v>
      </c>
      <c r="AN66" s="57">
        <f ca="1">OFFSET(TIAM15_assumptions!$G66,0,MATCH(VLOOKUP(Assumptions!AN$2,TIAM15_assumptions!$Y$3:$Z$87,2,FALSE),TIAM15_assumptions!$H$2:$V$2,0))</f>
        <v>0</v>
      </c>
      <c r="AO66" s="57">
        <f ca="1">OFFSET(TIAM15_assumptions!$G66,0,MATCH(VLOOKUP(Assumptions!AO$2,TIAM15_assumptions!$Y$3:$Z$87,2,FALSE),TIAM15_assumptions!$H$2:$V$2,0))</f>
        <v>0</v>
      </c>
      <c r="AP66" s="57">
        <f ca="1">OFFSET(TIAM15_assumptions!$G66,0,MATCH(VLOOKUP(Assumptions!AP$2,TIAM15_assumptions!$Y$3:$Z$87,2,FALSE),TIAM15_assumptions!$H$2:$V$2,0))</f>
        <v>0</v>
      </c>
      <c r="AQ66" s="57">
        <f ca="1">OFFSET(TIAM15_assumptions!$G66,0,MATCH(VLOOKUP(Assumptions!AQ$2,TIAM15_assumptions!$Y$3:$Z$87,2,FALSE),TIAM15_assumptions!$H$2:$V$2,0))</f>
        <v>0</v>
      </c>
      <c r="AR66" s="57">
        <f ca="1">OFFSET(TIAM15_assumptions!$G66,0,MATCH(VLOOKUP(Assumptions!AR$2,TIAM15_assumptions!$Y$3:$Z$87,2,FALSE),TIAM15_assumptions!$H$2:$V$2,0))</f>
        <v>0</v>
      </c>
      <c r="AS66" s="57">
        <f ca="1">OFFSET(TIAM15_assumptions!$G66,0,MATCH(VLOOKUP(Assumptions!AS$2,TIAM15_assumptions!$Y$3:$Z$87,2,FALSE),TIAM15_assumptions!$H$2:$V$2,0))</f>
        <v>0</v>
      </c>
      <c r="AT66" s="57">
        <f ca="1">OFFSET(TIAM15_assumptions!$G66,0,MATCH(VLOOKUP(Assumptions!AT$2,TIAM15_assumptions!$Y$3:$Z$87,2,FALSE),TIAM15_assumptions!$H$2:$V$2,0))</f>
        <v>0</v>
      </c>
      <c r="AU66" s="57">
        <f ca="1">OFFSET(TIAM15_assumptions!$G66,0,MATCH(VLOOKUP(Assumptions!AU$2,TIAM15_assumptions!$Y$3:$Z$87,2,FALSE),TIAM15_assumptions!$H$2:$V$2,0))</f>
        <v>0</v>
      </c>
      <c r="AV66" s="57">
        <f ca="1">OFFSET(TIAM15_assumptions!$G66,0,MATCH(VLOOKUP(Assumptions!AV$2,TIAM15_assumptions!$Y$3:$Z$87,2,FALSE),TIAM15_assumptions!$H$2:$V$2,0))</f>
        <v>0</v>
      </c>
      <c r="AW66" s="57">
        <f ca="1">OFFSET(TIAM15_assumptions!$G66,0,MATCH(VLOOKUP(Assumptions!AW$2,TIAM15_assumptions!$Y$3:$Z$87,2,FALSE),TIAM15_assumptions!$H$2:$V$2,0))</f>
        <v>0</v>
      </c>
      <c r="AX66" s="57">
        <f ca="1">OFFSET(TIAM15_assumptions!$G66,0,MATCH(VLOOKUP(Assumptions!AX$2,TIAM15_assumptions!$Y$3:$Z$87,2,FALSE),TIAM15_assumptions!$H$2:$V$2,0))</f>
        <v>0</v>
      </c>
      <c r="AY66" s="57">
        <f ca="1">OFFSET(TIAM15_assumptions!$G66,0,MATCH(VLOOKUP(Assumptions!AY$2,TIAM15_assumptions!$Y$3:$Z$87,2,FALSE),TIAM15_assumptions!$H$2:$V$2,0))</f>
        <v>0</v>
      </c>
      <c r="AZ66" s="57">
        <f ca="1">OFFSET(TIAM15_assumptions!$G66,0,MATCH(VLOOKUP(Assumptions!AZ$2,TIAM15_assumptions!$Y$3:$Z$87,2,FALSE),TIAM15_assumptions!$H$2:$V$2,0))</f>
        <v>0</v>
      </c>
      <c r="BA66" s="57">
        <f ca="1">OFFSET(TIAM15_assumptions!$G66,0,MATCH(VLOOKUP(Assumptions!BA$2,TIAM15_assumptions!$Y$3:$Z$87,2,FALSE),TIAM15_assumptions!$H$2:$V$2,0))</f>
        <v>0</v>
      </c>
      <c r="BD66" s="40">
        <f ca="1">IFERROR(SUMIFS('TRA balance'!E$5:E$40,'TRA balance'!$C$5:$C$40,Assumptions!$C66,'TRA balance'!$D$5:$D$40,Assumptions!$B66)*CY66*H66,"")</f>
        <v>0</v>
      </c>
      <c r="BE66" s="40">
        <f ca="1">IFERROR(SUMIFS('TRA balance'!F$5:F$40,'TRA balance'!$C$5:$C$40,Assumptions!$C66,'TRA balance'!$D$5:$D$40,Assumptions!$B66)*CZ66*I66,"")</f>
        <v>0</v>
      </c>
      <c r="BF66" s="40">
        <f ca="1">IFERROR(SUMIFS('TRA balance'!G$5:G$40,'TRA balance'!$C$5:$C$40,Assumptions!$C66,'TRA balance'!$D$5:$D$40,Assumptions!$B66)*DA66*J66,"")</f>
        <v>0</v>
      </c>
      <c r="BG66" s="40">
        <f ca="1">IFERROR(SUMIFS('TRA balance'!H$5:H$40,'TRA balance'!$C$5:$C$40,Assumptions!$C66,'TRA balance'!$D$5:$D$40,Assumptions!$B66)*DB66*K66,"")</f>
        <v>0</v>
      </c>
      <c r="BH66" s="40">
        <f ca="1">IFERROR(SUMIFS('TRA balance'!I$5:I$40,'TRA balance'!$C$5:$C$40,Assumptions!$C66,'TRA balance'!$D$5:$D$40,Assumptions!$B66)*DC66*L66,"")</f>
        <v>0</v>
      </c>
      <c r="BI66" s="40">
        <f ca="1">IFERROR(SUMIFS('TRA balance'!J$5:J$40,'TRA balance'!$C$5:$C$40,Assumptions!$C66,'TRA balance'!$D$5:$D$40,Assumptions!$B66)*DD66*M66,"")</f>
        <v>0</v>
      </c>
      <c r="BJ66" s="40">
        <f ca="1">IFERROR(SUMIFS('TRA balance'!K$5:K$40,'TRA balance'!$C$5:$C$40,Assumptions!$C66,'TRA balance'!$D$5:$D$40,Assumptions!$B66)*DE66*N66,"")</f>
        <v>0</v>
      </c>
      <c r="BK66" s="40">
        <f ca="1">IFERROR(SUMIFS('TRA balance'!L$5:L$40,'TRA balance'!$C$5:$C$40,Assumptions!$C66,'TRA balance'!$D$5:$D$40,Assumptions!$B66)*DF66*O66,"")</f>
        <v>0</v>
      </c>
      <c r="BL66" s="40">
        <f ca="1">IFERROR(SUMIFS('TRA balance'!M$5:M$40,'TRA balance'!$C$5:$C$40,Assumptions!$C66,'TRA balance'!$D$5:$D$40,Assumptions!$B66)*DG66*P66,"")</f>
        <v>0</v>
      </c>
      <c r="BM66" s="40">
        <f ca="1">IFERROR(SUMIFS('TRA balance'!N$5:N$40,'TRA balance'!$C$5:$C$40,Assumptions!$C66,'TRA balance'!$D$5:$D$40,Assumptions!$B66)*DH66*Q66,"")</f>
        <v>0</v>
      </c>
      <c r="BN66" s="40">
        <f ca="1">IFERROR(SUMIFS('TRA balance'!O$5:O$40,'TRA balance'!$C$5:$C$40,Assumptions!$C66,'TRA balance'!$D$5:$D$40,Assumptions!$B66)*DI66*R66,"")</f>
        <v>0</v>
      </c>
      <c r="BO66" s="40">
        <f ca="1">IFERROR(SUMIFS('TRA balance'!P$5:P$40,'TRA balance'!$C$5:$C$40,Assumptions!$C66,'TRA balance'!$D$5:$D$40,Assumptions!$B66)*DJ66*S66,"")</f>
        <v>0</v>
      </c>
      <c r="BP66" s="40">
        <f ca="1">IFERROR(SUMIFS('TRA balance'!Q$5:Q$40,'TRA balance'!$C$5:$C$40,Assumptions!$C66,'TRA balance'!$D$5:$D$40,Assumptions!$B66)*DK66*T66,"")</f>
        <v>0</v>
      </c>
      <c r="BQ66" s="40">
        <f ca="1">IFERROR(SUMIFS('TRA balance'!R$5:R$40,'TRA balance'!$C$5:$C$40,Assumptions!$C66,'TRA balance'!$D$5:$D$40,Assumptions!$B66)*DL66*U66,"")</f>
        <v>0</v>
      </c>
      <c r="BR66" s="40">
        <f ca="1">IFERROR(SUMIFS('TRA balance'!S$5:S$40,'TRA balance'!$C$5:$C$40,Assumptions!$C66,'TRA balance'!$D$5:$D$40,Assumptions!$B66)*DM66*V66,"")</f>
        <v>0</v>
      </c>
      <c r="BS66" s="40">
        <f ca="1">IFERROR(SUMIFS('TRA balance'!T$5:T$40,'TRA balance'!$C$5:$C$40,Assumptions!$C66,'TRA balance'!$D$5:$D$40,Assumptions!$B66)*DN66*W66,"")</f>
        <v>0</v>
      </c>
      <c r="BT66" s="40">
        <f ca="1">IFERROR(SUMIFS('TRA balance'!U$5:U$40,'TRA balance'!$C$5:$C$40,Assumptions!$C66,'TRA balance'!$D$5:$D$40,Assumptions!$B66)*DO66*X66,"")</f>
        <v>0</v>
      </c>
      <c r="BU66" s="40">
        <f ca="1">IFERROR(SUMIFS('TRA balance'!V$5:V$40,'TRA balance'!$C$5:$C$40,Assumptions!$C66,'TRA balance'!$D$5:$D$40,Assumptions!$B66)*DP66*Y66,"")</f>
        <v>0</v>
      </c>
      <c r="BV66" s="40">
        <f ca="1">IFERROR(SUMIFS('TRA balance'!W$5:W$40,'TRA balance'!$C$5:$C$40,Assumptions!$C66,'TRA balance'!$D$5:$D$40,Assumptions!$B66)*DQ66*Z66,"")</f>
        <v>0</v>
      </c>
      <c r="BW66" s="40">
        <f ca="1">IFERROR(SUMIFS('TRA balance'!X$5:X$40,'TRA balance'!$C$5:$C$40,Assumptions!$C66,'TRA balance'!$D$5:$D$40,Assumptions!$B66)*DR66*AA66,"")</f>
        <v>0</v>
      </c>
      <c r="BX66" s="40">
        <f ca="1">IFERROR(SUMIFS('TRA balance'!Y$5:Y$40,'TRA balance'!$C$5:$C$40,Assumptions!$C66,'TRA balance'!$D$5:$D$40,Assumptions!$B66)*DS66*AB66,"")</f>
        <v>0</v>
      </c>
      <c r="BY66" s="40">
        <f ca="1">IFERROR(SUMIFS('TRA balance'!Z$5:Z$40,'TRA balance'!$C$5:$C$40,Assumptions!$C66,'TRA balance'!$D$5:$D$40,Assumptions!$B66)*DT66*AC66,"")</f>
        <v>0</v>
      </c>
      <c r="BZ66" s="40">
        <f ca="1">IFERROR(SUMIFS('TRA balance'!AA$5:AA$40,'TRA balance'!$C$5:$C$40,Assumptions!$C66,'TRA balance'!$D$5:$D$40,Assumptions!$B66)*DU66*AD66,"")</f>
        <v>0</v>
      </c>
      <c r="CA66" s="40">
        <f ca="1">IFERROR(SUMIFS('TRA balance'!AB$5:AB$40,'TRA balance'!$C$5:$C$40,Assumptions!$C66,'TRA balance'!$D$5:$D$40,Assumptions!$B66)*DV66*AE66,"")</f>
        <v>0</v>
      </c>
      <c r="CB66" s="40">
        <f ca="1">IFERROR(SUMIFS('TRA balance'!AC$5:AC$40,'TRA balance'!$C$5:$C$40,Assumptions!$C66,'TRA balance'!$D$5:$D$40,Assumptions!$B66)*DW66*AF66,"")</f>
        <v>0</v>
      </c>
      <c r="CC66" s="40">
        <f ca="1">IFERROR(SUMIFS('TRA balance'!AD$5:AD$40,'TRA balance'!$C$5:$C$40,Assumptions!$C66,'TRA balance'!$D$5:$D$40,Assumptions!$B66)*DX66*AG66,"")</f>
        <v>0</v>
      </c>
      <c r="CD66" s="40">
        <f ca="1">IFERROR(SUMIFS('TRA balance'!AE$5:AE$40,'TRA balance'!$C$5:$C$40,Assumptions!$C66,'TRA balance'!$D$5:$D$40,Assumptions!$B66)*DY66*AH66,"")</f>
        <v>0</v>
      </c>
      <c r="CE66" s="40">
        <f ca="1">IFERROR(SUMIFS('TRA balance'!AF$5:AF$40,'TRA balance'!$C$5:$C$40,Assumptions!$C66,'TRA balance'!$D$5:$D$40,Assumptions!$B66)*DZ66*AI66,"")</f>
        <v>0</v>
      </c>
      <c r="CF66" s="40">
        <f ca="1">IFERROR(SUMIFS('TRA balance'!AG$5:AG$40,'TRA balance'!$C$5:$C$40,Assumptions!$C66,'TRA balance'!$D$5:$D$40,Assumptions!$B66)*EA66*AJ66,"")</f>
        <v>0</v>
      </c>
      <c r="CG66" s="40">
        <f ca="1">IFERROR(SUMIFS('TRA balance'!AH$5:AH$40,'TRA balance'!$C$5:$C$40,Assumptions!$C66,'TRA balance'!$D$5:$D$40,Assumptions!$B66)*EB66*AK66,"")</f>
        <v>0</v>
      </c>
      <c r="CH66" s="40">
        <f ca="1">IFERROR(SUMIFS('TRA balance'!AI$5:AI$40,'TRA balance'!$C$5:$C$40,Assumptions!$C66,'TRA balance'!$D$5:$D$40,Assumptions!$B66)*EC66*AL66,"")</f>
        <v>0</v>
      </c>
      <c r="CI66" s="40">
        <f ca="1">IFERROR(SUMIFS('TRA balance'!AJ$5:AJ$40,'TRA balance'!$C$5:$C$40,Assumptions!$C66,'TRA balance'!$D$5:$D$40,Assumptions!$B66)*ED66*AM66,"")</f>
        <v>0</v>
      </c>
      <c r="CJ66" s="40">
        <f ca="1">IFERROR(SUMIFS('TRA balance'!AK$5:AK$40,'TRA balance'!$C$5:$C$40,Assumptions!$C66,'TRA balance'!$D$5:$D$40,Assumptions!$B66)*EE66*AN66,"")</f>
        <v>0</v>
      </c>
      <c r="CK66" s="40">
        <f ca="1">IFERROR(SUMIFS('TRA balance'!AL$5:AL$40,'TRA balance'!$C$5:$C$40,Assumptions!$C66,'TRA balance'!$D$5:$D$40,Assumptions!$B66)*EF66*AO66,"")</f>
        <v>0</v>
      </c>
      <c r="CL66" s="40">
        <f ca="1">IFERROR(SUMIFS('TRA balance'!AM$5:AM$40,'TRA balance'!$C$5:$C$40,Assumptions!$C66,'TRA balance'!$D$5:$D$40,Assumptions!$B66)*EG66*AP66,"")</f>
        <v>0</v>
      </c>
      <c r="CM66" s="40">
        <f ca="1">IFERROR(SUMIFS('TRA balance'!AN$5:AN$40,'TRA balance'!$C$5:$C$40,Assumptions!$C66,'TRA balance'!$D$5:$D$40,Assumptions!$B66)*EH66*AQ66,"")</f>
        <v>0</v>
      </c>
      <c r="CN66" s="40">
        <f ca="1">IFERROR(SUMIFS('TRA balance'!AO$5:AO$40,'TRA balance'!$C$5:$C$40,Assumptions!$C66,'TRA balance'!$D$5:$D$40,Assumptions!$B66)*EI66*AR66,"")</f>
        <v>0</v>
      </c>
      <c r="CO66" s="40">
        <f ca="1">IFERROR(SUMIFS('TRA balance'!AP$5:AP$40,'TRA balance'!$C$5:$C$40,Assumptions!$C66,'TRA balance'!$D$5:$D$40,Assumptions!$B66)*EJ66*AS66,"")</f>
        <v>0</v>
      </c>
      <c r="CP66" s="40">
        <f ca="1">IFERROR(SUMIFS('TRA balance'!AQ$5:AQ$40,'TRA balance'!$C$5:$C$40,Assumptions!$C66,'TRA balance'!$D$5:$D$40,Assumptions!$B66)*EK66*AT66,"")</f>
        <v>0</v>
      </c>
      <c r="CQ66" s="40">
        <f ca="1">IFERROR(SUMIFS('TRA balance'!AR$5:AR$40,'TRA balance'!$C$5:$C$40,Assumptions!$C66,'TRA balance'!$D$5:$D$40,Assumptions!$B66)*EL66*AU66,"")</f>
        <v>0</v>
      </c>
      <c r="CR66" s="40">
        <f ca="1">IFERROR(SUMIFS('TRA balance'!AS$5:AS$40,'TRA balance'!$C$5:$C$40,Assumptions!$C66,'TRA balance'!$D$5:$D$40,Assumptions!$B66)*EM66*AV66,"")</f>
        <v>0</v>
      </c>
      <c r="CS66" s="40">
        <f ca="1">IFERROR(SUMIFS('TRA balance'!AT$5:AT$40,'TRA balance'!$C$5:$C$40,Assumptions!$C66,'TRA balance'!$D$5:$D$40,Assumptions!$B66)*EN66*AW66,"")</f>
        <v>0</v>
      </c>
      <c r="CT66" s="40">
        <f ca="1">IFERROR(SUMIFS('TRA balance'!AU$5:AU$40,'TRA balance'!$C$5:$C$40,Assumptions!$C66,'TRA balance'!$D$5:$D$40,Assumptions!$B66)*EO66*AX66,"")</f>
        <v>0</v>
      </c>
      <c r="CU66" s="40">
        <f ca="1">IFERROR(SUMIFS('TRA balance'!AV$5:AV$40,'TRA balance'!$C$5:$C$40,Assumptions!$C66,'TRA balance'!$D$5:$D$40,Assumptions!$B66)*EP66*AY66,"")</f>
        <v>0</v>
      </c>
      <c r="CV66" s="40">
        <f ca="1">IFERROR(SUMIFS('TRA balance'!AW$5:AW$40,'TRA balance'!$C$5:$C$40,Assumptions!$C66,'TRA balance'!$D$5:$D$40,Assumptions!$B66)*EQ66*AZ66,"")</f>
        <v>0</v>
      </c>
      <c r="CW66" s="40">
        <f ca="1">IFERROR(SUMIFS('TRA balance'!AX$5:AX$40,'TRA balance'!$C$5:$C$40,Assumptions!$C66,'TRA balance'!$D$5:$D$40,Assumptions!$B66)*ER66*BA66,"")</f>
        <v>0</v>
      </c>
      <c r="CY66" s="39">
        <f ca="1" t="shared" si="66"/>
        <v>0.1</v>
      </c>
      <c r="CZ66" s="39">
        <f ca="1" t="shared" si="3"/>
        <v>0.1</v>
      </c>
      <c r="DA66" s="39">
        <f ca="1" t="shared" si="4"/>
        <v>0.02</v>
      </c>
      <c r="DB66" s="39">
        <f ca="1" t="shared" si="5"/>
        <v>0.2</v>
      </c>
      <c r="DC66" s="39">
        <f ca="1" t="shared" si="6"/>
        <v>0.05</v>
      </c>
      <c r="DD66" s="39">
        <f ca="1" t="shared" si="7"/>
        <v>0.2</v>
      </c>
      <c r="DE66" s="39">
        <f ca="1" t="shared" si="8"/>
        <v>0.07</v>
      </c>
      <c r="DF66" s="39">
        <f ca="1" t="shared" si="9"/>
        <v>0.1</v>
      </c>
      <c r="DG66" s="39">
        <f ca="1" t="shared" si="10"/>
        <v>0.2</v>
      </c>
      <c r="DH66" s="39">
        <f ca="1" t="shared" si="11"/>
        <v>0.2</v>
      </c>
      <c r="DI66" s="39">
        <f ca="1" t="shared" si="12"/>
        <v>0.2</v>
      </c>
      <c r="DJ66" s="39">
        <f ca="1" t="shared" si="13"/>
        <v>0.2</v>
      </c>
      <c r="DK66" s="39">
        <f ca="1" t="shared" si="14"/>
        <v>0.2</v>
      </c>
      <c r="DL66" s="39">
        <f ca="1" t="shared" si="15"/>
        <v>0.2</v>
      </c>
      <c r="DM66" s="39">
        <f ca="1" t="shared" si="16"/>
        <v>0.2</v>
      </c>
      <c r="DN66" s="39">
        <f ca="1" t="shared" si="17"/>
        <v>0.25</v>
      </c>
      <c r="DO66" s="39">
        <f ca="1" t="shared" si="18"/>
        <v>0.2</v>
      </c>
      <c r="DP66" s="39">
        <f ca="1" t="shared" si="19"/>
        <v>0.2</v>
      </c>
      <c r="DQ66" s="39">
        <f ca="1" t="shared" si="20"/>
        <v>0.05</v>
      </c>
      <c r="DR66" s="39">
        <f ca="1" t="shared" si="21"/>
        <v>0.07</v>
      </c>
      <c r="DS66" s="39">
        <f ca="1" t="shared" si="22"/>
        <v>0.1</v>
      </c>
      <c r="DT66" s="39">
        <f ca="1" t="shared" si="23"/>
        <v>0.0244064218226165</v>
      </c>
      <c r="DU66" s="39">
        <f ca="1" t="shared" si="24"/>
        <v>0.2</v>
      </c>
      <c r="DV66" s="39">
        <f ca="1" t="shared" si="25"/>
        <v>0.2</v>
      </c>
      <c r="DW66" s="39">
        <f ca="1" t="shared" si="26"/>
        <v>0.08</v>
      </c>
      <c r="DX66" s="39">
        <f ca="1" t="shared" si="27"/>
        <v>0.05</v>
      </c>
      <c r="DY66" s="39">
        <f ca="1" t="shared" si="28"/>
        <v>0.1</v>
      </c>
      <c r="DZ66" s="39">
        <f ca="1" t="shared" si="29"/>
        <v>0.1</v>
      </c>
      <c r="EA66" s="39">
        <f ca="1" t="shared" si="30"/>
        <v>0.2</v>
      </c>
      <c r="EB66" s="39">
        <f ca="1" t="shared" si="31"/>
        <v>0.2</v>
      </c>
      <c r="EC66" s="39">
        <f ca="1" t="shared" si="32"/>
        <v>0.2</v>
      </c>
      <c r="ED66" s="39">
        <f ca="1" t="shared" si="33"/>
        <v>0.1</v>
      </c>
      <c r="EE66" s="39">
        <f ca="1" t="shared" si="34"/>
        <v>0.2</v>
      </c>
      <c r="EF66" s="39">
        <f ca="1" t="shared" si="35"/>
        <v>0.05</v>
      </c>
      <c r="EG66" s="39">
        <f ca="1" t="shared" si="36"/>
        <v>0.2</v>
      </c>
      <c r="EH66" s="39">
        <f ca="1" t="shared" si="37"/>
        <v>0.0244064218226165</v>
      </c>
      <c r="EI66" s="39">
        <f ca="1" t="shared" si="38"/>
        <v>0.0244064218226165</v>
      </c>
      <c r="EJ66" s="39">
        <f ca="1" t="shared" si="39"/>
        <v>0.0244064218226165</v>
      </c>
      <c r="EK66" s="39">
        <f ca="1" t="shared" si="40"/>
        <v>0.0244064218226165</v>
      </c>
      <c r="EL66" s="39">
        <f ca="1" t="shared" si="41"/>
        <v>0.0244064218226165</v>
      </c>
      <c r="EM66" s="39">
        <f ca="1" t="shared" si="42"/>
        <v>0.0244064218226165</v>
      </c>
      <c r="EN66" s="39">
        <f ca="1" t="shared" si="43"/>
        <v>0.0244064218226165</v>
      </c>
      <c r="EO66" s="39">
        <f ca="1" t="shared" si="44"/>
        <v>0.0244064218226165</v>
      </c>
      <c r="EP66" s="39">
        <f ca="1" t="shared" si="45"/>
        <v>0.0244064218226165</v>
      </c>
      <c r="EQ66" s="39">
        <f ca="1" t="shared" si="46"/>
        <v>0.0244064218226165</v>
      </c>
      <c r="ER66" s="39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4" t="str">
        <f t="shared" si="48"/>
        <v/>
      </c>
      <c r="D67" s="55"/>
      <c r="E67" s="67" t="s">
        <v>210</v>
      </c>
      <c r="F67" s="56" t="str">
        <f t="shared" si="84"/>
        <v>Bio Diesel</v>
      </c>
      <c r="G67" s="54"/>
      <c r="H67" s="67" t="str">
        <f ca="1">IF(SUM(H63:H66)=1,"-","&lt;&gt;1!!")</f>
        <v>-</v>
      </c>
      <c r="I67" s="67" t="str">
        <f ca="1" t="shared" ref="I67:BA67" si="85">IF(SUM(I63:I66)=1,"-","&lt;&gt;1!!")</f>
        <v>-</v>
      </c>
      <c r="J67" s="67" t="str">
        <f ca="1" t="shared" si="85"/>
        <v>-</v>
      </c>
      <c r="K67" s="67" t="str">
        <f ca="1" t="shared" si="85"/>
        <v>-</v>
      </c>
      <c r="L67" s="67" t="str">
        <f ca="1" t="shared" si="85"/>
        <v>-</v>
      </c>
      <c r="M67" s="67" t="str">
        <f ca="1" t="shared" si="85"/>
        <v>-</v>
      </c>
      <c r="N67" s="67" t="str">
        <f ca="1" t="shared" si="85"/>
        <v>-</v>
      </c>
      <c r="O67" s="67" t="str">
        <f ca="1" t="shared" si="85"/>
        <v>-</v>
      </c>
      <c r="P67" s="67" t="str">
        <f ca="1" t="shared" si="85"/>
        <v>-</v>
      </c>
      <c r="Q67" s="67" t="str">
        <f ca="1" t="shared" si="85"/>
        <v>-</v>
      </c>
      <c r="R67" s="67" t="str">
        <f ca="1" t="shared" si="85"/>
        <v>-</v>
      </c>
      <c r="S67" s="67" t="str">
        <f ca="1" t="shared" si="85"/>
        <v>-</v>
      </c>
      <c r="T67" s="67" t="str">
        <f ca="1" t="shared" si="85"/>
        <v>-</v>
      </c>
      <c r="U67" s="67" t="str">
        <f ca="1" t="shared" si="85"/>
        <v>-</v>
      </c>
      <c r="V67" s="67" t="str">
        <f ca="1" t="shared" si="85"/>
        <v>-</v>
      </c>
      <c r="W67" s="67" t="str">
        <f ca="1" t="shared" si="85"/>
        <v>-</v>
      </c>
      <c r="X67" s="67" t="str">
        <f ca="1" t="shared" si="85"/>
        <v>-</v>
      </c>
      <c r="Y67" s="67" t="str">
        <f ca="1" t="shared" si="85"/>
        <v>-</v>
      </c>
      <c r="Z67" s="67" t="str">
        <f ca="1" t="shared" si="85"/>
        <v>-</v>
      </c>
      <c r="AA67" s="67" t="str">
        <f ca="1" t="shared" si="85"/>
        <v>-</v>
      </c>
      <c r="AB67" s="67" t="str">
        <f ca="1" t="shared" si="85"/>
        <v>-</v>
      </c>
      <c r="AC67" s="67" t="str">
        <f ca="1" t="shared" si="85"/>
        <v>-</v>
      </c>
      <c r="AD67" s="67" t="str">
        <f ca="1" t="shared" si="85"/>
        <v>-</v>
      </c>
      <c r="AE67" s="67" t="str">
        <f ca="1" t="shared" si="85"/>
        <v>-</v>
      </c>
      <c r="AF67" s="67" t="str">
        <f ca="1" t="shared" si="85"/>
        <v>-</v>
      </c>
      <c r="AG67" s="67" t="str">
        <f ca="1" t="shared" si="85"/>
        <v>-</v>
      </c>
      <c r="AH67" s="67" t="str">
        <f ca="1" t="shared" si="85"/>
        <v>-</v>
      </c>
      <c r="AI67" s="67" t="str">
        <f ca="1" t="shared" si="85"/>
        <v>-</v>
      </c>
      <c r="AJ67" s="67" t="str">
        <f ca="1" t="shared" si="85"/>
        <v>-</v>
      </c>
      <c r="AK67" s="67" t="str">
        <f ca="1" t="shared" si="85"/>
        <v>-</v>
      </c>
      <c r="AL67" s="67" t="str">
        <f ca="1" t="shared" si="85"/>
        <v>-</v>
      </c>
      <c r="AM67" s="67" t="str">
        <f ca="1" t="shared" si="85"/>
        <v>-</v>
      </c>
      <c r="AN67" s="67" t="str">
        <f ca="1" t="shared" si="85"/>
        <v>-</v>
      </c>
      <c r="AO67" s="67" t="str">
        <f ca="1" t="shared" si="85"/>
        <v>-</v>
      </c>
      <c r="AP67" s="67" t="str">
        <f ca="1" t="shared" si="85"/>
        <v>-</v>
      </c>
      <c r="AQ67" s="67" t="str">
        <f ca="1" t="shared" si="85"/>
        <v>-</v>
      </c>
      <c r="AR67" s="67" t="str">
        <f ca="1" t="shared" si="85"/>
        <v>-</v>
      </c>
      <c r="AS67" s="67" t="str">
        <f ca="1" t="shared" si="85"/>
        <v>-</v>
      </c>
      <c r="AT67" s="67" t="str">
        <f ca="1" t="shared" si="85"/>
        <v>-</v>
      </c>
      <c r="AU67" s="67" t="str">
        <f ca="1" t="shared" si="85"/>
        <v>-</v>
      </c>
      <c r="AV67" s="67" t="str">
        <f ca="1" t="shared" si="85"/>
        <v>-</v>
      </c>
      <c r="AW67" s="67" t="str">
        <f ca="1" t="shared" si="85"/>
        <v>-</v>
      </c>
      <c r="AX67" s="67" t="str">
        <f ca="1" t="shared" si="85"/>
        <v>-</v>
      </c>
      <c r="AY67" s="67" t="str">
        <f ca="1" t="shared" si="85"/>
        <v>-</v>
      </c>
      <c r="AZ67" s="67" t="str">
        <f ca="1" t="shared" si="85"/>
        <v>-</v>
      </c>
      <c r="BA67" s="67" t="str">
        <f ca="1" t="shared" si="85"/>
        <v>-</v>
      </c>
      <c r="BD67" s="40" t="str">
        <f ca="1">IFERROR(SUMIFS('TRA balance'!E$5:E$40,'TRA balance'!$C$5:$C$40,Assumptions!$C67,'TRA balance'!$D$5:$D$40,Assumptions!$B67)*CY67*H67,"")</f>
        <v/>
      </c>
      <c r="BE67" s="40" t="str">
        <f ca="1">IFERROR(SUMIFS('TRA balance'!F$5:F$40,'TRA balance'!$C$5:$C$40,Assumptions!$C67,'TRA balance'!$D$5:$D$40,Assumptions!$B67)*CZ67*I67,"")</f>
        <v/>
      </c>
      <c r="BF67" s="40" t="str">
        <f ca="1">IFERROR(SUMIFS('TRA balance'!G$5:G$40,'TRA balance'!$C$5:$C$40,Assumptions!$C67,'TRA balance'!$D$5:$D$40,Assumptions!$B67)*DA67*J67,"")</f>
        <v/>
      </c>
      <c r="BG67" s="40" t="str">
        <f ca="1">IFERROR(SUMIFS('TRA balance'!H$5:H$40,'TRA balance'!$C$5:$C$40,Assumptions!$C67,'TRA balance'!$D$5:$D$40,Assumptions!$B67)*DB67*K67,"")</f>
        <v/>
      </c>
      <c r="BH67" s="40" t="str">
        <f ca="1">IFERROR(SUMIFS('TRA balance'!I$5:I$40,'TRA balance'!$C$5:$C$40,Assumptions!$C67,'TRA balance'!$D$5:$D$40,Assumptions!$B67)*DC67*L67,"")</f>
        <v/>
      </c>
      <c r="BI67" s="40" t="str">
        <f ca="1">IFERROR(SUMIFS('TRA balance'!J$5:J$40,'TRA balance'!$C$5:$C$40,Assumptions!$C67,'TRA balance'!$D$5:$D$40,Assumptions!$B67)*DD67*M67,"")</f>
        <v/>
      </c>
      <c r="BJ67" s="40" t="str">
        <f ca="1">IFERROR(SUMIFS('TRA balance'!K$5:K$40,'TRA balance'!$C$5:$C$40,Assumptions!$C67,'TRA balance'!$D$5:$D$40,Assumptions!$B67)*DE67*N67,"")</f>
        <v/>
      </c>
      <c r="BK67" s="40" t="str">
        <f ca="1">IFERROR(SUMIFS('TRA balance'!L$5:L$40,'TRA balance'!$C$5:$C$40,Assumptions!$C67,'TRA balance'!$D$5:$D$40,Assumptions!$B67)*DF67*O67,"")</f>
        <v/>
      </c>
      <c r="BL67" s="40" t="str">
        <f ca="1">IFERROR(SUMIFS('TRA balance'!M$5:M$40,'TRA balance'!$C$5:$C$40,Assumptions!$C67,'TRA balance'!$D$5:$D$40,Assumptions!$B67)*DG67*P67,"")</f>
        <v/>
      </c>
      <c r="BM67" s="40" t="str">
        <f ca="1">IFERROR(SUMIFS('TRA balance'!N$5:N$40,'TRA balance'!$C$5:$C$40,Assumptions!$C67,'TRA balance'!$D$5:$D$40,Assumptions!$B67)*DH67*Q67,"")</f>
        <v/>
      </c>
      <c r="BN67" s="40" t="str">
        <f ca="1">IFERROR(SUMIFS('TRA balance'!O$5:O$40,'TRA balance'!$C$5:$C$40,Assumptions!$C67,'TRA balance'!$D$5:$D$40,Assumptions!$B67)*DI67*R67,"")</f>
        <v/>
      </c>
      <c r="BO67" s="40" t="str">
        <f ca="1">IFERROR(SUMIFS('TRA balance'!P$5:P$40,'TRA balance'!$C$5:$C$40,Assumptions!$C67,'TRA balance'!$D$5:$D$40,Assumptions!$B67)*DJ67*S67,"")</f>
        <v/>
      </c>
      <c r="BP67" s="40" t="str">
        <f ca="1">IFERROR(SUMIFS('TRA balance'!Q$5:Q$40,'TRA balance'!$C$5:$C$40,Assumptions!$C67,'TRA balance'!$D$5:$D$40,Assumptions!$B67)*DK67*T67,"")</f>
        <v/>
      </c>
      <c r="BQ67" s="40" t="str">
        <f ca="1">IFERROR(SUMIFS('TRA balance'!R$5:R$40,'TRA balance'!$C$5:$C$40,Assumptions!$C67,'TRA balance'!$D$5:$D$40,Assumptions!$B67)*DL67*U67,"")</f>
        <v/>
      </c>
      <c r="BR67" s="40" t="str">
        <f ca="1">IFERROR(SUMIFS('TRA balance'!S$5:S$40,'TRA balance'!$C$5:$C$40,Assumptions!$C67,'TRA balance'!$D$5:$D$40,Assumptions!$B67)*DM67*V67,"")</f>
        <v/>
      </c>
      <c r="BS67" s="40" t="str">
        <f ca="1">IFERROR(SUMIFS('TRA balance'!T$5:T$40,'TRA balance'!$C$5:$C$40,Assumptions!$C67,'TRA balance'!$D$5:$D$40,Assumptions!$B67)*DN67*W67,"")</f>
        <v/>
      </c>
      <c r="BT67" s="40" t="str">
        <f ca="1">IFERROR(SUMIFS('TRA balance'!U$5:U$40,'TRA balance'!$C$5:$C$40,Assumptions!$C67,'TRA balance'!$D$5:$D$40,Assumptions!$B67)*DO67*X67,"")</f>
        <v/>
      </c>
      <c r="BU67" s="40" t="str">
        <f ca="1">IFERROR(SUMIFS('TRA balance'!V$5:V$40,'TRA balance'!$C$5:$C$40,Assumptions!$C67,'TRA balance'!$D$5:$D$40,Assumptions!$B67)*DP67*Y67,"")</f>
        <v/>
      </c>
      <c r="BV67" s="40" t="str">
        <f ca="1">IFERROR(SUMIFS('TRA balance'!W$5:W$40,'TRA balance'!$C$5:$C$40,Assumptions!$C67,'TRA balance'!$D$5:$D$40,Assumptions!$B67)*DQ67*Z67,"")</f>
        <v/>
      </c>
      <c r="BW67" s="40" t="str">
        <f ca="1">IFERROR(SUMIFS('TRA balance'!X$5:X$40,'TRA balance'!$C$5:$C$40,Assumptions!$C67,'TRA balance'!$D$5:$D$40,Assumptions!$B67)*DR67*AA67,"")</f>
        <v/>
      </c>
      <c r="BX67" s="40" t="str">
        <f ca="1">IFERROR(SUMIFS('TRA balance'!Y$5:Y$40,'TRA balance'!$C$5:$C$40,Assumptions!$C67,'TRA balance'!$D$5:$D$40,Assumptions!$B67)*DS67*AB67,"")</f>
        <v/>
      </c>
      <c r="BY67" s="40" t="str">
        <f ca="1">IFERROR(SUMIFS('TRA balance'!Z$5:Z$40,'TRA balance'!$C$5:$C$40,Assumptions!$C67,'TRA balance'!$D$5:$D$40,Assumptions!$B67)*DT67*AC67,"")</f>
        <v/>
      </c>
      <c r="BZ67" s="40" t="str">
        <f ca="1">IFERROR(SUMIFS('TRA balance'!AA$5:AA$40,'TRA balance'!$C$5:$C$40,Assumptions!$C67,'TRA balance'!$D$5:$D$40,Assumptions!$B67)*DU67*AD67,"")</f>
        <v/>
      </c>
      <c r="CA67" s="40" t="str">
        <f ca="1">IFERROR(SUMIFS('TRA balance'!AB$5:AB$40,'TRA balance'!$C$5:$C$40,Assumptions!$C67,'TRA balance'!$D$5:$D$40,Assumptions!$B67)*DV67*AE67,"")</f>
        <v/>
      </c>
      <c r="CB67" s="40" t="str">
        <f ca="1">IFERROR(SUMIFS('TRA balance'!AC$5:AC$40,'TRA balance'!$C$5:$C$40,Assumptions!$C67,'TRA balance'!$D$5:$D$40,Assumptions!$B67)*DW67*AF67,"")</f>
        <v/>
      </c>
      <c r="CC67" s="40" t="str">
        <f ca="1">IFERROR(SUMIFS('TRA balance'!AD$5:AD$40,'TRA balance'!$C$5:$C$40,Assumptions!$C67,'TRA balance'!$D$5:$D$40,Assumptions!$B67)*DX67*AG67,"")</f>
        <v/>
      </c>
      <c r="CD67" s="40" t="str">
        <f ca="1">IFERROR(SUMIFS('TRA balance'!AE$5:AE$40,'TRA balance'!$C$5:$C$40,Assumptions!$C67,'TRA balance'!$D$5:$D$40,Assumptions!$B67)*DY67*AH67,"")</f>
        <v/>
      </c>
      <c r="CE67" s="40" t="str">
        <f ca="1">IFERROR(SUMIFS('TRA balance'!AF$5:AF$40,'TRA balance'!$C$5:$C$40,Assumptions!$C67,'TRA balance'!$D$5:$D$40,Assumptions!$B67)*DZ67*AI67,"")</f>
        <v/>
      </c>
      <c r="CF67" s="40" t="str">
        <f ca="1">IFERROR(SUMIFS('TRA balance'!AG$5:AG$40,'TRA balance'!$C$5:$C$40,Assumptions!$C67,'TRA balance'!$D$5:$D$40,Assumptions!$B67)*EA67*AJ67,"")</f>
        <v/>
      </c>
      <c r="CG67" s="40" t="str">
        <f ca="1">IFERROR(SUMIFS('TRA balance'!AH$5:AH$40,'TRA balance'!$C$5:$C$40,Assumptions!$C67,'TRA balance'!$D$5:$D$40,Assumptions!$B67)*EB67*AK67,"")</f>
        <v/>
      </c>
      <c r="CH67" s="40" t="str">
        <f ca="1">IFERROR(SUMIFS('TRA balance'!AI$5:AI$40,'TRA balance'!$C$5:$C$40,Assumptions!$C67,'TRA balance'!$D$5:$D$40,Assumptions!$B67)*EC67*AL67,"")</f>
        <v/>
      </c>
      <c r="CI67" s="40" t="str">
        <f ca="1">IFERROR(SUMIFS('TRA balance'!AJ$5:AJ$40,'TRA balance'!$C$5:$C$40,Assumptions!$C67,'TRA balance'!$D$5:$D$40,Assumptions!$B67)*ED67*AM67,"")</f>
        <v/>
      </c>
      <c r="CJ67" s="40" t="str">
        <f ca="1">IFERROR(SUMIFS('TRA balance'!AK$5:AK$40,'TRA balance'!$C$5:$C$40,Assumptions!$C67,'TRA balance'!$D$5:$D$40,Assumptions!$B67)*EE67*AN67,"")</f>
        <v/>
      </c>
      <c r="CK67" s="40" t="str">
        <f ca="1">IFERROR(SUMIFS('TRA balance'!AL$5:AL$40,'TRA balance'!$C$5:$C$40,Assumptions!$C67,'TRA balance'!$D$5:$D$40,Assumptions!$B67)*EF67*AO67,"")</f>
        <v/>
      </c>
      <c r="CL67" s="40" t="str">
        <f ca="1">IFERROR(SUMIFS('TRA balance'!AM$5:AM$40,'TRA balance'!$C$5:$C$40,Assumptions!$C67,'TRA balance'!$D$5:$D$40,Assumptions!$B67)*EG67*AP67,"")</f>
        <v/>
      </c>
      <c r="CM67" s="40" t="str">
        <f ca="1">IFERROR(SUMIFS('TRA balance'!AN$5:AN$40,'TRA balance'!$C$5:$C$40,Assumptions!$C67,'TRA balance'!$D$5:$D$40,Assumptions!$B67)*EH67*AQ67,"")</f>
        <v/>
      </c>
      <c r="CN67" s="40" t="str">
        <f ca="1">IFERROR(SUMIFS('TRA balance'!AO$5:AO$40,'TRA balance'!$C$5:$C$40,Assumptions!$C67,'TRA balance'!$D$5:$D$40,Assumptions!$B67)*EI67*AR67,"")</f>
        <v/>
      </c>
      <c r="CO67" s="40" t="str">
        <f ca="1">IFERROR(SUMIFS('TRA balance'!AP$5:AP$40,'TRA balance'!$C$5:$C$40,Assumptions!$C67,'TRA balance'!$D$5:$D$40,Assumptions!$B67)*EJ67*AS67,"")</f>
        <v/>
      </c>
      <c r="CP67" s="40" t="str">
        <f ca="1">IFERROR(SUMIFS('TRA balance'!AQ$5:AQ$40,'TRA balance'!$C$5:$C$40,Assumptions!$C67,'TRA balance'!$D$5:$D$40,Assumptions!$B67)*EK67*AT67,"")</f>
        <v/>
      </c>
      <c r="CQ67" s="40" t="str">
        <f ca="1">IFERROR(SUMIFS('TRA balance'!AR$5:AR$40,'TRA balance'!$C$5:$C$40,Assumptions!$C67,'TRA balance'!$D$5:$D$40,Assumptions!$B67)*EL67*AU67,"")</f>
        <v/>
      </c>
      <c r="CR67" s="40" t="str">
        <f ca="1">IFERROR(SUMIFS('TRA balance'!AS$5:AS$40,'TRA balance'!$C$5:$C$40,Assumptions!$C67,'TRA balance'!$D$5:$D$40,Assumptions!$B67)*EM67*AV67,"")</f>
        <v/>
      </c>
      <c r="CS67" s="40" t="str">
        <f ca="1">IFERROR(SUMIFS('TRA balance'!AT$5:AT$40,'TRA balance'!$C$5:$C$40,Assumptions!$C67,'TRA balance'!$D$5:$D$40,Assumptions!$B67)*EN67*AW67,"")</f>
        <v/>
      </c>
      <c r="CT67" s="40" t="str">
        <f ca="1">IFERROR(SUMIFS('TRA balance'!AU$5:AU$40,'TRA balance'!$C$5:$C$40,Assumptions!$C67,'TRA balance'!$D$5:$D$40,Assumptions!$B67)*EO67*AX67,"")</f>
        <v/>
      </c>
      <c r="CU67" s="40" t="str">
        <f ca="1">IFERROR(SUMIFS('TRA balance'!AV$5:AV$40,'TRA balance'!$C$5:$C$40,Assumptions!$C67,'TRA balance'!$D$5:$D$40,Assumptions!$B67)*EP67*AY67,"")</f>
        <v/>
      </c>
      <c r="CV67" s="40" t="str">
        <f ca="1">IFERROR(SUMIFS('TRA balance'!AW$5:AW$40,'TRA balance'!$C$5:$C$40,Assumptions!$C67,'TRA balance'!$D$5:$D$40,Assumptions!$B67)*EQ67*AZ67,"")</f>
        <v/>
      </c>
      <c r="CW67" s="40" t="str">
        <f ca="1">IFERROR(SUMIFS('TRA balance'!AX$5:AX$40,'TRA balance'!$C$5:$C$40,Assumptions!$C67,'TRA balance'!$D$5:$D$40,Assumptions!$B67)*ER67*BA67,"")</f>
        <v/>
      </c>
      <c r="CY67" s="39">
        <f ca="1" t="shared" ref="CY67:CY103" si="86">IF($C67="TR",SUMIFS(H$3:H$103,$B$3:$B$103,$B67,$C$3:$C$103,$A67),1)</f>
        <v>1</v>
      </c>
      <c r="CZ67" s="39">
        <f ca="1" t="shared" ref="CZ67:CZ103" si="87">IF($C67="TR",SUMIFS(I$3:I$103,$B$3:$B$103,$B67,$C$3:$C$103,$A67),1)</f>
        <v>1</v>
      </c>
      <c r="DA67" s="39">
        <f ca="1" t="shared" ref="DA67:DA103" si="88">IF($C67="TR",SUMIFS(J$3:J$103,$B$3:$B$103,$B67,$C$3:$C$103,$A67),1)</f>
        <v>1</v>
      </c>
      <c r="DB67" s="39">
        <f ca="1" t="shared" ref="DB67:DB103" si="89">IF($C67="TR",SUMIFS(K$3:K$103,$B$3:$B$103,$B67,$C$3:$C$103,$A67),1)</f>
        <v>1</v>
      </c>
      <c r="DC67" s="39">
        <f ca="1" t="shared" ref="DC67:DC103" si="90">IF($C67="TR",SUMIFS(L$3:L$103,$B$3:$B$103,$B67,$C$3:$C$103,$A67),1)</f>
        <v>1</v>
      </c>
      <c r="DD67" s="39">
        <f ca="1" t="shared" ref="DD67:DD103" si="91">IF($C67="TR",SUMIFS(M$3:M$103,$B$3:$B$103,$B67,$C$3:$C$103,$A67),1)</f>
        <v>1</v>
      </c>
      <c r="DE67" s="39">
        <f ca="1" t="shared" ref="DE67:DE103" si="92">IF($C67="TR",SUMIFS(N$3:N$103,$B$3:$B$103,$B67,$C$3:$C$103,$A67),1)</f>
        <v>1</v>
      </c>
      <c r="DF67" s="39">
        <f ca="1" t="shared" ref="DF67:DF103" si="93">IF($C67="TR",SUMIFS(O$3:O$103,$B$3:$B$103,$B67,$C$3:$C$103,$A67),1)</f>
        <v>1</v>
      </c>
      <c r="DG67" s="39">
        <f ca="1" t="shared" ref="DG67:DG103" si="94">IF($C67="TR",SUMIFS(P$3:P$103,$B$3:$B$103,$B67,$C$3:$C$103,$A67),1)</f>
        <v>1</v>
      </c>
      <c r="DH67" s="39">
        <f ca="1" t="shared" ref="DH67:DH103" si="95">IF($C67="TR",SUMIFS(Q$3:Q$103,$B$3:$B$103,$B67,$C$3:$C$103,$A67),1)</f>
        <v>1</v>
      </c>
      <c r="DI67" s="39">
        <f ca="1" t="shared" ref="DI67:DI103" si="96">IF($C67="TR",SUMIFS(R$3:R$103,$B$3:$B$103,$B67,$C$3:$C$103,$A67),1)</f>
        <v>1</v>
      </c>
      <c r="DJ67" s="39">
        <f ca="1" t="shared" ref="DJ67:DJ103" si="97">IF($C67="TR",SUMIFS(S$3:S$103,$B$3:$B$103,$B67,$C$3:$C$103,$A67),1)</f>
        <v>1</v>
      </c>
      <c r="DK67" s="39">
        <f ca="1" t="shared" ref="DK67:DK103" si="98">IF($C67="TR",SUMIFS(T$3:T$103,$B$3:$B$103,$B67,$C$3:$C$103,$A67),1)</f>
        <v>1</v>
      </c>
      <c r="DL67" s="39">
        <f ca="1" t="shared" ref="DL67:DL103" si="99">IF($C67="TR",SUMIFS(U$3:U$103,$B$3:$B$103,$B67,$C$3:$C$103,$A67),1)</f>
        <v>1</v>
      </c>
      <c r="DM67" s="39">
        <f ca="1" t="shared" ref="DM67:DM103" si="100">IF($C67="TR",SUMIFS(V$3:V$103,$B$3:$B$103,$B67,$C$3:$C$103,$A67),1)</f>
        <v>1</v>
      </c>
      <c r="DN67" s="39">
        <f ca="1" t="shared" ref="DN67:DN103" si="101">IF($C67="TR",SUMIFS(W$3:W$103,$B$3:$B$103,$B67,$C$3:$C$103,$A67),1)</f>
        <v>1</v>
      </c>
      <c r="DO67" s="39">
        <f ca="1" t="shared" ref="DO67:DO103" si="102">IF($C67="TR",SUMIFS(X$3:X$103,$B$3:$B$103,$B67,$C$3:$C$103,$A67),1)</f>
        <v>1</v>
      </c>
      <c r="DP67" s="39">
        <f ca="1" t="shared" ref="DP67:DP103" si="103">IF($C67="TR",SUMIFS(Y$3:Y$103,$B$3:$B$103,$B67,$C$3:$C$103,$A67),1)</f>
        <v>1</v>
      </c>
      <c r="DQ67" s="39">
        <f ca="1" t="shared" ref="DQ67:DQ103" si="104">IF($C67="TR",SUMIFS(Z$3:Z$103,$B$3:$B$103,$B67,$C$3:$C$103,$A67),1)</f>
        <v>1</v>
      </c>
      <c r="DR67" s="39">
        <f ca="1" t="shared" ref="DR67:DR103" si="105">IF($C67="TR",SUMIFS(AA$3:AA$103,$B$3:$B$103,$B67,$C$3:$C$103,$A67),1)</f>
        <v>1</v>
      </c>
      <c r="DS67" s="39">
        <f ca="1" t="shared" ref="DS67:DS103" si="106">IF($C67="TR",SUMIFS(AB$3:AB$103,$B$3:$B$103,$B67,$C$3:$C$103,$A67),1)</f>
        <v>1</v>
      </c>
      <c r="DT67" s="39">
        <f ca="1" t="shared" ref="DT67:DT103" si="107">IF($C67="TR",SUMIFS(AC$3:AC$103,$B$3:$B$103,$B67,$C$3:$C$103,$A67),1)</f>
        <v>1</v>
      </c>
      <c r="DU67" s="39">
        <f ca="1" t="shared" ref="DU67:DU103" si="108">IF($C67="TR",SUMIFS(AD$3:AD$103,$B$3:$B$103,$B67,$C$3:$C$103,$A67),1)</f>
        <v>1</v>
      </c>
      <c r="DV67" s="39">
        <f ca="1" t="shared" ref="DV67:DV103" si="109">IF($C67="TR",SUMIFS(AE$3:AE$103,$B$3:$B$103,$B67,$C$3:$C$103,$A67),1)</f>
        <v>1</v>
      </c>
      <c r="DW67" s="39">
        <f ca="1" t="shared" ref="DW67:DW103" si="110">IF($C67="TR",SUMIFS(AF$3:AF$103,$B$3:$B$103,$B67,$C$3:$C$103,$A67),1)</f>
        <v>1</v>
      </c>
      <c r="DX67" s="39">
        <f ca="1" t="shared" ref="DX67:DX103" si="111">IF($C67="TR",SUMIFS(AG$3:AG$103,$B$3:$B$103,$B67,$C$3:$C$103,$A67),1)</f>
        <v>1</v>
      </c>
      <c r="DY67" s="39">
        <f ca="1" t="shared" ref="DY67:DY103" si="112">IF($C67="TR",SUMIFS(AH$3:AH$103,$B$3:$B$103,$B67,$C$3:$C$103,$A67),1)</f>
        <v>1</v>
      </c>
      <c r="DZ67" s="39">
        <f ca="1" t="shared" ref="DZ67:DZ103" si="113">IF($C67="TR",SUMIFS(AI$3:AI$103,$B$3:$B$103,$B67,$C$3:$C$103,$A67),1)</f>
        <v>1</v>
      </c>
      <c r="EA67" s="39">
        <f ca="1" t="shared" ref="EA67:EA103" si="114">IF($C67="TR",SUMIFS(AJ$3:AJ$103,$B$3:$B$103,$B67,$C$3:$C$103,$A67),1)</f>
        <v>1</v>
      </c>
      <c r="EB67" s="39">
        <f ca="1" t="shared" ref="EB67:EB103" si="115">IF($C67="TR",SUMIFS(AK$3:AK$103,$B$3:$B$103,$B67,$C$3:$C$103,$A67),1)</f>
        <v>1</v>
      </c>
      <c r="EC67" s="39">
        <f ca="1" t="shared" ref="EC67:EC103" si="116">IF($C67="TR",SUMIFS(AL$3:AL$103,$B$3:$B$103,$B67,$C$3:$C$103,$A67),1)</f>
        <v>1</v>
      </c>
      <c r="ED67" s="39">
        <f ca="1" t="shared" ref="ED67:ED103" si="117">IF($C67="TR",SUMIFS(AM$3:AM$103,$B$3:$B$103,$B67,$C$3:$C$103,$A67),1)</f>
        <v>1</v>
      </c>
      <c r="EE67" s="39">
        <f ca="1" t="shared" ref="EE67:EE103" si="118">IF($C67="TR",SUMIFS(AN$3:AN$103,$B$3:$B$103,$B67,$C$3:$C$103,$A67),1)</f>
        <v>1</v>
      </c>
      <c r="EF67" s="39">
        <f ca="1" t="shared" ref="EF67:EF103" si="119">IF($C67="TR",SUMIFS(AO$3:AO$103,$B$3:$B$103,$B67,$C$3:$C$103,$A67),1)</f>
        <v>1</v>
      </c>
      <c r="EG67" s="39">
        <f ca="1" t="shared" ref="EG67:EG103" si="120">IF($C67="TR",SUMIFS(AP$3:AP$103,$B$3:$B$103,$B67,$C$3:$C$103,$A67),1)</f>
        <v>1</v>
      </c>
      <c r="EH67" s="39">
        <f ca="1" t="shared" ref="EH67:EH103" si="121">IF($C67="TR",SUMIFS(AQ$3:AQ$103,$B$3:$B$103,$B67,$C$3:$C$103,$A67),1)</f>
        <v>1</v>
      </c>
      <c r="EI67" s="39">
        <f ca="1" t="shared" ref="EI67:EI103" si="122">IF($C67="TR",SUMIFS(AR$3:AR$103,$B$3:$B$103,$B67,$C$3:$C$103,$A67),1)</f>
        <v>1</v>
      </c>
      <c r="EJ67" s="39">
        <f ca="1" t="shared" ref="EJ67:EJ103" si="123">IF($C67="TR",SUMIFS(AS$3:AS$103,$B$3:$B$103,$B67,$C$3:$C$103,$A67),1)</f>
        <v>1</v>
      </c>
      <c r="EK67" s="39">
        <f ca="1" t="shared" ref="EK67:EK103" si="124">IF($C67="TR",SUMIFS(AT$3:AT$103,$B$3:$B$103,$B67,$C$3:$C$103,$A67),1)</f>
        <v>1</v>
      </c>
      <c r="EL67" s="39">
        <f ca="1" t="shared" ref="EL67:EL103" si="125">IF($C67="TR",SUMIFS(AU$3:AU$103,$B$3:$B$103,$B67,$C$3:$C$103,$A67),1)</f>
        <v>1</v>
      </c>
      <c r="EM67" s="39">
        <f ca="1" t="shared" ref="EM67:EM103" si="126">IF($C67="TR",SUMIFS(AV$3:AV$103,$B$3:$B$103,$B67,$C$3:$C$103,$A67),1)</f>
        <v>1</v>
      </c>
      <c r="EN67" s="39">
        <f ca="1" t="shared" ref="EN67:EN103" si="127">IF($C67="TR",SUMIFS(AW$3:AW$103,$B$3:$B$103,$B67,$C$3:$C$103,$A67),1)</f>
        <v>1</v>
      </c>
      <c r="EO67" s="39">
        <f ca="1" t="shared" ref="EO67:EO103" si="128">IF($C67="TR",SUMIFS(AX$3:AX$103,$B$3:$B$103,$B67,$C$3:$C$103,$A67),1)</f>
        <v>1</v>
      </c>
      <c r="EP67" s="39">
        <f ca="1" t="shared" ref="EP67:EP103" si="129">IF($C67="TR",SUMIFS(AY$3:AY$103,$B$3:$B$103,$B67,$C$3:$C$103,$A67),1)</f>
        <v>1</v>
      </c>
      <c r="EQ67" s="39">
        <f ca="1" t="shared" ref="EQ67:EQ103" si="130">IF($C67="TR",SUMIFS(AZ$3:AZ$103,$B$3:$B$103,$B67,$C$3:$C$103,$A67),1)</f>
        <v>1</v>
      </c>
      <c r="ER67" s="39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2">
        <v>2</v>
      </c>
      <c r="D68" s="63" t="s">
        <v>200</v>
      </c>
      <c r="E68" s="63" t="s">
        <v>211</v>
      </c>
      <c r="F68" s="64" t="str">
        <f t="shared" si="84"/>
        <v>Bio Diesel</v>
      </c>
      <c r="G68" s="62"/>
      <c r="H68" s="68">
        <f ca="1">1-H62</f>
        <v>0.9</v>
      </c>
      <c r="I68" s="68">
        <f ca="1" t="shared" ref="I68:BA68" si="132">1-I62</f>
        <v>0.9</v>
      </c>
      <c r="J68" s="68">
        <f ca="1" t="shared" si="132"/>
        <v>0.98</v>
      </c>
      <c r="K68" s="68">
        <f ca="1" t="shared" si="132"/>
        <v>0.8</v>
      </c>
      <c r="L68" s="68">
        <f ca="1" t="shared" si="132"/>
        <v>0.95</v>
      </c>
      <c r="M68" s="68">
        <f ca="1" t="shared" si="132"/>
        <v>0.8</v>
      </c>
      <c r="N68" s="68">
        <f ca="1" t="shared" si="132"/>
        <v>0.93</v>
      </c>
      <c r="O68" s="68">
        <f ca="1" t="shared" si="132"/>
        <v>0.9</v>
      </c>
      <c r="P68" s="68">
        <f ca="1" t="shared" si="132"/>
        <v>0.8</v>
      </c>
      <c r="Q68" s="68">
        <f ca="1" t="shared" si="132"/>
        <v>0.8</v>
      </c>
      <c r="R68" s="68">
        <f ca="1" t="shared" si="132"/>
        <v>0.8</v>
      </c>
      <c r="S68" s="68">
        <f ca="1" t="shared" si="132"/>
        <v>0.8</v>
      </c>
      <c r="T68" s="68">
        <f ca="1" t="shared" si="132"/>
        <v>0.8</v>
      </c>
      <c r="U68" s="68">
        <f ca="1" t="shared" si="132"/>
        <v>0.8</v>
      </c>
      <c r="V68" s="68">
        <f ca="1" t="shared" si="132"/>
        <v>0.8</v>
      </c>
      <c r="W68" s="68">
        <f ca="1" t="shared" si="132"/>
        <v>0.75</v>
      </c>
      <c r="X68" s="68">
        <f ca="1" t="shared" si="132"/>
        <v>0.8</v>
      </c>
      <c r="Y68" s="68">
        <f ca="1" t="shared" si="132"/>
        <v>0.8</v>
      </c>
      <c r="Z68" s="68">
        <f ca="1" t="shared" si="132"/>
        <v>0.95</v>
      </c>
      <c r="AA68" s="68">
        <f ca="1" t="shared" si="132"/>
        <v>0.93</v>
      </c>
      <c r="AB68" s="68">
        <f ca="1" t="shared" si="132"/>
        <v>0.9</v>
      </c>
      <c r="AC68" s="68">
        <f ca="1" t="shared" si="132"/>
        <v>0.975593578177383</v>
      </c>
      <c r="AD68" s="68">
        <f ca="1" t="shared" si="132"/>
        <v>0.8</v>
      </c>
      <c r="AE68" s="68">
        <f ca="1" t="shared" si="132"/>
        <v>0.8</v>
      </c>
      <c r="AF68" s="68">
        <f ca="1" t="shared" si="132"/>
        <v>0.92</v>
      </c>
      <c r="AG68" s="68">
        <f ca="1" t="shared" si="132"/>
        <v>0.95</v>
      </c>
      <c r="AH68" s="68">
        <f ca="1" t="shared" si="132"/>
        <v>0.9</v>
      </c>
      <c r="AI68" s="68">
        <f ca="1" t="shared" si="132"/>
        <v>0.9</v>
      </c>
      <c r="AJ68" s="68">
        <f ca="1" t="shared" si="132"/>
        <v>0.8</v>
      </c>
      <c r="AK68" s="68">
        <f ca="1" t="shared" si="132"/>
        <v>0.8</v>
      </c>
      <c r="AL68" s="68">
        <f ca="1" t="shared" si="132"/>
        <v>0.8</v>
      </c>
      <c r="AM68" s="68">
        <f ca="1" t="shared" si="132"/>
        <v>0.9</v>
      </c>
      <c r="AN68" s="68">
        <f ca="1" t="shared" si="132"/>
        <v>0.8</v>
      </c>
      <c r="AO68" s="68">
        <f ca="1" t="shared" si="132"/>
        <v>0.95</v>
      </c>
      <c r="AP68" s="68">
        <f ca="1" t="shared" si="132"/>
        <v>0.8</v>
      </c>
      <c r="AQ68" s="68">
        <f ca="1" t="shared" si="132"/>
        <v>0.975593578177383</v>
      </c>
      <c r="AR68" s="68">
        <f ca="1" t="shared" si="132"/>
        <v>0.975593578177383</v>
      </c>
      <c r="AS68" s="68">
        <f ca="1" t="shared" si="132"/>
        <v>0.975593578177383</v>
      </c>
      <c r="AT68" s="68">
        <f ca="1" t="shared" si="132"/>
        <v>0.975593578177383</v>
      </c>
      <c r="AU68" s="68">
        <f ca="1" t="shared" si="132"/>
        <v>0.975593578177383</v>
      </c>
      <c r="AV68" s="68">
        <f ca="1" t="shared" si="132"/>
        <v>0.975593578177383</v>
      </c>
      <c r="AW68" s="68">
        <f ca="1" t="shared" si="132"/>
        <v>0.975593578177383</v>
      </c>
      <c r="AX68" s="68">
        <f ca="1" t="shared" si="132"/>
        <v>0.975593578177383</v>
      </c>
      <c r="AY68" s="68">
        <f ca="1" t="shared" si="132"/>
        <v>0.975593578177383</v>
      </c>
      <c r="AZ68" s="68">
        <f ca="1" t="shared" si="132"/>
        <v>0.975593578177383</v>
      </c>
      <c r="BA68" s="68">
        <f ca="1" t="shared" si="132"/>
        <v>0.975593578177383</v>
      </c>
      <c r="BD68" s="40">
        <f ca="1">IFERROR(SUMIFS('TRA balance'!E$5:E$40,'TRA balance'!$C$5:$C$40,Assumptions!$C68,'TRA balance'!$D$5:$D$40,Assumptions!$B68)*CY68*H68,"")</f>
        <v>0</v>
      </c>
      <c r="BE68" s="40">
        <f ca="1">IFERROR(SUMIFS('TRA balance'!F$5:F$40,'TRA balance'!$C$5:$C$40,Assumptions!$C68,'TRA balance'!$D$5:$D$40,Assumptions!$B68)*CZ68*I68,"")</f>
        <v>0</v>
      </c>
      <c r="BF68" s="40">
        <f ca="1">IFERROR(SUMIFS('TRA balance'!G$5:G$40,'TRA balance'!$C$5:$C$40,Assumptions!$C68,'TRA balance'!$D$5:$D$40,Assumptions!$B68)*DA68*J68,"")</f>
        <v>0</v>
      </c>
      <c r="BG68" s="40">
        <f ca="1">IFERROR(SUMIFS('TRA balance'!H$5:H$40,'TRA balance'!$C$5:$C$40,Assumptions!$C68,'TRA balance'!$D$5:$D$40,Assumptions!$B68)*DB68*K68,"")</f>
        <v>0</v>
      </c>
      <c r="BH68" s="40">
        <f ca="1">IFERROR(SUMIFS('TRA balance'!I$5:I$40,'TRA balance'!$C$5:$C$40,Assumptions!$C68,'TRA balance'!$D$5:$D$40,Assumptions!$B68)*DC68*L68,"")</f>
        <v>0</v>
      </c>
      <c r="BI68" s="40">
        <f ca="1">IFERROR(SUMIFS('TRA balance'!J$5:J$40,'TRA balance'!$C$5:$C$40,Assumptions!$C68,'TRA balance'!$D$5:$D$40,Assumptions!$B68)*DD68*M68,"")</f>
        <v>0</v>
      </c>
      <c r="BJ68" s="40">
        <f ca="1">IFERROR(SUMIFS('TRA balance'!K$5:K$40,'TRA balance'!$C$5:$C$40,Assumptions!$C68,'TRA balance'!$D$5:$D$40,Assumptions!$B68)*DE68*N68,"")</f>
        <v>0</v>
      </c>
      <c r="BK68" s="40">
        <f ca="1">IFERROR(SUMIFS('TRA balance'!L$5:L$40,'TRA balance'!$C$5:$C$40,Assumptions!$C68,'TRA balance'!$D$5:$D$40,Assumptions!$B68)*DF68*O68,"")</f>
        <v>0</v>
      </c>
      <c r="BL68" s="40">
        <f ca="1">IFERROR(SUMIFS('TRA balance'!M$5:M$40,'TRA balance'!$C$5:$C$40,Assumptions!$C68,'TRA balance'!$D$5:$D$40,Assumptions!$B68)*DG68*P68,"")</f>
        <v>0</v>
      </c>
      <c r="BM68" s="40">
        <f ca="1">IFERROR(SUMIFS('TRA balance'!N$5:N$40,'TRA balance'!$C$5:$C$40,Assumptions!$C68,'TRA balance'!$D$5:$D$40,Assumptions!$B68)*DH68*Q68,"")</f>
        <v>0</v>
      </c>
      <c r="BN68" s="40">
        <f ca="1">IFERROR(SUMIFS('TRA balance'!O$5:O$40,'TRA balance'!$C$5:$C$40,Assumptions!$C68,'TRA balance'!$D$5:$D$40,Assumptions!$B68)*DI68*R68,"")</f>
        <v>0</v>
      </c>
      <c r="BO68" s="40">
        <f ca="1">IFERROR(SUMIFS('TRA balance'!P$5:P$40,'TRA balance'!$C$5:$C$40,Assumptions!$C68,'TRA balance'!$D$5:$D$40,Assumptions!$B68)*DJ68*S68,"")</f>
        <v>0</v>
      </c>
      <c r="BP68" s="40">
        <f ca="1">IFERROR(SUMIFS('TRA balance'!Q$5:Q$40,'TRA balance'!$C$5:$C$40,Assumptions!$C68,'TRA balance'!$D$5:$D$40,Assumptions!$B68)*DK68*T68,"")</f>
        <v>0</v>
      </c>
      <c r="BQ68" s="40">
        <f ca="1">IFERROR(SUMIFS('TRA balance'!R$5:R$40,'TRA balance'!$C$5:$C$40,Assumptions!$C68,'TRA balance'!$D$5:$D$40,Assumptions!$B68)*DL68*U68,"")</f>
        <v>0</v>
      </c>
      <c r="BR68" s="40">
        <f ca="1">IFERROR(SUMIFS('TRA balance'!S$5:S$40,'TRA balance'!$C$5:$C$40,Assumptions!$C68,'TRA balance'!$D$5:$D$40,Assumptions!$B68)*DM68*V68,"")</f>
        <v>0</v>
      </c>
      <c r="BS68" s="40">
        <f ca="1">IFERROR(SUMIFS('TRA balance'!T$5:T$40,'TRA balance'!$C$5:$C$40,Assumptions!$C68,'TRA balance'!$D$5:$D$40,Assumptions!$B68)*DN68*W68,"")</f>
        <v>0</v>
      </c>
      <c r="BT68" s="40">
        <f ca="1">IFERROR(SUMIFS('TRA balance'!U$5:U$40,'TRA balance'!$C$5:$C$40,Assumptions!$C68,'TRA balance'!$D$5:$D$40,Assumptions!$B68)*DO68*X68,"")</f>
        <v>0</v>
      </c>
      <c r="BU68" s="40">
        <f ca="1">IFERROR(SUMIFS('TRA balance'!V$5:V$40,'TRA balance'!$C$5:$C$40,Assumptions!$C68,'TRA balance'!$D$5:$D$40,Assumptions!$B68)*DP68*Y68,"")</f>
        <v>0</v>
      </c>
      <c r="BV68" s="40">
        <f ca="1">IFERROR(SUMIFS('TRA balance'!W$5:W$40,'TRA balance'!$C$5:$C$40,Assumptions!$C68,'TRA balance'!$D$5:$D$40,Assumptions!$B68)*DQ68*Z68,"")</f>
        <v>0</v>
      </c>
      <c r="BW68" s="40">
        <f ca="1">IFERROR(SUMIFS('TRA balance'!X$5:X$40,'TRA balance'!$C$5:$C$40,Assumptions!$C68,'TRA balance'!$D$5:$D$40,Assumptions!$B68)*DR68*AA68,"")</f>
        <v>0</v>
      </c>
      <c r="BX68" s="40">
        <f ca="1">IFERROR(SUMIFS('TRA balance'!Y$5:Y$40,'TRA balance'!$C$5:$C$40,Assumptions!$C68,'TRA balance'!$D$5:$D$40,Assumptions!$B68)*DS68*AB68,"")</f>
        <v>0</v>
      </c>
      <c r="BY68" s="40">
        <f ca="1">IFERROR(SUMIFS('TRA balance'!Z$5:Z$40,'TRA balance'!$C$5:$C$40,Assumptions!$C68,'TRA balance'!$D$5:$D$40,Assumptions!$B68)*DT68*AC68,"")</f>
        <v>0</v>
      </c>
      <c r="BZ68" s="40">
        <f ca="1">IFERROR(SUMIFS('TRA balance'!AA$5:AA$40,'TRA balance'!$C$5:$C$40,Assumptions!$C68,'TRA balance'!$D$5:$D$40,Assumptions!$B68)*DU68*AD68,"")</f>
        <v>0</v>
      </c>
      <c r="CA68" s="40">
        <f ca="1">IFERROR(SUMIFS('TRA balance'!AB$5:AB$40,'TRA balance'!$C$5:$C$40,Assumptions!$C68,'TRA balance'!$D$5:$D$40,Assumptions!$B68)*DV68*AE68,"")</f>
        <v>0</v>
      </c>
      <c r="CB68" s="40">
        <f ca="1">IFERROR(SUMIFS('TRA balance'!AC$5:AC$40,'TRA balance'!$C$5:$C$40,Assumptions!$C68,'TRA balance'!$D$5:$D$40,Assumptions!$B68)*DW68*AF68,"")</f>
        <v>0</v>
      </c>
      <c r="CC68" s="40">
        <f ca="1">IFERROR(SUMIFS('TRA balance'!AD$5:AD$40,'TRA balance'!$C$5:$C$40,Assumptions!$C68,'TRA balance'!$D$5:$D$40,Assumptions!$B68)*DX68*AG68,"")</f>
        <v>0</v>
      </c>
      <c r="CD68" s="40">
        <f ca="1">IFERROR(SUMIFS('TRA balance'!AE$5:AE$40,'TRA balance'!$C$5:$C$40,Assumptions!$C68,'TRA balance'!$D$5:$D$40,Assumptions!$B68)*DY68*AH68,"")</f>
        <v>0</v>
      </c>
      <c r="CE68" s="40">
        <f ca="1">IFERROR(SUMIFS('TRA balance'!AF$5:AF$40,'TRA balance'!$C$5:$C$40,Assumptions!$C68,'TRA balance'!$D$5:$D$40,Assumptions!$B68)*DZ68*AI68,"")</f>
        <v>0</v>
      </c>
      <c r="CF68" s="40">
        <f ca="1">IFERROR(SUMIFS('TRA balance'!AG$5:AG$40,'TRA balance'!$C$5:$C$40,Assumptions!$C68,'TRA balance'!$D$5:$D$40,Assumptions!$B68)*EA68*AJ68,"")</f>
        <v>0</v>
      </c>
      <c r="CG68" s="40">
        <f ca="1">IFERROR(SUMIFS('TRA balance'!AH$5:AH$40,'TRA balance'!$C$5:$C$40,Assumptions!$C68,'TRA balance'!$D$5:$D$40,Assumptions!$B68)*EB68*AK68,"")</f>
        <v>0</v>
      </c>
      <c r="CH68" s="40">
        <f ca="1">IFERROR(SUMIFS('TRA balance'!AI$5:AI$40,'TRA balance'!$C$5:$C$40,Assumptions!$C68,'TRA balance'!$D$5:$D$40,Assumptions!$B68)*EC68*AL68,"")</f>
        <v>0</v>
      </c>
      <c r="CI68" s="40">
        <f ca="1">IFERROR(SUMIFS('TRA balance'!AJ$5:AJ$40,'TRA balance'!$C$5:$C$40,Assumptions!$C68,'TRA balance'!$D$5:$D$40,Assumptions!$B68)*ED68*AM68,"")</f>
        <v>0</v>
      </c>
      <c r="CJ68" s="40">
        <f ca="1">IFERROR(SUMIFS('TRA balance'!AK$5:AK$40,'TRA balance'!$C$5:$C$40,Assumptions!$C68,'TRA balance'!$D$5:$D$40,Assumptions!$B68)*EE68*AN68,"")</f>
        <v>0</v>
      </c>
      <c r="CK68" s="40">
        <f ca="1">IFERROR(SUMIFS('TRA balance'!AL$5:AL$40,'TRA balance'!$C$5:$C$40,Assumptions!$C68,'TRA balance'!$D$5:$D$40,Assumptions!$B68)*EF68*AO68,"")</f>
        <v>0</v>
      </c>
      <c r="CL68" s="40">
        <f ca="1">IFERROR(SUMIFS('TRA balance'!AM$5:AM$40,'TRA balance'!$C$5:$C$40,Assumptions!$C68,'TRA balance'!$D$5:$D$40,Assumptions!$B68)*EG68*AP68,"")</f>
        <v>0</v>
      </c>
      <c r="CM68" s="40">
        <f ca="1">IFERROR(SUMIFS('TRA balance'!AN$5:AN$40,'TRA balance'!$C$5:$C$40,Assumptions!$C68,'TRA balance'!$D$5:$D$40,Assumptions!$B68)*EH68*AQ68,"")</f>
        <v>0</v>
      </c>
      <c r="CN68" s="40">
        <f ca="1">IFERROR(SUMIFS('TRA balance'!AO$5:AO$40,'TRA balance'!$C$5:$C$40,Assumptions!$C68,'TRA balance'!$D$5:$D$40,Assumptions!$B68)*EI68*AR68,"")</f>
        <v>0</v>
      </c>
      <c r="CO68" s="40">
        <f ca="1">IFERROR(SUMIFS('TRA balance'!AP$5:AP$40,'TRA balance'!$C$5:$C$40,Assumptions!$C68,'TRA balance'!$D$5:$D$40,Assumptions!$B68)*EJ68*AS68,"")</f>
        <v>0</v>
      </c>
      <c r="CP68" s="40">
        <f ca="1">IFERROR(SUMIFS('TRA balance'!AQ$5:AQ$40,'TRA balance'!$C$5:$C$40,Assumptions!$C68,'TRA balance'!$D$5:$D$40,Assumptions!$B68)*EK68*AT68,"")</f>
        <v>0</v>
      </c>
      <c r="CQ68" s="40">
        <f ca="1">IFERROR(SUMIFS('TRA balance'!AR$5:AR$40,'TRA balance'!$C$5:$C$40,Assumptions!$C68,'TRA balance'!$D$5:$D$40,Assumptions!$B68)*EL68*AU68,"")</f>
        <v>0</v>
      </c>
      <c r="CR68" s="40">
        <f ca="1">IFERROR(SUMIFS('TRA balance'!AS$5:AS$40,'TRA balance'!$C$5:$C$40,Assumptions!$C68,'TRA balance'!$D$5:$D$40,Assumptions!$B68)*EM68*AV68,"")</f>
        <v>0</v>
      </c>
      <c r="CS68" s="40">
        <f ca="1">IFERROR(SUMIFS('TRA balance'!AT$5:AT$40,'TRA balance'!$C$5:$C$40,Assumptions!$C68,'TRA balance'!$D$5:$D$40,Assumptions!$B68)*EN68*AW68,"")</f>
        <v>0</v>
      </c>
      <c r="CT68" s="40">
        <f ca="1">IFERROR(SUMIFS('TRA balance'!AU$5:AU$40,'TRA balance'!$C$5:$C$40,Assumptions!$C68,'TRA balance'!$D$5:$D$40,Assumptions!$B68)*EO68*AX68,"")</f>
        <v>0</v>
      </c>
      <c r="CU68" s="40">
        <f ca="1">IFERROR(SUMIFS('TRA balance'!AV$5:AV$40,'TRA balance'!$C$5:$C$40,Assumptions!$C68,'TRA balance'!$D$5:$D$40,Assumptions!$B68)*EP68*AY68,"")</f>
        <v>0</v>
      </c>
      <c r="CV68" s="40">
        <f ca="1">IFERROR(SUMIFS('TRA balance'!AW$5:AW$40,'TRA balance'!$C$5:$C$40,Assumptions!$C68,'TRA balance'!$D$5:$D$40,Assumptions!$B68)*EQ68*AZ68,"")</f>
        <v>0</v>
      </c>
      <c r="CW68" s="40">
        <f ca="1">IFERROR(SUMIFS('TRA balance'!AX$5:AX$40,'TRA balance'!$C$5:$C$40,Assumptions!$C68,'TRA balance'!$D$5:$D$40,Assumptions!$B68)*ER68*BA68,"")</f>
        <v>0</v>
      </c>
      <c r="CY68" s="39">
        <f ca="1" t="shared" si="86"/>
        <v>1</v>
      </c>
      <c r="CZ68" s="39">
        <f ca="1" t="shared" si="87"/>
        <v>1</v>
      </c>
      <c r="DA68" s="39">
        <f ca="1" t="shared" si="88"/>
        <v>1</v>
      </c>
      <c r="DB68" s="39">
        <f ca="1" t="shared" si="89"/>
        <v>1</v>
      </c>
      <c r="DC68" s="39">
        <f ca="1" t="shared" si="90"/>
        <v>1</v>
      </c>
      <c r="DD68" s="39">
        <f ca="1" t="shared" si="91"/>
        <v>1</v>
      </c>
      <c r="DE68" s="39">
        <f ca="1" t="shared" si="92"/>
        <v>1</v>
      </c>
      <c r="DF68" s="39">
        <f ca="1" t="shared" si="93"/>
        <v>1</v>
      </c>
      <c r="DG68" s="39">
        <f ca="1" t="shared" si="94"/>
        <v>1</v>
      </c>
      <c r="DH68" s="39">
        <f ca="1" t="shared" si="95"/>
        <v>1</v>
      </c>
      <c r="DI68" s="39">
        <f ca="1" t="shared" si="96"/>
        <v>1</v>
      </c>
      <c r="DJ68" s="39">
        <f ca="1" t="shared" si="97"/>
        <v>1</v>
      </c>
      <c r="DK68" s="39">
        <f ca="1" t="shared" si="98"/>
        <v>1</v>
      </c>
      <c r="DL68" s="39">
        <f ca="1" t="shared" si="99"/>
        <v>1</v>
      </c>
      <c r="DM68" s="39">
        <f ca="1" t="shared" si="100"/>
        <v>1</v>
      </c>
      <c r="DN68" s="39">
        <f ca="1" t="shared" si="101"/>
        <v>1</v>
      </c>
      <c r="DO68" s="39">
        <f ca="1" t="shared" si="102"/>
        <v>1</v>
      </c>
      <c r="DP68" s="39">
        <f ca="1" t="shared" si="103"/>
        <v>1</v>
      </c>
      <c r="DQ68" s="39">
        <f ca="1" t="shared" si="104"/>
        <v>1</v>
      </c>
      <c r="DR68" s="39">
        <f ca="1" t="shared" si="105"/>
        <v>1</v>
      </c>
      <c r="DS68" s="39">
        <f ca="1" t="shared" si="106"/>
        <v>1</v>
      </c>
      <c r="DT68" s="39">
        <f ca="1" t="shared" si="107"/>
        <v>1</v>
      </c>
      <c r="DU68" s="39">
        <f ca="1" t="shared" si="108"/>
        <v>1</v>
      </c>
      <c r="DV68" s="39">
        <f ca="1" t="shared" si="109"/>
        <v>1</v>
      </c>
      <c r="DW68" s="39">
        <f ca="1" t="shared" si="110"/>
        <v>1</v>
      </c>
      <c r="DX68" s="39">
        <f ca="1" t="shared" si="111"/>
        <v>1</v>
      </c>
      <c r="DY68" s="39">
        <f ca="1" t="shared" si="112"/>
        <v>1</v>
      </c>
      <c r="DZ68" s="39">
        <f ca="1" t="shared" si="113"/>
        <v>1</v>
      </c>
      <c r="EA68" s="39">
        <f ca="1" t="shared" si="114"/>
        <v>1</v>
      </c>
      <c r="EB68" s="39">
        <f ca="1" t="shared" si="115"/>
        <v>1</v>
      </c>
      <c r="EC68" s="39">
        <f ca="1" t="shared" si="116"/>
        <v>1</v>
      </c>
      <c r="ED68" s="39">
        <f ca="1" t="shared" si="117"/>
        <v>1</v>
      </c>
      <c r="EE68" s="39">
        <f ca="1" t="shared" si="118"/>
        <v>1</v>
      </c>
      <c r="EF68" s="39">
        <f ca="1" t="shared" si="119"/>
        <v>1</v>
      </c>
      <c r="EG68" s="39">
        <f ca="1" t="shared" si="120"/>
        <v>1</v>
      </c>
      <c r="EH68" s="39">
        <f ca="1" t="shared" si="121"/>
        <v>1</v>
      </c>
      <c r="EI68" s="39">
        <f ca="1" t="shared" si="122"/>
        <v>1</v>
      </c>
      <c r="EJ68" s="39">
        <f ca="1" t="shared" si="123"/>
        <v>1</v>
      </c>
      <c r="EK68" s="39">
        <f ca="1" t="shared" si="124"/>
        <v>1</v>
      </c>
      <c r="EL68" s="39">
        <f ca="1" t="shared" si="125"/>
        <v>1</v>
      </c>
      <c r="EM68" s="39">
        <f ca="1" t="shared" si="126"/>
        <v>1</v>
      </c>
      <c r="EN68" s="39">
        <f ca="1" t="shared" si="127"/>
        <v>1</v>
      </c>
      <c r="EO68" s="39">
        <f ca="1" t="shared" si="128"/>
        <v>1</v>
      </c>
      <c r="EP68" s="39">
        <f ca="1" t="shared" si="129"/>
        <v>1</v>
      </c>
      <c r="EQ68" s="39">
        <f ca="1" t="shared" si="130"/>
        <v>1</v>
      </c>
      <c r="ER68" s="39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4" t="str">
        <f t="shared" ref="C69:C102" si="133">LEFT(G69,2)</f>
        <v>TR</v>
      </c>
      <c r="D69" s="55" t="s">
        <v>200</v>
      </c>
      <c r="E69" s="66" t="s">
        <v>212</v>
      </c>
      <c r="F69" s="56" t="str">
        <f t="shared" si="84"/>
        <v>Bio Diesel</v>
      </c>
      <c r="G69" s="54" t="s">
        <v>213</v>
      </c>
      <c r="H69" s="57">
        <f ca="1">OFFSET(TIAM15_assumptions!$G69,0,MATCH(VLOOKUP(Assumptions!H$2,TIAM15_assumptions!$Y$3:$Z$87,2,FALSE),TIAM15_assumptions!$H$2:$V$2,0))</f>
        <v>0.35</v>
      </c>
      <c r="I69" s="57">
        <f ca="1">OFFSET(TIAM15_assumptions!$G69,0,MATCH(VLOOKUP(Assumptions!I$2,TIAM15_assumptions!$Y$3:$Z$87,2,FALSE),TIAM15_assumptions!$H$2:$V$2,0))</f>
        <v>0.35</v>
      </c>
      <c r="J69" s="57">
        <f ca="1">OFFSET(TIAM15_assumptions!$G69,0,MATCH(VLOOKUP(Assumptions!J$2,TIAM15_assumptions!$Y$3:$Z$87,2,FALSE),TIAM15_assumptions!$H$2:$V$2,0))</f>
        <v>0.15</v>
      </c>
      <c r="K69" s="57">
        <f ca="1">OFFSET(TIAM15_assumptions!$G69,0,MATCH(VLOOKUP(Assumptions!K$2,TIAM15_assumptions!$Y$3:$Z$87,2,FALSE),TIAM15_assumptions!$H$2:$V$2,0))</f>
        <v>0.05</v>
      </c>
      <c r="L69" s="57">
        <f ca="1">OFFSET(TIAM15_assumptions!$G69,0,MATCH(VLOOKUP(Assumptions!L$2,TIAM15_assumptions!$Y$3:$Z$87,2,FALSE),TIAM15_assumptions!$H$2:$V$2,0))</f>
        <v>0.1</v>
      </c>
      <c r="M69" s="57">
        <f ca="1">OFFSET(TIAM15_assumptions!$G69,0,MATCH(VLOOKUP(Assumptions!M$2,TIAM15_assumptions!$Y$3:$Z$87,2,FALSE),TIAM15_assumptions!$H$2:$V$2,0))</f>
        <v>0.05</v>
      </c>
      <c r="N69" s="57">
        <f ca="1">OFFSET(TIAM15_assumptions!$G69,0,MATCH(VLOOKUP(Assumptions!N$2,TIAM15_assumptions!$Y$3:$Z$87,2,FALSE),TIAM15_assumptions!$H$2:$V$2,0))</f>
        <v>0.1</v>
      </c>
      <c r="O69" s="57">
        <f ca="1">OFFSET(TIAM15_assumptions!$G69,0,MATCH(VLOOKUP(Assumptions!O$2,TIAM15_assumptions!$Y$3:$Z$87,2,FALSE),TIAM15_assumptions!$H$2:$V$2,0))</f>
        <v>0.35</v>
      </c>
      <c r="P69" s="57">
        <f ca="1">OFFSET(TIAM15_assumptions!$G69,0,MATCH(VLOOKUP(Assumptions!P$2,TIAM15_assumptions!$Y$3:$Z$87,2,FALSE),TIAM15_assumptions!$H$2:$V$2,0))</f>
        <v>0.1</v>
      </c>
      <c r="Q69" s="57">
        <f ca="1">OFFSET(TIAM15_assumptions!$G69,0,MATCH(VLOOKUP(Assumptions!Q$2,TIAM15_assumptions!$Y$3:$Z$87,2,FALSE),TIAM15_assumptions!$H$2:$V$2,0))</f>
        <v>0.1</v>
      </c>
      <c r="R69" s="57">
        <f ca="1">OFFSET(TIAM15_assumptions!$G69,0,MATCH(VLOOKUP(Assumptions!R$2,TIAM15_assumptions!$Y$3:$Z$87,2,FALSE),TIAM15_assumptions!$H$2:$V$2,0))</f>
        <v>0.05</v>
      </c>
      <c r="S69" s="57">
        <f ca="1">OFFSET(TIAM15_assumptions!$G69,0,MATCH(VLOOKUP(Assumptions!S$2,TIAM15_assumptions!$Y$3:$Z$87,2,FALSE),TIAM15_assumptions!$H$2:$V$2,0))</f>
        <v>0.05</v>
      </c>
      <c r="T69" s="57">
        <f ca="1">OFFSET(TIAM15_assumptions!$G69,0,MATCH(VLOOKUP(Assumptions!T$2,TIAM15_assumptions!$Y$3:$Z$87,2,FALSE),TIAM15_assumptions!$H$2:$V$2,0))</f>
        <v>0.05</v>
      </c>
      <c r="U69" s="57">
        <f ca="1">OFFSET(TIAM15_assumptions!$G69,0,MATCH(VLOOKUP(Assumptions!U$2,TIAM15_assumptions!$Y$3:$Z$87,2,FALSE),TIAM15_assumptions!$H$2:$V$2,0))</f>
        <v>0.1</v>
      </c>
      <c r="V69" s="57">
        <f ca="1">OFFSET(TIAM15_assumptions!$G69,0,MATCH(VLOOKUP(Assumptions!V$2,TIAM15_assumptions!$Y$3:$Z$87,2,FALSE),TIAM15_assumptions!$H$2:$V$2,0))</f>
        <v>0.05</v>
      </c>
      <c r="W69" s="57">
        <f ca="1">OFFSET(TIAM15_assumptions!$G69,0,MATCH(VLOOKUP(Assumptions!W$2,TIAM15_assumptions!$Y$3:$Z$87,2,FALSE),TIAM15_assumptions!$H$2:$V$2,0))</f>
        <v>0.25</v>
      </c>
      <c r="X69" s="57">
        <f ca="1">OFFSET(TIAM15_assumptions!$G69,0,MATCH(VLOOKUP(Assumptions!X$2,TIAM15_assumptions!$Y$3:$Z$87,2,FALSE),TIAM15_assumptions!$H$2:$V$2,0))</f>
        <v>0.05</v>
      </c>
      <c r="Y69" s="57">
        <f ca="1">OFFSET(TIAM15_assumptions!$G69,0,MATCH(VLOOKUP(Assumptions!Y$2,TIAM15_assumptions!$Y$3:$Z$87,2,FALSE),TIAM15_assumptions!$H$2:$V$2,0))</f>
        <v>0.05</v>
      </c>
      <c r="Z69" s="57">
        <f ca="1">OFFSET(TIAM15_assumptions!$G69,0,MATCH(VLOOKUP(Assumptions!Z$2,TIAM15_assumptions!$Y$3:$Z$87,2,FALSE),TIAM15_assumptions!$H$2:$V$2,0))</f>
        <v>0.05</v>
      </c>
      <c r="AA69" s="57">
        <f ca="1">OFFSET(TIAM15_assumptions!$G69,0,MATCH(VLOOKUP(Assumptions!AA$2,TIAM15_assumptions!$Y$3:$Z$87,2,FALSE),TIAM15_assumptions!$H$2:$V$2,0))</f>
        <v>0.1</v>
      </c>
      <c r="AB69" s="57">
        <f ca="1">OFFSET(TIAM15_assumptions!$G69,0,MATCH(VLOOKUP(Assumptions!AB$2,TIAM15_assumptions!$Y$3:$Z$87,2,FALSE),TIAM15_assumptions!$H$2:$V$2,0))</f>
        <v>0.1</v>
      </c>
      <c r="AC69" s="57">
        <f ca="1">OFFSET(TIAM15_assumptions!$G69,0,MATCH(VLOOKUP(Assumptions!AC$2,TIAM15_assumptions!$Y$3:$Z$87,2,FALSE),TIAM15_assumptions!$H$2:$V$2,0))</f>
        <v>0.04</v>
      </c>
      <c r="AD69" s="57">
        <f ca="1">OFFSET(TIAM15_assumptions!$G69,0,MATCH(VLOOKUP(Assumptions!AD$2,TIAM15_assumptions!$Y$3:$Z$87,2,FALSE),TIAM15_assumptions!$H$2:$V$2,0))</f>
        <v>0.05</v>
      </c>
      <c r="AE69" s="57">
        <f ca="1">OFFSET(TIAM15_assumptions!$G69,0,MATCH(VLOOKUP(Assumptions!AE$2,TIAM15_assumptions!$Y$3:$Z$87,2,FALSE),TIAM15_assumptions!$H$2:$V$2,0))</f>
        <v>0.1</v>
      </c>
      <c r="AF69" s="57">
        <f ca="1">OFFSET(TIAM15_assumptions!$G69,0,MATCH(VLOOKUP(Assumptions!AF$2,TIAM15_assumptions!$Y$3:$Z$87,2,FALSE),TIAM15_assumptions!$H$2:$V$2,0))</f>
        <v>0.15</v>
      </c>
      <c r="AG69" s="57">
        <f ca="1">OFFSET(TIAM15_assumptions!$G69,0,MATCH(VLOOKUP(Assumptions!AG$2,TIAM15_assumptions!$Y$3:$Z$87,2,FALSE),TIAM15_assumptions!$H$2:$V$2,0))</f>
        <v>0.1</v>
      </c>
      <c r="AH69" s="57">
        <f ca="1">OFFSET(TIAM15_assumptions!$G69,0,MATCH(VLOOKUP(Assumptions!AH$2,TIAM15_assumptions!$Y$3:$Z$87,2,FALSE),TIAM15_assumptions!$H$2:$V$2,0))</f>
        <v>0.1</v>
      </c>
      <c r="AI69" s="57">
        <f ca="1">OFFSET(TIAM15_assumptions!$G69,0,MATCH(VLOOKUP(Assumptions!AI$2,TIAM15_assumptions!$Y$3:$Z$87,2,FALSE),TIAM15_assumptions!$H$2:$V$2,0))</f>
        <v>0.35</v>
      </c>
      <c r="AJ69" s="57">
        <f ca="1">OFFSET(TIAM15_assumptions!$G69,0,MATCH(VLOOKUP(Assumptions!AJ$2,TIAM15_assumptions!$Y$3:$Z$87,2,FALSE),TIAM15_assumptions!$H$2:$V$2,0))</f>
        <v>0.05</v>
      </c>
      <c r="AK69" s="57">
        <f ca="1">OFFSET(TIAM15_assumptions!$G69,0,MATCH(VLOOKUP(Assumptions!AK$2,TIAM15_assumptions!$Y$3:$Z$87,2,FALSE),TIAM15_assumptions!$H$2:$V$2,0))</f>
        <v>0.05</v>
      </c>
      <c r="AL69" s="57">
        <f ca="1">OFFSET(TIAM15_assumptions!$G69,0,MATCH(VLOOKUP(Assumptions!AL$2,TIAM15_assumptions!$Y$3:$Z$87,2,FALSE),TIAM15_assumptions!$H$2:$V$2,0))</f>
        <v>0.05</v>
      </c>
      <c r="AM69" s="57">
        <f ca="1">OFFSET(TIAM15_assumptions!$G69,0,MATCH(VLOOKUP(Assumptions!AM$2,TIAM15_assumptions!$Y$3:$Z$87,2,FALSE),TIAM15_assumptions!$H$2:$V$2,0))</f>
        <v>0.1</v>
      </c>
      <c r="AN69" s="57">
        <f ca="1">OFFSET(TIAM15_assumptions!$G69,0,MATCH(VLOOKUP(Assumptions!AN$2,TIAM15_assumptions!$Y$3:$Z$87,2,FALSE),TIAM15_assumptions!$H$2:$V$2,0))</f>
        <v>0.05</v>
      </c>
      <c r="AO69" s="57">
        <f ca="1">OFFSET(TIAM15_assumptions!$G69,0,MATCH(VLOOKUP(Assumptions!AO$2,TIAM15_assumptions!$Y$3:$Z$87,2,FALSE),TIAM15_assumptions!$H$2:$V$2,0))</f>
        <v>0.1</v>
      </c>
      <c r="AP69" s="57">
        <f ca="1">OFFSET(TIAM15_assumptions!$G69,0,MATCH(VLOOKUP(Assumptions!AP$2,TIAM15_assumptions!$Y$3:$Z$87,2,FALSE),TIAM15_assumptions!$H$2:$V$2,0))</f>
        <v>0.1</v>
      </c>
      <c r="AQ69" s="57">
        <f ca="1">OFFSET(TIAM15_assumptions!$G69,0,MATCH(VLOOKUP(Assumptions!AQ$2,TIAM15_assumptions!$Y$3:$Z$87,2,FALSE),TIAM15_assumptions!$H$2:$V$2,0))</f>
        <v>0.04</v>
      </c>
      <c r="AR69" s="57">
        <f ca="1">OFFSET(TIAM15_assumptions!$G69,0,MATCH(VLOOKUP(Assumptions!AR$2,TIAM15_assumptions!$Y$3:$Z$87,2,FALSE),TIAM15_assumptions!$H$2:$V$2,0))</f>
        <v>0.04</v>
      </c>
      <c r="AS69" s="57">
        <f ca="1">OFFSET(TIAM15_assumptions!$G69,0,MATCH(VLOOKUP(Assumptions!AS$2,TIAM15_assumptions!$Y$3:$Z$87,2,FALSE),TIAM15_assumptions!$H$2:$V$2,0))</f>
        <v>0.04</v>
      </c>
      <c r="AT69" s="57">
        <f ca="1">OFFSET(TIAM15_assumptions!$G69,0,MATCH(VLOOKUP(Assumptions!AT$2,TIAM15_assumptions!$Y$3:$Z$87,2,FALSE),TIAM15_assumptions!$H$2:$V$2,0))</f>
        <v>0.04</v>
      </c>
      <c r="AU69" s="57">
        <f ca="1">OFFSET(TIAM15_assumptions!$G69,0,MATCH(VLOOKUP(Assumptions!AU$2,TIAM15_assumptions!$Y$3:$Z$87,2,FALSE),TIAM15_assumptions!$H$2:$V$2,0))</f>
        <v>0.04</v>
      </c>
      <c r="AV69" s="57">
        <f ca="1">OFFSET(TIAM15_assumptions!$G69,0,MATCH(VLOOKUP(Assumptions!AV$2,TIAM15_assumptions!$Y$3:$Z$87,2,FALSE),TIAM15_assumptions!$H$2:$V$2,0))</f>
        <v>0.04</v>
      </c>
      <c r="AW69" s="57">
        <f ca="1">OFFSET(TIAM15_assumptions!$G69,0,MATCH(VLOOKUP(Assumptions!AW$2,TIAM15_assumptions!$Y$3:$Z$87,2,FALSE),TIAM15_assumptions!$H$2:$V$2,0))</f>
        <v>0.04</v>
      </c>
      <c r="AX69" s="57">
        <f ca="1">OFFSET(TIAM15_assumptions!$G69,0,MATCH(VLOOKUP(Assumptions!AX$2,TIAM15_assumptions!$Y$3:$Z$87,2,FALSE),TIAM15_assumptions!$H$2:$V$2,0))</f>
        <v>0.04</v>
      </c>
      <c r="AY69" s="57">
        <f ca="1">OFFSET(TIAM15_assumptions!$G69,0,MATCH(VLOOKUP(Assumptions!AY$2,TIAM15_assumptions!$Y$3:$Z$87,2,FALSE),TIAM15_assumptions!$H$2:$V$2,0))</f>
        <v>0.04</v>
      </c>
      <c r="AZ69" s="57">
        <f ca="1">OFFSET(TIAM15_assumptions!$G69,0,MATCH(VLOOKUP(Assumptions!AZ$2,TIAM15_assumptions!$Y$3:$Z$87,2,FALSE),TIAM15_assumptions!$H$2:$V$2,0))</f>
        <v>0.04</v>
      </c>
      <c r="BA69" s="57">
        <f ca="1">OFFSET(TIAM15_assumptions!$G69,0,MATCH(VLOOKUP(Assumptions!BA$2,TIAM15_assumptions!$Y$3:$Z$87,2,FALSE),TIAM15_assumptions!$H$2:$V$2,0))</f>
        <v>0.04</v>
      </c>
      <c r="BD69" s="40">
        <f ca="1">IFERROR(SUMIFS('TRA balance'!E$5:E$40,'TRA balance'!$C$5:$C$40,Assumptions!$C69,'TRA balance'!$D$5:$D$40,Assumptions!$B69)*CY69*H69,"")</f>
        <v>0</v>
      </c>
      <c r="BE69" s="40">
        <f ca="1">IFERROR(SUMIFS('TRA balance'!F$5:F$40,'TRA balance'!$C$5:$C$40,Assumptions!$C69,'TRA balance'!$D$5:$D$40,Assumptions!$B69)*CZ69*I69,"")</f>
        <v>0</v>
      </c>
      <c r="BF69" s="40">
        <f ca="1">IFERROR(SUMIFS('TRA balance'!G$5:G$40,'TRA balance'!$C$5:$C$40,Assumptions!$C69,'TRA balance'!$D$5:$D$40,Assumptions!$B69)*DA69*J69,"")</f>
        <v>0.005409889884</v>
      </c>
      <c r="BG69" s="40">
        <f ca="1">IFERROR(SUMIFS('TRA balance'!H$5:H$40,'TRA balance'!$C$5:$C$40,Assumptions!$C69,'TRA balance'!$D$5:$D$40,Assumptions!$B69)*DB69*K69,"")</f>
        <v>0.712979215488</v>
      </c>
      <c r="BH69" s="40">
        <f ca="1">IFERROR(SUMIFS('TRA balance'!I$5:I$40,'TRA balance'!$C$5:$C$40,Assumptions!$C69,'TRA balance'!$D$5:$D$40,Assumptions!$B69)*DC69*L69,"")</f>
        <v>0.435417319152</v>
      </c>
      <c r="BI69" s="40">
        <f ca="1">IFERROR(SUMIFS('TRA balance'!J$5:J$40,'TRA balance'!$C$5:$C$40,Assumptions!$C69,'TRA balance'!$D$5:$D$40,Assumptions!$B69)*DD69*M69,"")</f>
        <v>1.477196321904</v>
      </c>
      <c r="BJ69" s="40">
        <f ca="1">IFERROR(SUMIFS('TRA balance'!K$5:K$40,'TRA balance'!$C$5:$C$40,Assumptions!$C69,'TRA balance'!$D$5:$D$40,Assumptions!$B69)*DE69*N69,"")</f>
        <v>60.5457829596024</v>
      </c>
      <c r="BK69" s="40">
        <f ca="1">IFERROR(SUMIFS('TRA balance'!L$5:L$40,'TRA balance'!$C$5:$C$40,Assumptions!$C69,'TRA balance'!$D$5:$D$40,Assumptions!$B69)*DF69*O69,"")</f>
        <v>11.93976017703</v>
      </c>
      <c r="BL69" s="40">
        <f ca="1">IFERROR(SUMIFS('TRA balance'!M$5:M$40,'TRA balance'!$C$5:$C$40,Assumptions!$C69,'TRA balance'!$D$5:$D$40,Assumptions!$B69)*DG69*P69,"")</f>
        <v>0.510663661056</v>
      </c>
      <c r="BM69" s="40">
        <f ca="1">IFERROR(SUMIFS('TRA balance'!N$5:N$40,'TRA balance'!$C$5:$C$40,Assumptions!$C69,'TRA balance'!$D$5:$D$40,Assumptions!$B69)*DH69*Q69,"")</f>
        <v>1.338387992064</v>
      </c>
      <c r="BN69" s="40">
        <f ca="1">IFERROR(SUMIFS('TRA balance'!O$5:O$40,'TRA balance'!$C$5:$C$40,Assumptions!$C69,'TRA balance'!$D$5:$D$40,Assumptions!$B69)*DI69*R69,"")</f>
        <v>4.228130247408</v>
      </c>
      <c r="BO69" s="40">
        <f ca="1">IFERROR(SUMIFS('TRA balance'!P$5:P$40,'TRA balance'!$C$5:$C$40,Assumptions!$C69,'TRA balance'!$D$5:$D$40,Assumptions!$B69)*DJ69*S69,"")</f>
        <v>3.163755587472</v>
      </c>
      <c r="BP69" s="40">
        <f ca="1">IFERROR(SUMIFS('TRA balance'!Q$5:Q$40,'TRA balance'!$C$5:$C$40,Assumptions!$C69,'TRA balance'!$D$5:$D$40,Assumptions!$B69)*DK69*T69,"")</f>
        <v>0.286629332832</v>
      </c>
      <c r="BQ69" s="40">
        <f ca="1">IFERROR(SUMIFS('TRA balance'!R$5:R$40,'TRA balance'!$C$5:$C$40,Assumptions!$C69,'TRA balance'!$D$5:$D$40,Assumptions!$B69)*DL69*U69,"")</f>
        <v>2.072931237216</v>
      </c>
      <c r="BR69" s="40">
        <f ca="1">IFERROR(SUMIFS('TRA balance'!S$5:S$40,'TRA balance'!$C$5:$C$40,Assumptions!$C69,'TRA balance'!$D$5:$D$40,Assumptions!$B69)*DM69*V69,"")</f>
        <v>0.02595732264</v>
      </c>
      <c r="BS69" s="40">
        <f ca="1">IFERROR(SUMIFS('TRA balance'!T$5:T$40,'TRA balance'!$C$5:$C$40,Assumptions!$C69,'TRA balance'!$D$5:$D$40,Assumptions!$B69)*DN69*W69,"")</f>
        <v>0.3069259344</v>
      </c>
      <c r="BT69" s="40">
        <f ca="1">IFERROR(SUMIFS('TRA balance'!U$5:U$40,'TRA balance'!$C$5:$C$40,Assumptions!$C69,'TRA balance'!$D$5:$D$40,Assumptions!$B69)*DO69*X69,"")</f>
        <v>0.27127282032</v>
      </c>
      <c r="BU69" s="40">
        <f ca="1">IFERROR(SUMIFS('TRA balance'!V$5:V$40,'TRA balance'!$C$5:$C$40,Assumptions!$C69,'TRA balance'!$D$5:$D$40,Assumptions!$B69)*DP69*Y69,"")</f>
        <v>2.104371258192</v>
      </c>
      <c r="BV69" s="40">
        <f ca="1">IFERROR(SUMIFS('TRA balance'!W$5:W$40,'TRA balance'!$C$5:$C$40,Assumptions!$C69,'TRA balance'!$D$5:$D$40,Assumptions!$B69)*DQ69*Z69,"")</f>
        <v>0.02466422946</v>
      </c>
      <c r="BW69" s="40">
        <f ca="1">IFERROR(SUMIFS('TRA balance'!X$5:X$40,'TRA balance'!$C$5:$C$40,Assumptions!$C69,'TRA balance'!$D$5:$D$40,Assumptions!$B69)*DR69*AA69,"")</f>
        <v>6.9065081305236</v>
      </c>
      <c r="BX69" s="40">
        <f ca="1">IFERROR(SUMIFS('TRA balance'!Y$5:Y$40,'TRA balance'!$C$5:$C$40,Assumptions!$C69,'TRA balance'!$D$5:$D$40,Assumptions!$B69)*DS69*AB69,"")</f>
        <v>0</v>
      </c>
      <c r="BY69" s="40">
        <f ca="1">IFERROR(SUMIFS('TRA balance'!Z$5:Z$40,'TRA balance'!$C$5:$C$40,Assumptions!$C69,'TRA balance'!$D$5:$D$40,Assumptions!$B69)*DT69*AC69,"")</f>
        <v>7.97018708786574</v>
      </c>
      <c r="BZ69" s="40">
        <f ca="1">IFERROR(SUMIFS('TRA balance'!AA$5:AA$40,'TRA balance'!$C$5:$C$40,Assumptions!$C69,'TRA balance'!$D$5:$D$40,Assumptions!$B69)*DU69*AD69,"")</f>
        <v>0.70170098112</v>
      </c>
      <c r="CA69" s="40">
        <f ca="1">IFERROR(SUMIFS('TRA balance'!AB$5:AB$40,'TRA balance'!$C$5:$C$40,Assumptions!$C69,'TRA balance'!$D$5:$D$40,Assumptions!$B69)*DV69*AE69,"")</f>
        <v>2.806112600064</v>
      </c>
      <c r="CB69" s="40">
        <f ca="1">IFERROR(SUMIFS('TRA balance'!AC$5:AC$40,'TRA balance'!$C$5:$C$40,Assumptions!$C69,'TRA balance'!$D$5:$D$40,Assumptions!$B69)*DW69*AF69,"")</f>
        <v>39.3389136538272</v>
      </c>
      <c r="CC69" s="40">
        <f ca="1">IFERROR(SUMIFS('TRA balance'!AD$5:AD$40,'TRA balance'!$C$5:$C$40,Assumptions!$C69,'TRA balance'!$D$5:$D$40,Assumptions!$B69)*DX69*AG69,"")</f>
        <v>0.006840037962</v>
      </c>
      <c r="CD69" s="40">
        <f ca="1">IFERROR(SUMIFS('TRA balance'!AE$5:AE$40,'TRA balance'!$C$5:$C$40,Assumptions!$C69,'TRA balance'!$D$5:$D$40,Assumptions!$B69)*DY69*AH69,"")</f>
        <v>0</v>
      </c>
      <c r="CE69" s="40">
        <f ca="1">IFERROR(SUMIFS('TRA balance'!AF$5:AF$40,'TRA balance'!$C$5:$C$40,Assumptions!$C69,'TRA balance'!$D$5:$D$40,Assumptions!$B69)*DZ69*AI69,"")</f>
        <v>0</v>
      </c>
      <c r="CF69" s="40">
        <f ca="1">IFERROR(SUMIFS('TRA balance'!AG$5:AG$40,'TRA balance'!$C$5:$C$40,Assumptions!$C69,'TRA balance'!$D$5:$D$40,Assumptions!$B69)*EA69*AJ69,"")</f>
        <v>2.943386886384</v>
      </c>
      <c r="CG69" s="40">
        <f ca="1">IFERROR(SUMIFS('TRA balance'!AH$5:AH$40,'TRA balance'!$C$5:$C$40,Assumptions!$C69,'TRA balance'!$D$5:$D$40,Assumptions!$B69)*EB69*AK69,"")</f>
        <v>2.866601979216</v>
      </c>
      <c r="CH69" s="40">
        <f ca="1">IFERROR(SUMIFS('TRA balance'!AI$5:AI$40,'TRA balance'!$C$5:$C$40,Assumptions!$C69,'TRA balance'!$D$5:$D$40,Assumptions!$B69)*EC69*AL69,"")</f>
        <v>0.25092999648</v>
      </c>
      <c r="CI69" s="40">
        <f ca="1">IFERROR(SUMIFS('TRA balance'!AJ$5:AJ$40,'TRA balance'!$C$5:$C$40,Assumptions!$C69,'TRA balance'!$D$5:$D$40,Assumptions!$B69)*ED69*AM69,"")</f>
        <v>0.430155013968</v>
      </c>
      <c r="CJ69" s="40">
        <f ca="1">IFERROR(SUMIFS('TRA balance'!AK$5:AK$40,'TRA balance'!$C$5:$C$40,Assumptions!$C69,'TRA balance'!$D$5:$D$40,Assumptions!$B69)*EE69*AN69,"")</f>
        <v>2.115424075248</v>
      </c>
      <c r="CK69" s="40">
        <f ca="1">IFERROR(SUMIFS('TRA balance'!AL$5:AL$40,'TRA balance'!$C$5:$C$40,Assumptions!$C69,'TRA balance'!$D$5:$D$40,Assumptions!$B69)*EF69*AO69,"")</f>
        <v>0</v>
      </c>
      <c r="CL69" s="40">
        <f ca="1">IFERROR(SUMIFS('TRA balance'!AM$5:AM$40,'TRA balance'!$C$5:$C$40,Assumptions!$C69,'TRA balance'!$D$5:$D$40,Assumptions!$B69)*EG69*AP69,"")</f>
        <v>0.402820736544</v>
      </c>
      <c r="CM69" s="40">
        <f ca="1">IFERROR(SUMIFS('TRA balance'!AN$5:AN$40,'TRA balance'!$C$5:$C$40,Assumptions!$C69,'TRA balance'!$D$5:$D$40,Assumptions!$B69)*EH69*AQ69,"")</f>
        <v>0</v>
      </c>
      <c r="CN69" s="40">
        <f ca="1">IFERROR(SUMIFS('TRA balance'!AO$5:AO$40,'TRA balance'!$C$5:$C$40,Assumptions!$C69,'TRA balance'!$D$5:$D$40,Assumptions!$B69)*EI69*AR69,"")</f>
        <v>0</v>
      </c>
      <c r="CO69" s="40">
        <f ca="1">IFERROR(SUMIFS('TRA balance'!AP$5:AP$40,'TRA balance'!$C$5:$C$40,Assumptions!$C69,'TRA balance'!$D$5:$D$40,Assumptions!$B69)*EJ69*AS69,"")</f>
        <v>0</v>
      </c>
      <c r="CP69" s="40">
        <f ca="1">IFERROR(SUMIFS('TRA balance'!AQ$5:AQ$40,'TRA balance'!$C$5:$C$40,Assumptions!$C69,'TRA balance'!$D$5:$D$40,Assumptions!$B69)*EK69*AT69,"")</f>
        <v>0</v>
      </c>
      <c r="CQ69" s="40">
        <f ca="1">IFERROR(SUMIFS('TRA balance'!AR$5:AR$40,'TRA balance'!$C$5:$C$40,Assumptions!$C69,'TRA balance'!$D$5:$D$40,Assumptions!$B69)*EL69*AU69,"")</f>
        <v>0</v>
      </c>
      <c r="CR69" s="40">
        <f ca="1">IFERROR(SUMIFS('TRA balance'!AS$5:AS$40,'TRA balance'!$C$5:$C$40,Assumptions!$C69,'TRA balance'!$D$5:$D$40,Assumptions!$B69)*EM69*AV69,"")</f>
        <v>0</v>
      </c>
      <c r="CS69" s="40">
        <f ca="1">IFERROR(SUMIFS('TRA balance'!AT$5:AT$40,'TRA balance'!$C$5:$C$40,Assumptions!$C69,'TRA balance'!$D$5:$D$40,Assumptions!$B69)*EN69*AW69,"")</f>
        <v>0</v>
      </c>
      <c r="CT69" s="40">
        <f ca="1">IFERROR(SUMIFS('TRA balance'!AU$5:AU$40,'TRA balance'!$C$5:$C$40,Assumptions!$C69,'TRA balance'!$D$5:$D$40,Assumptions!$B69)*EO69*AX69,"")</f>
        <v>0</v>
      </c>
      <c r="CU69" s="40">
        <f ca="1">IFERROR(SUMIFS('TRA balance'!AV$5:AV$40,'TRA balance'!$C$5:$C$40,Assumptions!$C69,'TRA balance'!$D$5:$D$40,Assumptions!$B69)*EP69*AY69,"")</f>
        <v>0</v>
      </c>
      <c r="CV69" s="40">
        <f ca="1">IFERROR(SUMIFS('TRA balance'!AW$5:AW$40,'TRA balance'!$C$5:$C$40,Assumptions!$C69,'TRA balance'!$D$5:$D$40,Assumptions!$B69)*EQ69*AZ69,"")</f>
        <v>0</v>
      </c>
      <c r="CW69" s="40">
        <f ca="1">IFERROR(SUMIFS('TRA balance'!AX$5:AX$40,'TRA balance'!$C$5:$C$40,Assumptions!$C69,'TRA balance'!$D$5:$D$40,Assumptions!$B69)*ER69*BA69,"")</f>
        <v>0</v>
      </c>
      <c r="CY69" s="39">
        <f ca="1" t="shared" si="86"/>
        <v>0.9</v>
      </c>
      <c r="CZ69" s="39">
        <f ca="1" t="shared" si="87"/>
        <v>0.9</v>
      </c>
      <c r="DA69" s="39">
        <f ca="1" t="shared" si="88"/>
        <v>0.98</v>
      </c>
      <c r="DB69" s="39">
        <f ca="1" t="shared" si="89"/>
        <v>0.8</v>
      </c>
      <c r="DC69" s="39">
        <f ca="1" t="shared" si="90"/>
        <v>0.95</v>
      </c>
      <c r="DD69" s="39">
        <f ca="1" t="shared" si="91"/>
        <v>0.8</v>
      </c>
      <c r="DE69" s="39">
        <f ca="1" t="shared" si="92"/>
        <v>0.93</v>
      </c>
      <c r="DF69" s="39">
        <f ca="1" t="shared" si="93"/>
        <v>0.9</v>
      </c>
      <c r="DG69" s="39">
        <f ca="1" t="shared" si="94"/>
        <v>0.8</v>
      </c>
      <c r="DH69" s="39">
        <f ca="1" t="shared" si="95"/>
        <v>0.8</v>
      </c>
      <c r="DI69" s="39">
        <f ca="1" t="shared" si="96"/>
        <v>0.8</v>
      </c>
      <c r="DJ69" s="39">
        <f ca="1" t="shared" si="97"/>
        <v>0.8</v>
      </c>
      <c r="DK69" s="39">
        <f ca="1" t="shared" si="98"/>
        <v>0.8</v>
      </c>
      <c r="DL69" s="39">
        <f ca="1" t="shared" si="99"/>
        <v>0.8</v>
      </c>
      <c r="DM69" s="39">
        <f ca="1" t="shared" si="100"/>
        <v>0.8</v>
      </c>
      <c r="DN69" s="39">
        <f ca="1" t="shared" si="101"/>
        <v>0.75</v>
      </c>
      <c r="DO69" s="39">
        <f ca="1" t="shared" si="102"/>
        <v>0.8</v>
      </c>
      <c r="DP69" s="39">
        <f ca="1" t="shared" si="103"/>
        <v>0.8</v>
      </c>
      <c r="DQ69" s="39">
        <f ca="1" t="shared" si="104"/>
        <v>0.95</v>
      </c>
      <c r="DR69" s="39">
        <f ca="1" t="shared" si="105"/>
        <v>0.93</v>
      </c>
      <c r="DS69" s="39">
        <f ca="1" t="shared" si="106"/>
        <v>0.9</v>
      </c>
      <c r="DT69" s="39">
        <f ca="1" t="shared" si="107"/>
        <v>0.975593578177383</v>
      </c>
      <c r="DU69" s="39">
        <f ca="1" t="shared" si="108"/>
        <v>0.8</v>
      </c>
      <c r="DV69" s="39">
        <f ca="1" t="shared" si="109"/>
        <v>0.8</v>
      </c>
      <c r="DW69" s="39">
        <f ca="1" t="shared" si="110"/>
        <v>0.92</v>
      </c>
      <c r="DX69" s="39">
        <f ca="1" t="shared" si="111"/>
        <v>0.95</v>
      </c>
      <c r="DY69" s="39">
        <f ca="1" t="shared" si="112"/>
        <v>0.9</v>
      </c>
      <c r="DZ69" s="39">
        <f ca="1" t="shared" si="113"/>
        <v>0.9</v>
      </c>
      <c r="EA69" s="39">
        <f ca="1" t="shared" si="114"/>
        <v>0.8</v>
      </c>
      <c r="EB69" s="39">
        <f ca="1" t="shared" si="115"/>
        <v>0.8</v>
      </c>
      <c r="EC69" s="39">
        <f ca="1" t="shared" si="116"/>
        <v>0.8</v>
      </c>
      <c r="ED69" s="39">
        <f ca="1" t="shared" si="117"/>
        <v>0.9</v>
      </c>
      <c r="EE69" s="39">
        <f ca="1" t="shared" si="118"/>
        <v>0.8</v>
      </c>
      <c r="EF69" s="39">
        <f ca="1" t="shared" si="119"/>
        <v>0.95</v>
      </c>
      <c r="EG69" s="39">
        <f ca="1" t="shared" si="120"/>
        <v>0.8</v>
      </c>
      <c r="EH69" s="39">
        <f ca="1" t="shared" si="121"/>
        <v>0.975593578177383</v>
      </c>
      <c r="EI69" s="39">
        <f ca="1" t="shared" si="122"/>
        <v>0.975593578177383</v>
      </c>
      <c r="EJ69" s="39">
        <f ca="1" t="shared" si="123"/>
        <v>0.975593578177383</v>
      </c>
      <c r="EK69" s="39">
        <f ca="1" t="shared" si="124"/>
        <v>0.975593578177383</v>
      </c>
      <c r="EL69" s="39">
        <f ca="1" t="shared" si="125"/>
        <v>0.975593578177383</v>
      </c>
      <c r="EM69" s="39">
        <f ca="1" t="shared" si="126"/>
        <v>0.975593578177383</v>
      </c>
      <c r="EN69" s="39">
        <f ca="1" t="shared" si="127"/>
        <v>0.975593578177383</v>
      </c>
      <c r="EO69" s="39">
        <f ca="1" t="shared" si="128"/>
        <v>0.975593578177383</v>
      </c>
      <c r="EP69" s="39">
        <f ca="1" t="shared" si="129"/>
        <v>0.975593578177383</v>
      </c>
      <c r="EQ69" s="39">
        <f ca="1" t="shared" si="130"/>
        <v>0.975593578177383</v>
      </c>
      <c r="ER69" s="39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4" t="str">
        <f t="shared" si="133"/>
        <v>TR</v>
      </c>
      <c r="D70" s="55" t="s">
        <v>200</v>
      </c>
      <c r="E70" s="66" t="s">
        <v>214</v>
      </c>
      <c r="F70" s="56" t="str">
        <f t="shared" ref="F70:F76" si="134">F69</f>
        <v>Bio Diesel</v>
      </c>
      <c r="G70" s="54" t="s">
        <v>215</v>
      </c>
      <c r="H70" s="57">
        <f ca="1">OFFSET(TIAM15_assumptions!$G70,0,MATCH(VLOOKUP(Assumptions!H$2,TIAM15_assumptions!$Y$3:$Z$87,2,FALSE),TIAM15_assumptions!$H$2:$V$2,0))</f>
        <v>0.35</v>
      </c>
      <c r="I70" s="57">
        <f ca="1">OFFSET(TIAM15_assumptions!$G70,0,MATCH(VLOOKUP(Assumptions!I$2,TIAM15_assumptions!$Y$3:$Z$87,2,FALSE),TIAM15_assumptions!$H$2:$V$2,0))</f>
        <v>0.35</v>
      </c>
      <c r="J70" s="57">
        <f ca="1">OFFSET(TIAM15_assumptions!$G70,0,MATCH(VLOOKUP(Assumptions!J$2,TIAM15_assumptions!$Y$3:$Z$87,2,FALSE),TIAM15_assumptions!$H$2:$V$2,0))</f>
        <v>0.35</v>
      </c>
      <c r="K70" s="57">
        <f ca="1">OFFSET(TIAM15_assumptions!$G70,0,MATCH(VLOOKUP(Assumptions!K$2,TIAM15_assumptions!$Y$3:$Z$87,2,FALSE),TIAM15_assumptions!$H$2:$V$2,0))</f>
        <v>0.5</v>
      </c>
      <c r="L70" s="57">
        <f ca="1">OFFSET(TIAM15_assumptions!$G70,0,MATCH(VLOOKUP(Assumptions!L$2,TIAM15_assumptions!$Y$3:$Z$87,2,FALSE),TIAM15_assumptions!$H$2:$V$2,0))</f>
        <v>0.6</v>
      </c>
      <c r="M70" s="57">
        <f ca="1">OFFSET(TIAM15_assumptions!$G70,0,MATCH(VLOOKUP(Assumptions!M$2,TIAM15_assumptions!$Y$3:$Z$87,2,FALSE),TIAM15_assumptions!$H$2:$V$2,0))</f>
        <v>0.5</v>
      </c>
      <c r="N70" s="57">
        <f ca="1">OFFSET(TIAM15_assumptions!$G70,0,MATCH(VLOOKUP(Assumptions!N$2,TIAM15_assumptions!$Y$3:$Z$87,2,FALSE),TIAM15_assumptions!$H$2:$V$2,0))</f>
        <v>0.5</v>
      </c>
      <c r="O70" s="57">
        <f ca="1">OFFSET(TIAM15_assumptions!$G70,0,MATCH(VLOOKUP(Assumptions!O$2,TIAM15_assumptions!$Y$3:$Z$87,2,FALSE),TIAM15_assumptions!$H$2:$V$2,0))</f>
        <v>0.35</v>
      </c>
      <c r="P70" s="57">
        <f ca="1">OFFSET(TIAM15_assumptions!$G70,0,MATCH(VLOOKUP(Assumptions!P$2,TIAM15_assumptions!$Y$3:$Z$87,2,FALSE),TIAM15_assumptions!$H$2:$V$2,0))</f>
        <v>0.5</v>
      </c>
      <c r="Q70" s="57">
        <f ca="1">OFFSET(TIAM15_assumptions!$G70,0,MATCH(VLOOKUP(Assumptions!Q$2,TIAM15_assumptions!$Y$3:$Z$87,2,FALSE),TIAM15_assumptions!$H$2:$V$2,0))</f>
        <v>0.5</v>
      </c>
      <c r="R70" s="57">
        <f ca="1">OFFSET(TIAM15_assumptions!$G70,0,MATCH(VLOOKUP(Assumptions!R$2,TIAM15_assumptions!$Y$3:$Z$87,2,FALSE),TIAM15_assumptions!$H$2:$V$2,0))</f>
        <v>0.5</v>
      </c>
      <c r="S70" s="57">
        <f ca="1">OFFSET(TIAM15_assumptions!$G70,0,MATCH(VLOOKUP(Assumptions!S$2,TIAM15_assumptions!$Y$3:$Z$87,2,FALSE),TIAM15_assumptions!$H$2:$V$2,0))</f>
        <v>0.5</v>
      </c>
      <c r="T70" s="57">
        <f ca="1">OFFSET(TIAM15_assumptions!$G70,0,MATCH(VLOOKUP(Assumptions!T$2,TIAM15_assumptions!$Y$3:$Z$87,2,FALSE),TIAM15_assumptions!$H$2:$V$2,0))</f>
        <v>0.5</v>
      </c>
      <c r="U70" s="57">
        <f ca="1">OFFSET(TIAM15_assumptions!$G70,0,MATCH(VLOOKUP(Assumptions!U$2,TIAM15_assumptions!$Y$3:$Z$87,2,FALSE),TIAM15_assumptions!$H$2:$V$2,0))</f>
        <v>0.5</v>
      </c>
      <c r="V70" s="57">
        <f ca="1">OFFSET(TIAM15_assumptions!$G70,0,MATCH(VLOOKUP(Assumptions!V$2,TIAM15_assumptions!$Y$3:$Z$87,2,FALSE),TIAM15_assumptions!$H$2:$V$2,0))</f>
        <v>0.5</v>
      </c>
      <c r="W70" s="57">
        <f ca="1">OFFSET(TIAM15_assumptions!$G70,0,MATCH(VLOOKUP(Assumptions!W$2,TIAM15_assumptions!$Y$3:$Z$87,2,FALSE),TIAM15_assumptions!$H$2:$V$2,0))</f>
        <v>0.3</v>
      </c>
      <c r="X70" s="57">
        <f ca="1">OFFSET(TIAM15_assumptions!$G70,0,MATCH(VLOOKUP(Assumptions!X$2,TIAM15_assumptions!$Y$3:$Z$87,2,FALSE),TIAM15_assumptions!$H$2:$V$2,0))</f>
        <v>0.5</v>
      </c>
      <c r="Y70" s="57">
        <f ca="1">OFFSET(TIAM15_assumptions!$G70,0,MATCH(VLOOKUP(Assumptions!Y$2,TIAM15_assumptions!$Y$3:$Z$87,2,FALSE),TIAM15_assumptions!$H$2:$V$2,0))</f>
        <v>0.5</v>
      </c>
      <c r="Z70" s="57">
        <f ca="1">OFFSET(TIAM15_assumptions!$G70,0,MATCH(VLOOKUP(Assumptions!Z$2,TIAM15_assumptions!$Y$3:$Z$87,2,FALSE),TIAM15_assumptions!$H$2:$V$2,0))</f>
        <v>0.5</v>
      </c>
      <c r="AA70" s="57">
        <f ca="1">OFFSET(TIAM15_assumptions!$G70,0,MATCH(VLOOKUP(Assumptions!AA$2,TIAM15_assumptions!$Y$3:$Z$87,2,FALSE),TIAM15_assumptions!$H$2:$V$2,0))</f>
        <v>0.5</v>
      </c>
      <c r="AB70" s="57">
        <f ca="1">OFFSET(TIAM15_assumptions!$G70,0,MATCH(VLOOKUP(Assumptions!AB$2,TIAM15_assumptions!$Y$3:$Z$87,2,FALSE),TIAM15_assumptions!$H$2:$V$2,0))</f>
        <v>0.5</v>
      </c>
      <c r="AC70" s="57">
        <f ca="1">OFFSET(TIAM15_assumptions!$G70,0,MATCH(VLOOKUP(Assumptions!AC$2,TIAM15_assumptions!$Y$3:$Z$87,2,FALSE),TIAM15_assumptions!$H$2:$V$2,0))</f>
        <v>0.8</v>
      </c>
      <c r="AD70" s="57">
        <f ca="1">OFFSET(TIAM15_assumptions!$G70,0,MATCH(VLOOKUP(Assumptions!AD$2,TIAM15_assumptions!$Y$3:$Z$87,2,FALSE),TIAM15_assumptions!$H$2:$V$2,0))</f>
        <v>0.5</v>
      </c>
      <c r="AE70" s="57">
        <f ca="1">OFFSET(TIAM15_assumptions!$G70,0,MATCH(VLOOKUP(Assumptions!AE$2,TIAM15_assumptions!$Y$3:$Z$87,2,FALSE),TIAM15_assumptions!$H$2:$V$2,0))</f>
        <v>0.5</v>
      </c>
      <c r="AF70" s="57">
        <f ca="1">OFFSET(TIAM15_assumptions!$G70,0,MATCH(VLOOKUP(Assumptions!AF$2,TIAM15_assumptions!$Y$3:$Z$87,2,FALSE),TIAM15_assumptions!$H$2:$V$2,0))</f>
        <v>0.5</v>
      </c>
      <c r="AG70" s="57">
        <f ca="1">OFFSET(TIAM15_assumptions!$G70,0,MATCH(VLOOKUP(Assumptions!AG$2,TIAM15_assumptions!$Y$3:$Z$87,2,FALSE),TIAM15_assumptions!$H$2:$V$2,0))</f>
        <v>0.6</v>
      </c>
      <c r="AH70" s="57">
        <f ca="1">OFFSET(TIAM15_assumptions!$G70,0,MATCH(VLOOKUP(Assumptions!AH$2,TIAM15_assumptions!$Y$3:$Z$87,2,FALSE),TIAM15_assumptions!$H$2:$V$2,0))</f>
        <v>0.5</v>
      </c>
      <c r="AI70" s="57">
        <f ca="1">OFFSET(TIAM15_assumptions!$G70,0,MATCH(VLOOKUP(Assumptions!AI$2,TIAM15_assumptions!$Y$3:$Z$87,2,FALSE),TIAM15_assumptions!$H$2:$V$2,0))</f>
        <v>0.35</v>
      </c>
      <c r="AJ70" s="57">
        <f ca="1">OFFSET(TIAM15_assumptions!$G70,0,MATCH(VLOOKUP(Assumptions!AJ$2,TIAM15_assumptions!$Y$3:$Z$87,2,FALSE),TIAM15_assumptions!$H$2:$V$2,0))</f>
        <v>0.5</v>
      </c>
      <c r="AK70" s="57">
        <f ca="1">OFFSET(TIAM15_assumptions!$G70,0,MATCH(VLOOKUP(Assumptions!AK$2,TIAM15_assumptions!$Y$3:$Z$87,2,FALSE),TIAM15_assumptions!$H$2:$V$2,0))</f>
        <v>0.5</v>
      </c>
      <c r="AL70" s="57">
        <f ca="1">OFFSET(TIAM15_assumptions!$G70,0,MATCH(VLOOKUP(Assumptions!AL$2,TIAM15_assumptions!$Y$3:$Z$87,2,FALSE),TIAM15_assumptions!$H$2:$V$2,0))</f>
        <v>0.5</v>
      </c>
      <c r="AM70" s="57">
        <f ca="1">OFFSET(TIAM15_assumptions!$G70,0,MATCH(VLOOKUP(Assumptions!AM$2,TIAM15_assumptions!$Y$3:$Z$87,2,FALSE),TIAM15_assumptions!$H$2:$V$2,0))</f>
        <v>0.5</v>
      </c>
      <c r="AN70" s="57">
        <f ca="1">OFFSET(TIAM15_assumptions!$G70,0,MATCH(VLOOKUP(Assumptions!AN$2,TIAM15_assumptions!$Y$3:$Z$87,2,FALSE),TIAM15_assumptions!$H$2:$V$2,0))</f>
        <v>0.5</v>
      </c>
      <c r="AO70" s="57">
        <f ca="1">OFFSET(TIAM15_assumptions!$G70,0,MATCH(VLOOKUP(Assumptions!AO$2,TIAM15_assumptions!$Y$3:$Z$87,2,FALSE),TIAM15_assumptions!$H$2:$V$2,0))</f>
        <v>0.6</v>
      </c>
      <c r="AP70" s="57">
        <f ca="1">OFFSET(TIAM15_assumptions!$G70,0,MATCH(VLOOKUP(Assumptions!AP$2,TIAM15_assumptions!$Y$3:$Z$87,2,FALSE),TIAM15_assumptions!$H$2:$V$2,0))</f>
        <v>0.5</v>
      </c>
      <c r="AQ70" s="57">
        <f ca="1">OFFSET(TIAM15_assumptions!$G70,0,MATCH(VLOOKUP(Assumptions!AQ$2,TIAM15_assumptions!$Y$3:$Z$87,2,FALSE),TIAM15_assumptions!$H$2:$V$2,0))</f>
        <v>0.8</v>
      </c>
      <c r="AR70" s="57">
        <f ca="1">OFFSET(TIAM15_assumptions!$G70,0,MATCH(VLOOKUP(Assumptions!AR$2,TIAM15_assumptions!$Y$3:$Z$87,2,FALSE),TIAM15_assumptions!$H$2:$V$2,0))</f>
        <v>0.8</v>
      </c>
      <c r="AS70" s="57">
        <f ca="1">OFFSET(TIAM15_assumptions!$G70,0,MATCH(VLOOKUP(Assumptions!AS$2,TIAM15_assumptions!$Y$3:$Z$87,2,FALSE),TIAM15_assumptions!$H$2:$V$2,0))</f>
        <v>0.8</v>
      </c>
      <c r="AT70" s="57">
        <f ca="1">OFFSET(TIAM15_assumptions!$G70,0,MATCH(VLOOKUP(Assumptions!AT$2,TIAM15_assumptions!$Y$3:$Z$87,2,FALSE),TIAM15_assumptions!$H$2:$V$2,0))</f>
        <v>0.8</v>
      </c>
      <c r="AU70" s="57">
        <f ca="1">OFFSET(TIAM15_assumptions!$G70,0,MATCH(VLOOKUP(Assumptions!AU$2,TIAM15_assumptions!$Y$3:$Z$87,2,FALSE),TIAM15_assumptions!$H$2:$V$2,0))</f>
        <v>0.8</v>
      </c>
      <c r="AV70" s="57">
        <f ca="1">OFFSET(TIAM15_assumptions!$G70,0,MATCH(VLOOKUP(Assumptions!AV$2,TIAM15_assumptions!$Y$3:$Z$87,2,FALSE),TIAM15_assumptions!$H$2:$V$2,0))</f>
        <v>0.8</v>
      </c>
      <c r="AW70" s="57">
        <f ca="1">OFFSET(TIAM15_assumptions!$G70,0,MATCH(VLOOKUP(Assumptions!AW$2,TIAM15_assumptions!$Y$3:$Z$87,2,FALSE),TIAM15_assumptions!$H$2:$V$2,0))</f>
        <v>0.8</v>
      </c>
      <c r="AX70" s="57">
        <f ca="1">OFFSET(TIAM15_assumptions!$G70,0,MATCH(VLOOKUP(Assumptions!AX$2,TIAM15_assumptions!$Y$3:$Z$87,2,FALSE),TIAM15_assumptions!$H$2:$V$2,0))</f>
        <v>0.8</v>
      </c>
      <c r="AY70" s="57">
        <f ca="1">OFFSET(TIAM15_assumptions!$G70,0,MATCH(VLOOKUP(Assumptions!AY$2,TIAM15_assumptions!$Y$3:$Z$87,2,FALSE),TIAM15_assumptions!$H$2:$V$2,0))</f>
        <v>0.8</v>
      </c>
      <c r="AZ70" s="57">
        <f ca="1">OFFSET(TIAM15_assumptions!$G70,0,MATCH(VLOOKUP(Assumptions!AZ$2,TIAM15_assumptions!$Y$3:$Z$87,2,FALSE),TIAM15_assumptions!$H$2:$V$2,0))</f>
        <v>0.8</v>
      </c>
      <c r="BA70" s="57">
        <f ca="1">OFFSET(TIAM15_assumptions!$G70,0,MATCH(VLOOKUP(Assumptions!BA$2,TIAM15_assumptions!$Y$3:$Z$87,2,FALSE),TIAM15_assumptions!$H$2:$V$2,0))</f>
        <v>0.8</v>
      </c>
      <c r="BD70" s="40">
        <f ca="1">IFERROR(SUMIFS('TRA balance'!E$5:E$40,'TRA balance'!$C$5:$C$40,Assumptions!$C70,'TRA balance'!$D$5:$D$40,Assumptions!$B70)*CY70*H70,"")</f>
        <v>0</v>
      </c>
      <c r="BE70" s="40">
        <f ca="1">IFERROR(SUMIFS('TRA balance'!F$5:F$40,'TRA balance'!$C$5:$C$40,Assumptions!$C70,'TRA balance'!$D$5:$D$40,Assumptions!$B70)*CZ70*I70,"")</f>
        <v>0</v>
      </c>
      <c r="BF70" s="40">
        <f ca="1">IFERROR(SUMIFS('TRA balance'!G$5:G$40,'TRA balance'!$C$5:$C$40,Assumptions!$C70,'TRA balance'!$D$5:$D$40,Assumptions!$B70)*DA70*J70,"")</f>
        <v>0.012623076396</v>
      </c>
      <c r="BG70" s="40">
        <f ca="1">IFERROR(SUMIFS('TRA balance'!H$5:H$40,'TRA balance'!$C$5:$C$40,Assumptions!$C70,'TRA balance'!$D$5:$D$40,Assumptions!$B70)*DB70*K70,"")</f>
        <v>7.12979215488</v>
      </c>
      <c r="BH70" s="40">
        <f ca="1">IFERROR(SUMIFS('TRA balance'!I$5:I$40,'TRA balance'!$C$5:$C$40,Assumptions!$C70,'TRA balance'!$D$5:$D$40,Assumptions!$B70)*DC70*L70,"")</f>
        <v>2.612503914912</v>
      </c>
      <c r="BI70" s="40">
        <f ca="1">IFERROR(SUMIFS('TRA balance'!J$5:J$40,'TRA balance'!$C$5:$C$40,Assumptions!$C70,'TRA balance'!$D$5:$D$40,Assumptions!$B70)*DD70*M70,"")</f>
        <v>14.77196321904</v>
      </c>
      <c r="BJ70" s="40">
        <f ca="1">IFERROR(SUMIFS('TRA balance'!K$5:K$40,'TRA balance'!$C$5:$C$40,Assumptions!$C70,'TRA balance'!$D$5:$D$40,Assumptions!$B70)*DE70*N70,"")</f>
        <v>302.728914798012</v>
      </c>
      <c r="BK70" s="40">
        <f ca="1">IFERROR(SUMIFS('TRA balance'!L$5:L$40,'TRA balance'!$C$5:$C$40,Assumptions!$C70,'TRA balance'!$D$5:$D$40,Assumptions!$B70)*DF70*O70,"")</f>
        <v>11.93976017703</v>
      </c>
      <c r="BL70" s="40">
        <f ca="1">IFERROR(SUMIFS('TRA balance'!M$5:M$40,'TRA balance'!$C$5:$C$40,Assumptions!$C70,'TRA balance'!$D$5:$D$40,Assumptions!$B70)*DG70*P70,"")</f>
        <v>2.55331830528</v>
      </c>
      <c r="BM70" s="40">
        <f ca="1">IFERROR(SUMIFS('TRA balance'!N$5:N$40,'TRA balance'!$C$5:$C$40,Assumptions!$C70,'TRA balance'!$D$5:$D$40,Assumptions!$B70)*DH70*Q70,"")</f>
        <v>6.69193996032</v>
      </c>
      <c r="BN70" s="40">
        <f ca="1">IFERROR(SUMIFS('TRA balance'!O$5:O$40,'TRA balance'!$C$5:$C$40,Assumptions!$C70,'TRA balance'!$D$5:$D$40,Assumptions!$B70)*DI70*R70,"")</f>
        <v>42.28130247408</v>
      </c>
      <c r="BO70" s="40">
        <f ca="1">IFERROR(SUMIFS('TRA balance'!P$5:P$40,'TRA balance'!$C$5:$C$40,Assumptions!$C70,'TRA balance'!$D$5:$D$40,Assumptions!$B70)*DJ70*S70,"")</f>
        <v>31.63755587472</v>
      </c>
      <c r="BP70" s="40">
        <f ca="1">IFERROR(SUMIFS('TRA balance'!Q$5:Q$40,'TRA balance'!$C$5:$C$40,Assumptions!$C70,'TRA balance'!$D$5:$D$40,Assumptions!$B70)*DK70*T70,"")</f>
        <v>2.86629332832</v>
      </c>
      <c r="BQ70" s="40">
        <f ca="1">IFERROR(SUMIFS('TRA balance'!R$5:R$40,'TRA balance'!$C$5:$C$40,Assumptions!$C70,'TRA balance'!$D$5:$D$40,Assumptions!$B70)*DL70*U70,"")</f>
        <v>10.36465618608</v>
      </c>
      <c r="BR70" s="40">
        <f ca="1">IFERROR(SUMIFS('TRA balance'!S$5:S$40,'TRA balance'!$C$5:$C$40,Assumptions!$C70,'TRA balance'!$D$5:$D$40,Assumptions!$B70)*DM70*V70,"")</f>
        <v>0.2595732264</v>
      </c>
      <c r="BS70" s="40">
        <f ca="1">IFERROR(SUMIFS('TRA balance'!T$5:T$40,'TRA balance'!$C$5:$C$40,Assumptions!$C70,'TRA balance'!$D$5:$D$40,Assumptions!$B70)*DN70*W70,"")</f>
        <v>0.36831112128</v>
      </c>
      <c r="BT70" s="40">
        <f ca="1">IFERROR(SUMIFS('TRA balance'!U$5:U$40,'TRA balance'!$C$5:$C$40,Assumptions!$C70,'TRA balance'!$D$5:$D$40,Assumptions!$B70)*DO70*X70,"")</f>
        <v>2.7127282032</v>
      </c>
      <c r="BU70" s="40">
        <f ca="1">IFERROR(SUMIFS('TRA balance'!V$5:V$40,'TRA balance'!$C$5:$C$40,Assumptions!$C70,'TRA balance'!$D$5:$D$40,Assumptions!$B70)*DP70*Y70,"")</f>
        <v>21.04371258192</v>
      </c>
      <c r="BV70" s="40">
        <f ca="1">IFERROR(SUMIFS('TRA balance'!W$5:W$40,'TRA balance'!$C$5:$C$40,Assumptions!$C70,'TRA balance'!$D$5:$D$40,Assumptions!$B70)*DQ70*Z70,"")</f>
        <v>0.2466422946</v>
      </c>
      <c r="BW70" s="40">
        <f ca="1">IFERROR(SUMIFS('TRA balance'!X$5:X$40,'TRA balance'!$C$5:$C$40,Assumptions!$C70,'TRA balance'!$D$5:$D$40,Assumptions!$B70)*DR70*AA70,"")</f>
        <v>34.532540652618</v>
      </c>
      <c r="BX70" s="40">
        <f ca="1">IFERROR(SUMIFS('TRA balance'!Y$5:Y$40,'TRA balance'!$C$5:$C$40,Assumptions!$C70,'TRA balance'!$D$5:$D$40,Assumptions!$B70)*DS70*AB70,"")</f>
        <v>0</v>
      </c>
      <c r="BY70" s="40">
        <f ca="1">IFERROR(SUMIFS('TRA balance'!Z$5:Z$40,'TRA balance'!$C$5:$C$40,Assumptions!$C70,'TRA balance'!$D$5:$D$40,Assumptions!$B70)*DT70*AC70,"")</f>
        <v>159.403741757315</v>
      </c>
      <c r="BZ70" s="40">
        <f ca="1">IFERROR(SUMIFS('TRA balance'!AA$5:AA$40,'TRA balance'!$C$5:$C$40,Assumptions!$C70,'TRA balance'!$D$5:$D$40,Assumptions!$B70)*DU70*AD70,"")</f>
        <v>7.0170098112</v>
      </c>
      <c r="CA70" s="40">
        <f ca="1">IFERROR(SUMIFS('TRA balance'!AB$5:AB$40,'TRA balance'!$C$5:$C$40,Assumptions!$C70,'TRA balance'!$D$5:$D$40,Assumptions!$B70)*DV70*AE70,"")</f>
        <v>14.03056300032</v>
      </c>
      <c r="CB70" s="40">
        <f ca="1">IFERROR(SUMIFS('TRA balance'!AC$5:AC$40,'TRA balance'!$C$5:$C$40,Assumptions!$C70,'TRA balance'!$D$5:$D$40,Assumptions!$B70)*DW70*AF70,"")</f>
        <v>131.129712179424</v>
      </c>
      <c r="CC70" s="40">
        <f ca="1">IFERROR(SUMIFS('TRA balance'!AD$5:AD$40,'TRA balance'!$C$5:$C$40,Assumptions!$C70,'TRA balance'!$D$5:$D$40,Assumptions!$B70)*DX70*AG70,"")</f>
        <v>0.041040227772</v>
      </c>
      <c r="CD70" s="40">
        <f ca="1">IFERROR(SUMIFS('TRA balance'!AE$5:AE$40,'TRA balance'!$C$5:$C$40,Assumptions!$C70,'TRA balance'!$D$5:$D$40,Assumptions!$B70)*DY70*AH70,"")</f>
        <v>0</v>
      </c>
      <c r="CE70" s="40">
        <f ca="1">IFERROR(SUMIFS('TRA balance'!AF$5:AF$40,'TRA balance'!$C$5:$C$40,Assumptions!$C70,'TRA balance'!$D$5:$D$40,Assumptions!$B70)*DZ70*AI70,"")</f>
        <v>0</v>
      </c>
      <c r="CF70" s="40">
        <f ca="1">IFERROR(SUMIFS('TRA balance'!AG$5:AG$40,'TRA balance'!$C$5:$C$40,Assumptions!$C70,'TRA balance'!$D$5:$D$40,Assumptions!$B70)*EA70*AJ70,"")</f>
        <v>29.43386886384</v>
      </c>
      <c r="CG70" s="40">
        <f ca="1">IFERROR(SUMIFS('TRA balance'!AH$5:AH$40,'TRA balance'!$C$5:$C$40,Assumptions!$C70,'TRA balance'!$D$5:$D$40,Assumptions!$B70)*EB70*AK70,"")</f>
        <v>28.66601979216</v>
      </c>
      <c r="CH70" s="40">
        <f ca="1">IFERROR(SUMIFS('TRA balance'!AI$5:AI$40,'TRA balance'!$C$5:$C$40,Assumptions!$C70,'TRA balance'!$D$5:$D$40,Assumptions!$B70)*EC70*AL70,"")</f>
        <v>2.5092999648</v>
      </c>
      <c r="CI70" s="40">
        <f ca="1">IFERROR(SUMIFS('TRA balance'!AJ$5:AJ$40,'TRA balance'!$C$5:$C$40,Assumptions!$C70,'TRA balance'!$D$5:$D$40,Assumptions!$B70)*ED70*AM70,"")</f>
        <v>2.15077506984</v>
      </c>
      <c r="CJ70" s="40">
        <f ca="1">IFERROR(SUMIFS('TRA balance'!AK$5:AK$40,'TRA balance'!$C$5:$C$40,Assumptions!$C70,'TRA balance'!$D$5:$D$40,Assumptions!$B70)*EE70*AN70,"")</f>
        <v>21.15424075248</v>
      </c>
      <c r="CK70" s="40">
        <f ca="1">IFERROR(SUMIFS('TRA balance'!AL$5:AL$40,'TRA balance'!$C$5:$C$40,Assumptions!$C70,'TRA balance'!$D$5:$D$40,Assumptions!$B70)*EF70*AO70,"")</f>
        <v>0</v>
      </c>
      <c r="CL70" s="40">
        <f ca="1">IFERROR(SUMIFS('TRA balance'!AM$5:AM$40,'TRA balance'!$C$5:$C$40,Assumptions!$C70,'TRA balance'!$D$5:$D$40,Assumptions!$B70)*EG70*AP70,"")</f>
        <v>2.01410368272</v>
      </c>
      <c r="CM70" s="40">
        <f ca="1">IFERROR(SUMIFS('TRA balance'!AN$5:AN$40,'TRA balance'!$C$5:$C$40,Assumptions!$C70,'TRA balance'!$D$5:$D$40,Assumptions!$B70)*EH70*AQ70,"")</f>
        <v>0</v>
      </c>
      <c r="CN70" s="40">
        <f ca="1">IFERROR(SUMIFS('TRA balance'!AO$5:AO$40,'TRA balance'!$C$5:$C$40,Assumptions!$C70,'TRA balance'!$D$5:$D$40,Assumptions!$B70)*EI70*AR70,"")</f>
        <v>0</v>
      </c>
      <c r="CO70" s="40">
        <f ca="1">IFERROR(SUMIFS('TRA balance'!AP$5:AP$40,'TRA balance'!$C$5:$C$40,Assumptions!$C70,'TRA balance'!$D$5:$D$40,Assumptions!$B70)*EJ70*AS70,"")</f>
        <v>0</v>
      </c>
      <c r="CP70" s="40">
        <f ca="1">IFERROR(SUMIFS('TRA balance'!AQ$5:AQ$40,'TRA balance'!$C$5:$C$40,Assumptions!$C70,'TRA balance'!$D$5:$D$40,Assumptions!$B70)*EK70*AT70,"")</f>
        <v>0</v>
      </c>
      <c r="CQ70" s="40">
        <f ca="1">IFERROR(SUMIFS('TRA balance'!AR$5:AR$40,'TRA balance'!$C$5:$C$40,Assumptions!$C70,'TRA balance'!$D$5:$D$40,Assumptions!$B70)*EL70*AU70,"")</f>
        <v>0</v>
      </c>
      <c r="CR70" s="40">
        <f ca="1">IFERROR(SUMIFS('TRA balance'!AS$5:AS$40,'TRA balance'!$C$5:$C$40,Assumptions!$C70,'TRA balance'!$D$5:$D$40,Assumptions!$B70)*EM70*AV70,"")</f>
        <v>0</v>
      </c>
      <c r="CS70" s="40">
        <f ca="1">IFERROR(SUMIFS('TRA balance'!AT$5:AT$40,'TRA balance'!$C$5:$C$40,Assumptions!$C70,'TRA balance'!$D$5:$D$40,Assumptions!$B70)*EN70*AW70,"")</f>
        <v>0</v>
      </c>
      <c r="CT70" s="40">
        <f ca="1">IFERROR(SUMIFS('TRA balance'!AU$5:AU$40,'TRA balance'!$C$5:$C$40,Assumptions!$C70,'TRA balance'!$D$5:$D$40,Assumptions!$B70)*EO70*AX70,"")</f>
        <v>0</v>
      </c>
      <c r="CU70" s="40">
        <f ca="1">IFERROR(SUMIFS('TRA balance'!AV$5:AV$40,'TRA balance'!$C$5:$C$40,Assumptions!$C70,'TRA balance'!$D$5:$D$40,Assumptions!$B70)*EP70*AY70,"")</f>
        <v>0</v>
      </c>
      <c r="CV70" s="40">
        <f ca="1">IFERROR(SUMIFS('TRA balance'!AW$5:AW$40,'TRA balance'!$C$5:$C$40,Assumptions!$C70,'TRA balance'!$D$5:$D$40,Assumptions!$B70)*EQ70*AZ70,"")</f>
        <v>0</v>
      </c>
      <c r="CW70" s="40">
        <f ca="1">IFERROR(SUMIFS('TRA balance'!AX$5:AX$40,'TRA balance'!$C$5:$C$40,Assumptions!$C70,'TRA balance'!$D$5:$D$40,Assumptions!$B70)*ER70*BA70,"")</f>
        <v>0</v>
      </c>
      <c r="CY70" s="39">
        <f ca="1" t="shared" si="86"/>
        <v>0.9</v>
      </c>
      <c r="CZ70" s="39">
        <f ca="1" t="shared" si="87"/>
        <v>0.9</v>
      </c>
      <c r="DA70" s="39">
        <f ca="1" t="shared" si="88"/>
        <v>0.98</v>
      </c>
      <c r="DB70" s="39">
        <f ca="1" t="shared" si="89"/>
        <v>0.8</v>
      </c>
      <c r="DC70" s="39">
        <f ca="1" t="shared" si="90"/>
        <v>0.95</v>
      </c>
      <c r="DD70" s="39">
        <f ca="1" t="shared" si="91"/>
        <v>0.8</v>
      </c>
      <c r="DE70" s="39">
        <f ca="1" t="shared" si="92"/>
        <v>0.93</v>
      </c>
      <c r="DF70" s="39">
        <f ca="1" t="shared" si="93"/>
        <v>0.9</v>
      </c>
      <c r="DG70" s="39">
        <f ca="1" t="shared" si="94"/>
        <v>0.8</v>
      </c>
      <c r="DH70" s="39">
        <f ca="1" t="shared" si="95"/>
        <v>0.8</v>
      </c>
      <c r="DI70" s="39">
        <f ca="1" t="shared" si="96"/>
        <v>0.8</v>
      </c>
      <c r="DJ70" s="39">
        <f ca="1" t="shared" si="97"/>
        <v>0.8</v>
      </c>
      <c r="DK70" s="39">
        <f ca="1" t="shared" si="98"/>
        <v>0.8</v>
      </c>
      <c r="DL70" s="39">
        <f ca="1" t="shared" si="99"/>
        <v>0.8</v>
      </c>
      <c r="DM70" s="39">
        <f ca="1" t="shared" si="100"/>
        <v>0.8</v>
      </c>
      <c r="DN70" s="39">
        <f ca="1" t="shared" si="101"/>
        <v>0.75</v>
      </c>
      <c r="DO70" s="39">
        <f ca="1" t="shared" si="102"/>
        <v>0.8</v>
      </c>
      <c r="DP70" s="39">
        <f ca="1" t="shared" si="103"/>
        <v>0.8</v>
      </c>
      <c r="DQ70" s="39">
        <f ca="1" t="shared" si="104"/>
        <v>0.95</v>
      </c>
      <c r="DR70" s="39">
        <f ca="1" t="shared" si="105"/>
        <v>0.93</v>
      </c>
      <c r="DS70" s="39">
        <f ca="1" t="shared" si="106"/>
        <v>0.9</v>
      </c>
      <c r="DT70" s="39">
        <f ca="1" t="shared" si="107"/>
        <v>0.975593578177383</v>
      </c>
      <c r="DU70" s="39">
        <f ca="1" t="shared" si="108"/>
        <v>0.8</v>
      </c>
      <c r="DV70" s="39">
        <f ca="1" t="shared" si="109"/>
        <v>0.8</v>
      </c>
      <c r="DW70" s="39">
        <f ca="1" t="shared" si="110"/>
        <v>0.92</v>
      </c>
      <c r="DX70" s="39">
        <f ca="1" t="shared" si="111"/>
        <v>0.95</v>
      </c>
      <c r="DY70" s="39">
        <f ca="1" t="shared" si="112"/>
        <v>0.9</v>
      </c>
      <c r="DZ70" s="39">
        <f ca="1" t="shared" si="113"/>
        <v>0.9</v>
      </c>
      <c r="EA70" s="39">
        <f ca="1" t="shared" si="114"/>
        <v>0.8</v>
      </c>
      <c r="EB70" s="39">
        <f ca="1" t="shared" si="115"/>
        <v>0.8</v>
      </c>
      <c r="EC70" s="39">
        <f ca="1" t="shared" si="116"/>
        <v>0.8</v>
      </c>
      <c r="ED70" s="39">
        <f ca="1" t="shared" si="117"/>
        <v>0.9</v>
      </c>
      <c r="EE70" s="39">
        <f ca="1" t="shared" si="118"/>
        <v>0.8</v>
      </c>
      <c r="EF70" s="39">
        <f ca="1" t="shared" si="119"/>
        <v>0.95</v>
      </c>
      <c r="EG70" s="39">
        <f ca="1" t="shared" si="120"/>
        <v>0.8</v>
      </c>
      <c r="EH70" s="39">
        <f ca="1" t="shared" si="121"/>
        <v>0.975593578177383</v>
      </c>
      <c r="EI70" s="39">
        <f ca="1" t="shared" si="122"/>
        <v>0.975593578177383</v>
      </c>
      <c r="EJ70" s="39">
        <f ca="1" t="shared" si="123"/>
        <v>0.975593578177383</v>
      </c>
      <c r="EK70" s="39">
        <f ca="1" t="shared" si="124"/>
        <v>0.975593578177383</v>
      </c>
      <c r="EL70" s="39">
        <f ca="1" t="shared" si="125"/>
        <v>0.975593578177383</v>
      </c>
      <c r="EM70" s="39">
        <f ca="1" t="shared" si="126"/>
        <v>0.975593578177383</v>
      </c>
      <c r="EN70" s="39">
        <f ca="1" t="shared" si="127"/>
        <v>0.975593578177383</v>
      </c>
      <c r="EO70" s="39">
        <f ca="1" t="shared" si="128"/>
        <v>0.975593578177383</v>
      </c>
      <c r="EP70" s="39">
        <f ca="1" t="shared" si="129"/>
        <v>0.975593578177383</v>
      </c>
      <c r="EQ70" s="39">
        <f ca="1" t="shared" si="130"/>
        <v>0.975593578177383</v>
      </c>
      <c r="ER70" s="39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4" t="str">
        <f t="shared" si="133"/>
        <v>TR</v>
      </c>
      <c r="D71" s="55" t="s">
        <v>200</v>
      </c>
      <c r="E71" s="66" t="s">
        <v>216</v>
      </c>
      <c r="F71" s="56" t="str">
        <f t="shared" si="134"/>
        <v>Bio Diesel</v>
      </c>
      <c r="G71" s="54" t="s">
        <v>217</v>
      </c>
      <c r="H71" s="57">
        <f ca="1">OFFSET(TIAM15_assumptions!$G71,0,MATCH(VLOOKUP(Assumptions!H$2,TIAM15_assumptions!$Y$3:$Z$87,2,FALSE),TIAM15_assumptions!$H$2:$V$2,0))</f>
        <v>0.1</v>
      </c>
      <c r="I71" s="57">
        <f ca="1">OFFSET(TIAM15_assumptions!$G71,0,MATCH(VLOOKUP(Assumptions!I$2,TIAM15_assumptions!$Y$3:$Z$87,2,FALSE),TIAM15_assumptions!$H$2:$V$2,0))</f>
        <v>0.1</v>
      </c>
      <c r="J71" s="57">
        <f ca="1">OFFSET(TIAM15_assumptions!$G71,0,MATCH(VLOOKUP(Assumptions!J$2,TIAM15_assumptions!$Y$3:$Z$87,2,FALSE),TIAM15_assumptions!$H$2:$V$2,0))</f>
        <v>0.3</v>
      </c>
      <c r="K71" s="57">
        <f ca="1">OFFSET(TIAM15_assumptions!$G71,0,MATCH(VLOOKUP(Assumptions!K$2,TIAM15_assumptions!$Y$3:$Z$87,2,FALSE),TIAM15_assumptions!$H$2:$V$2,0))</f>
        <v>0.3</v>
      </c>
      <c r="L71" s="57">
        <f ca="1">OFFSET(TIAM15_assumptions!$G71,0,MATCH(VLOOKUP(Assumptions!L$2,TIAM15_assumptions!$Y$3:$Z$87,2,FALSE),TIAM15_assumptions!$H$2:$V$2,0))</f>
        <v>0.2</v>
      </c>
      <c r="M71" s="57">
        <f ca="1">OFFSET(TIAM15_assumptions!$G71,0,MATCH(VLOOKUP(Assumptions!M$2,TIAM15_assumptions!$Y$3:$Z$87,2,FALSE),TIAM15_assumptions!$H$2:$V$2,0))</f>
        <v>0.3</v>
      </c>
      <c r="N71" s="57">
        <f ca="1">OFFSET(TIAM15_assumptions!$G71,0,MATCH(VLOOKUP(Assumptions!N$2,TIAM15_assumptions!$Y$3:$Z$87,2,FALSE),TIAM15_assumptions!$H$2:$V$2,0))</f>
        <v>0.3</v>
      </c>
      <c r="O71" s="57">
        <f ca="1">OFFSET(TIAM15_assumptions!$G71,0,MATCH(VLOOKUP(Assumptions!O$2,TIAM15_assumptions!$Y$3:$Z$87,2,FALSE),TIAM15_assumptions!$H$2:$V$2,0))</f>
        <v>0.2</v>
      </c>
      <c r="P71" s="57">
        <f ca="1">OFFSET(TIAM15_assumptions!$G71,0,MATCH(VLOOKUP(Assumptions!P$2,TIAM15_assumptions!$Y$3:$Z$87,2,FALSE),TIAM15_assumptions!$H$2:$V$2,0))</f>
        <v>0.25</v>
      </c>
      <c r="Q71" s="57">
        <f ca="1">OFFSET(TIAM15_assumptions!$G71,0,MATCH(VLOOKUP(Assumptions!Q$2,TIAM15_assumptions!$Y$3:$Z$87,2,FALSE),TIAM15_assumptions!$H$2:$V$2,0))</f>
        <v>0.25</v>
      </c>
      <c r="R71" s="57">
        <f ca="1">OFFSET(TIAM15_assumptions!$G71,0,MATCH(VLOOKUP(Assumptions!R$2,TIAM15_assumptions!$Y$3:$Z$87,2,FALSE),TIAM15_assumptions!$H$2:$V$2,0))</f>
        <v>0.3</v>
      </c>
      <c r="S71" s="57">
        <f ca="1">OFFSET(TIAM15_assumptions!$G71,0,MATCH(VLOOKUP(Assumptions!S$2,TIAM15_assumptions!$Y$3:$Z$87,2,FALSE),TIAM15_assumptions!$H$2:$V$2,0))</f>
        <v>0.3</v>
      </c>
      <c r="T71" s="57">
        <f ca="1">OFFSET(TIAM15_assumptions!$G71,0,MATCH(VLOOKUP(Assumptions!T$2,TIAM15_assumptions!$Y$3:$Z$87,2,FALSE),TIAM15_assumptions!$H$2:$V$2,0))</f>
        <v>0.3</v>
      </c>
      <c r="U71" s="57">
        <f ca="1">OFFSET(TIAM15_assumptions!$G71,0,MATCH(VLOOKUP(Assumptions!U$2,TIAM15_assumptions!$Y$3:$Z$87,2,FALSE),TIAM15_assumptions!$H$2:$V$2,0))</f>
        <v>0.25</v>
      </c>
      <c r="V71" s="57">
        <f ca="1">OFFSET(TIAM15_assumptions!$G71,0,MATCH(VLOOKUP(Assumptions!V$2,TIAM15_assumptions!$Y$3:$Z$87,2,FALSE),TIAM15_assumptions!$H$2:$V$2,0))</f>
        <v>0.3</v>
      </c>
      <c r="W71" s="57">
        <f ca="1">OFFSET(TIAM15_assumptions!$G71,0,MATCH(VLOOKUP(Assumptions!W$2,TIAM15_assumptions!$Y$3:$Z$87,2,FALSE),TIAM15_assumptions!$H$2:$V$2,0))</f>
        <v>0.2</v>
      </c>
      <c r="X71" s="57">
        <f ca="1">OFFSET(TIAM15_assumptions!$G71,0,MATCH(VLOOKUP(Assumptions!X$2,TIAM15_assumptions!$Y$3:$Z$87,2,FALSE),TIAM15_assumptions!$H$2:$V$2,0))</f>
        <v>0.3</v>
      </c>
      <c r="Y71" s="57">
        <f ca="1">OFFSET(TIAM15_assumptions!$G71,0,MATCH(VLOOKUP(Assumptions!Y$2,TIAM15_assumptions!$Y$3:$Z$87,2,FALSE),TIAM15_assumptions!$H$2:$V$2,0))</f>
        <v>0.3</v>
      </c>
      <c r="Z71" s="57">
        <f ca="1">OFFSET(TIAM15_assumptions!$G71,0,MATCH(VLOOKUP(Assumptions!Z$2,TIAM15_assumptions!$Y$3:$Z$87,2,FALSE),TIAM15_assumptions!$H$2:$V$2,0))</f>
        <v>0.3</v>
      </c>
      <c r="AA71" s="57">
        <f ca="1">OFFSET(TIAM15_assumptions!$G71,0,MATCH(VLOOKUP(Assumptions!AA$2,TIAM15_assumptions!$Y$3:$Z$87,2,FALSE),TIAM15_assumptions!$H$2:$V$2,0))</f>
        <v>0.3</v>
      </c>
      <c r="AB71" s="57">
        <f ca="1">OFFSET(TIAM15_assumptions!$G71,0,MATCH(VLOOKUP(Assumptions!AB$2,TIAM15_assumptions!$Y$3:$Z$87,2,FALSE),TIAM15_assumptions!$H$2:$V$2,0))</f>
        <v>0.25</v>
      </c>
      <c r="AC71" s="57">
        <f ca="1">OFFSET(TIAM15_assumptions!$G71,0,MATCH(VLOOKUP(Assumptions!AC$2,TIAM15_assumptions!$Y$3:$Z$87,2,FALSE),TIAM15_assumptions!$H$2:$V$2,0))</f>
        <v>0.11</v>
      </c>
      <c r="AD71" s="57">
        <f ca="1">OFFSET(TIAM15_assumptions!$G71,0,MATCH(VLOOKUP(Assumptions!AD$2,TIAM15_assumptions!$Y$3:$Z$87,2,FALSE),TIAM15_assumptions!$H$2:$V$2,0))</f>
        <v>0.3</v>
      </c>
      <c r="AE71" s="57">
        <f ca="1">OFFSET(TIAM15_assumptions!$G71,0,MATCH(VLOOKUP(Assumptions!AE$2,TIAM15_assumptions!$Y$3:$Z$87,2,FALSE),TIAM15_assumptions!$H$2:$V$2,0))</f>
        <v>0.25</v>
      </c>
      <c r="AF71" s="57">
        <f ca="1">OFFSET(TIAM15_assumptions!$G71,0,MATCH(VLOOKUP(Assumptions!AF$2,TIAM15_assumptions!$Y$3:$Z$87,2,FALSE),TIAM15_assumptions!$H$2:$V$2,0))</f>
        <v>0.25</v>
      </c>
      <c r="AG71" s="57">
        <f ca="1">OFFSET(TIAM15_assumptions!$G71,0,MATCH(VLOOKUP(Assumptions!AG$2,TIAM15_assumptions!$Y$3:$Z$87,2,FALSE),TIAM15_assumptions!$H$2:$V$2,0))</f>
        <v>0.2</v>
      </c>
      <c r="AH71" s="57">
        <f ca="1">OFFSET(TIAM15_assumptions!$G71,0,MATCH(VLOOKUP(Assumptions!AH$2,TIAM15_assumptions!$Y$3:$Z$87,2,FALSE),TIAM15_assumptions!$H$2:$V$2,0))</f>
        <v>0.25</v>
      </c>
      <c r="AI71" s="57">
        <f ca="1">OFFSET(TIAM15_assumptions!$G71,0,MATCH(VLOOKUP(Assumptions!AI$2,TIAM15_assumptions!$Y$3:$Z$87,2,FALSE),TIAM15_assumptions!$H$2:$V$2,0))</f>
        <v>0.1</v>
      </c>
      <c r="AJ71" s="57">
        <f ca="1">OFFSET(TIAM15_assumptions!$G71,0,MATCH(VLOOKUP(Assumptions!AJ$2,TIAM15_assumptions!$Y$3:$Z$87,2,FALSE),TIAM15_assumptions!$H$2:$V$2,0))</f>
        <v>0.3</v>
      </c>
      <c r="AK71" s="57">
        <f ca="1">OFFSET(TIAM15_assumptions!$G71,0,MATCH(VLOOKUP(Assumptions!AK$2,TIAM15_assumptions!$Y$3:$Z$87,2,FALSE),TIAM15_assumptions!$H$2:$V$2,0))</f>
        <v>0.3</v>
      </c>
      <c r="AL71" s="57">
        <f ca="1">OFFSET(TIAM15_assumptions!$G71,0,MATCH(VLOOKUP(Assumptions!AL$2,TIAM15_assumptions!$Y$3:$Z$87,2,FALSE),TIAM15_assumptions!$H$2:$V$2,0))</f>
        <v>0.3</v>
      </c>
      <c r="AM71" s="57">
        <f ca="1">OFFSET(TIAM15_assumptions!$G71,0,MATCH(VLOOKUP(Assumptions!AM$2,TIAM15_assumptions!$Y$3:$Z$87,2,FALSE),TIAM15_assumptions!$H$2:$V$2,0))</f>
        <v>0.25</v>
      </c>
      <c r="AN71" s="57">
        <f ca="1">OFFSET(TIAM15_assumptions!$G71,0,MATCH(VLOOKUP(Assumptions!AN$2,TIAM15_assumptions!$Y$3:$Z$87,2,FALSE),TIAM15_assumptions!$H$2:$V$2,0))</f>
        <v>0.3</v>
      </c>
      <c r="AO71" s="57">
        <f ca="1">OFFSET(TIAM15_assumptions!$G71,0,MATCH(VLOOKUP(Assumptions!AO$2,TIAM15_assumptions!$Y$3:$Z$87,2,FALSE),TIAM15_assumptions!$H$2:$V$2,0))</f>
        <v>0.2</v>
      </c>
      <c r="AP71" s="57">
        <f ca="1">OFFSET(TIAM15_assumptions!$G71,0,MATCH(VLOOKUP(Assumptions!AP$2,TIAM15_assumptions!$Y$3:$Z$87,2,FALSE),TIAM15_assumptions!$H$2:$V$2,0))</f>
        <v>0.25</v>
      </c>
      <c r="AQ71" s="57">
        <f ca="1">OFFSET(TIAM15_assumptions!$G71,0,MATCH(VLOOKUP(Assumptions!AQ$2,TIAM15_assumptions!$Y$3:$Z$87,2,FALSE),TIAM15_assumptions!$H$2:$V$2,0))</f>
        <v>0.11</v>
      </c>
      <c r="AR71" s="57">
        <f ca="1">OFFSET(TIAM15_assumptions!$G71,0,MATCH(VLOOKUP(Assumptions!AR$2,TIAM15_assumptions!$Y$3:$Z$87,2,FALSE),TIAM15_assumptions!$H$2:$V$2,0))</f>
        <v>0.11</v>
      </c>
      <c r="AS71" s="57">
        <f ca="1">OFFSET(TIAM15_assumptions!$G71,0,MATCH(VLOOKUP(Assumptions!AS$2,TIAM15_assumptions!$Y$3:$Z$87,2,FALSE),TIAM15_assumptions!$H$2:$V$2,0))</f>
        <v>0.11</v>
      </c>
      <c r="AT71" s="57">
        <f ca="1">OFFSET(TIAM15_assumptions!$G71,0,MATCH(VLOOKUP(Assumptions!AT$2,TIAM15_assumptions!$Y$3:$Z$87,2,FALSE),TIAM15_assumptions!$H$2:$V$2,0))</f>
        <v>0.11</v>
      </c>
      <c r="AU71" s="57">
        <f ca="1">OFFSET(TIAM15_assumptions!$G71,0,MATCH(VLOOKUP(Assumptions!AU$2,TIAM15_assumptions!$Y$3:$Z$87,2,FALSE),TIAM15_assumptions!$H$2:$V$2,0))</f>
        <v>0.11</v>
      </c>
      <c r="AV71" s="57">
        <f ca="1">OFFSET(TIAM15_assumptions!$G71,0,MATCH(VLOOKUP(Assumptions!AV$2,TIAM15_assumptions!$Y$3:$Z$87,2,FALSE),TIAM15_assumptions!$H$2:$V$2,0))</f>
        <v>0.11</v>
      </c>
      <c r="AW71" s="57">
        <f ca="1">OFFSET(TIAM15_assumptions!$G71,0,MATCH(VLOOKUP(Assumptions!AW$2,TIAM15_assumptions!$Y$3:$Z$87,2,FALSE),TIAM15_assumptions!$H$2:$V$2,0))</f>
        <v>0.11</v>
      </c>
      <c r="AX71" s="57">
        <f ca="1">OFFSET(TIAM15_assumptions!$G71,0,MATCH(VLOOKUP(Assumptions!AX$2,TIAM15_assumptions!$Y$3:$Z$87,2,FALSE),TIAM15_assumptions!$H$2:$V$2,0))</f>
        <v>0.11</v>
      </c>
      <c r="AY71" s="57">
        <f ca="1">OFFSET(TIAM15_assumptions!$G71,0,MATCH(VLOOKUP(Assumptions!AY$2,TIAM15_assumptions!$Y$3:$Z$87,2,FALSE),TIAM15_assumptions!$H$2:$V$2,0))</f>
        <v>0.11</v>
      </c>
      <c r="AZ71" s="57">
        <f ca="1">OFFSET(TIAM15_assumptions!$G71,0,MATCH(VLOOKUP(Assumptions!AZ$2,TIAM15_assumptions!$Y$3:$Z$87,2,FALSE),TIAM15_assumptions!$H$2:$V$2,0))</f>
        <v>0.11</v>
      </c>
      <c r="BA71" s="57">
        <f ca="1">OFFSET(TIAM15_assumptions!$G71,0,MATCH(VLOOKUP(Assumptions!BA$2,TIAM15_assumptions!$Y$3:$Z$87,2,FALSE),TIAM15_assumptions!$H$2:$V$2,0))</f>
        <v>0.11</v>
      </c>
      <c r="BD71" s="40">
        <f ca="1">IFERROR(SUMIFS('TRA balance'!E$5:E$40,'TRA balance'!$C$5:$C$40,Assumptions!$C71,'TRA balance'!$D$5:$D$40,Assumptions!$B71)*CY71*H71,"")</f>
        <v>0</v>
      </c>
      <c r="BE71" s="40">
        <f ca="1">IFERROR(SUMIFS('TRA balance'!F$5:F$40,'TRA balance'!$C$5:$C$40,Assumptions!$C71,'TRA balance'!$D$5:$D$40,Assumptions!$B71)*CZ71*I71,"")</f>
        <v>0</v>
      </c>
      <c r="BF71" s="40">
        <f ca="1">IFERROR(SUMIFS('TRA balance'!G$5:G$40,'TRA balance'!$C$5:$C$40,Assumptions!$C71,'TRA balance'!$D$5:$D$40,Assumptions!$B71)*DA71*J71,"")</f>
        <v>0.010819779768</v>
      </c>
      <c r="BG71" s="40">
        <f ca="1">IFERROR(SUMIFS('TRA balance'!H$5:H$40,'TRA balance'!$C$5:$C$40,Assumptions!$C71,'TRA balance'!$D$5:$D$40,Assumptions!$B71)*DB71*K71,"")</f>
        <v>4.277875292928</v>
      </c>
      <c r="BH71" s="40">
        <f ca="1">IFERROR(SUMIFS('TRA balance'!I$5:I$40,'TRA balance'!$C$5:$C$40,Assumptions!$C71,'TRA balance'!$D$5:$D$40,Assumptions!$B71)*DC71*L71,"")</f>
        <v>0.870834638304</v>
      </c>
      <c r="BI71" s="40">
        <f ca="1">IFERROR(SUMIFS('TRA balance'!J$5:J$40,'TRA balance'!$C$5:$C$40,Assumptions!$C71,'TRA balance'!$D$5:$D$40,Assumptions!$B71)*DD71*M71,"")</f>
        <v>8.863177931424</v>
      </c>
      <c r="BJ71" s="40">
        <f ca="1">IFERROR(SUMIFS('TRA balance'!K$5:K$40,'TRA balance'!$C$5:$C$40,Assumptions!$C71,'TRA balance'!$D$5:$D$40,Assumptions!$B71)*DE71*N71,"")</f>
        <v>181.637348878807</v>
      </c>
      <c r="BK71" s="40">
        <f ca="1">IFERROR(SUMIFS('TRA balance'!L$5:L$40,'TRA balance'!$C$5:$C$40,Assumptions!$C71,'TRA balance'!$D$5:$D$40,Assumptions!$B71)*DF71*O71,"")</f>
        <v>6.82272010116</v>
      </c>
      <c r="BL71" s="40">
        <f ca="1">IFERROR(SUMIFS('TRA balance'!M$5:M$40,'TRA balance'!$C$5:$C$40,Assumptions!$C71,'TRA balance'!$D$5:$D$40,Assumptions!$B71)*DG71*P71,"")</f>
        <v>1.27665915264</v>
      </c>
      <c r="BM71" s="40">
        <f ca="1">IFERROR(SUMIFS('TRA balance'!N$5:N$40,'TRA balance'!$C$5:$C$40,Assumptions!$C71,'TRA balance'!$D$5:$D$40,Assumptions!$B71)*DH71*Q71,"")</f>
        <v>3.34596998016</v>
      </c>
      <c r="BN71" s="40">
        <f ca="1">IFERROR(SUMIFS('TRA balance'!O$5:O$40,'TRA balance'!$C$5:$C$40,Assumptions!$C71,'TRA balance'!$D$5:$D$40,Assumptions!$B71)*DI71*R71,"")</f>
        <v>25.368781484448</v>
      </c>
      <c r="BO71" s="40">
        <f ca="1">IFERROR(SUMIFS('TRA balance'!P$5:P$40,'TRA balance'!$C$5:$C$40,Assumptions!$C71,'TRA balance'!$D$5:$D$40,Assumptions!$B71)*DJ71*S71,"")</f>
        <v>18.982533524832</v>
      </c>
      <c r="BP71" s="40">
        <f ca="1">IFERROR(SUMIFS('TRA balance'!Q$5:Q$40,'TRA balance'!$C$5:$C$40,Assumptions!$C71,'TRA balance'!$D$5:$D$40,Assumptions!$B71)*DK71*T71,"")</f>
        <v>1.719775996992</v>
      </c>
      <c r="BQ71" s="40">
        <f ca="1">IFERROR(SUMIFS('TRA balance'!R$5:R$40,'TRA balance'!$C$5:$C$40,Assumptions!$C71,'TRA balance'!$D$5:$D$40,Assumptions!$B71)*DL71*U71,"")</f>
        <v>5.18232809304</v>
      </c>
      <c r="BR71" s="40">
        <f ca="1">IFERROR(SUMIFS('TRA balance'!S$5:S$40,'TRA balance'!$C$5:$C$40,Assumptions!$C71,'TRA balance'!$D$5:$D$40,Assumptions!$B71)*DM71*V71,"")</f>
        <v>0.15574393584</v>
      </c>
      <c r="BS71" s="40">
        <f ca="1">IFERROR(SUMIFS('TRA balance'!T$5:T$40,'TRA balance'!$C$5:$C$40,Assumptions!$C71,'TRA balance'!$D$5:$D$40,Assumptions!$B71)*DN71*W71,"")</f>
        <v>0.24554074752</v>
      </c>
      <c r="BT71" s="40">
        <f ca="1">IFERROR(SUMIFS('TRA balance'!U$5:U$40,'TRA balance'!$C$5:$C$40,Assumptions!$C71,'TRA balance'!$D$5:$D$40,Assumptions!$B71)*DO71*X71,"")</f>
        <v>1.62763692192</v>
      </c>
      <c r="BU71" s="40">
        <f ca="1">IFERROR(SUMIFS('TRA balance'!V$5:V$40,'TRA balance'!$C$5:$C$40,Assumptions!$C71,'TRA balance'!$D$5:$D$40,Assumptions!$B71)*DP71*Y71,"")</f>
        <v>12.626227549152</v>
      </c>
      <c r="BV71" s="40">
        <f ca="1">IFERROR(SUMIFS('TRA balance'!W$5:W$40,'TRA balance'!$C$5:$C$40,Assumptions!$C71,'TRA balance'!$D$5:$D$40,Assumptions!$B71)*DQ71*Z71,"")</f>
        <v>0.14798537676</v>
      </c>
      <c r="BW71" s="40">
        <f ca="1">IFERROR(SUMIFS('TRA balance'!X$5:X$40,'TRA balance'!$C$5:$C$40,Assumptions!$C71,'TRA balance'!$D$5:$D$40,Assumptions!$B71)*DR71*AA71,"")</f>
        <v>20.7195243915708</v>
      </c>
      <c r="BX71" s="40">
        <f ca="1">IFERROR(SUMIFS('TRA balance'!Y$5:Y$40,'TRA balance'!$C$5:$C$40,Assumptions!$C71,'TRA balance'!$D$5:$D$40,Assumptions!$B71)*DS71*AB71,"")</f>
        <v>0</v>
      </c>
      <c r="BY71" s="40">
        <f ca="1">IFERROR(SUMIFS('TRA balance'!Z$5:Z$40,'TRA balance'!$C$5:$C$40,Assumptions!$C71,'TRA balance'!$D$5:$D$40,Assumptions!$B71)*DT71*AC71,"")</f>
        <v>21.9180144916308</v>
      </c>
      <c r="BZ71" s="40">
        <f ca="1">IFERROR(SUMIFS('TRA balance'!AA$5:AA$40,'TRA balance'!$C$5:$C$40,Assumptions!$C71,'TRA balance'!$D$5:$D$40,Assumptions!$B71)*DU71*AD71,"")</f>
        <v>4.21020588672</v>
      </c>
      <c r="CA71" s="40">
        <f ca="1">IFERROR(SUMIFS('TRA balance'!AB$5:AB$40,'TRA balance'!$C$5:$C$40,Assumptions!$C71,'TRA balance'!$D$5:$D$40,Assumptions!$B71)*DV71*AE71,"")</f>
        <v>7.01528150016</v>
      </c>
      <c r="CB71" s="40">
        <f ca="1">IFERROR(SUMIFS('TRA balance'!AC$5:AC$40,'TRA balance'!$C$5:$C$40,Assumptions!$C71,'TRA balance'!$D$5:$D$40,Assumptions!$B71)*DW71*AF71,"")</f>
        <v>65.564856089712</v>
      </c>
      <c r="CC71" s="40">
        <f ca="1">IFERROR(SUMIFS('TRA balance'!AD$5:AD$40,'TRA balance'!$C$5:$C$40,Assumptions!$C71,'TRA balance'!$D$5:$D$40,Assumptions!$B71)*DX71*AG71,"")</f>
        <v>0.013680075924</v>
      </c>
      <c r="CD71" s="40">
        <f ca="1">IFERROR(SUMIFS('TRA balance'!AE$5:AE$40,'TRA balance'!$C$5:$C$40,Assumptions!$C71,'TRA balance'!$D$5:$D$40,Assumptions!$B71)*DY71*AH71,"")</f>
        <v>0</v>
      </c>
      <c r="CE71" s="40">
        <f ca="1">IFERROR(SUMIFS('TRA balance'!AF$5:AF$40,'TRA balance'!$C$5:$C$40,Assumptions!$C71,'TRA balance'!$D$5:$D$40,Assumptions!$B71)*DZ71*AI71,"")</f>
        <v>0</v>
      </c>
      <c r="CF71" s="40">
        <f ca="1">IFERROR(SUMIFS('TRA balance'!AG$5:AG$40,'TRA balance'!$C$5:$C$40,Assumptions!$C71,'TRA balance'!$D$5:$D$40,Assumptions!$B71)*EA71*AJ71,"")</f>
        <v>17.660321318304</v>
      </c>
      <c r="CG71" s="40">
        <f ca="1">IFERROR(SUMIFS('TRA balance'!AH$5:AH$40,'TRA balance'!$C$5:$C$40,Assumptions!$C71,'TRA balance'!$D$5:$D$40,Assumptions!$B71)*EB71*AK71,"")</f>
        <v>17.199611875296</v>
      </c>
      <c r="CH71" s="40">
        <f ca="1">IFERROR(SUMIFS('TRA balance'!AI$5:AI$40,'TRA balance'!$C$5:$C$40,Assumptions!$C71,'TRA balance'!$D$5:$D$40,Assumptions!$B71)*EC71*AL71,"")</f>
        <v>1.50557997888</v>
      </c>
      <c r="CI71" s="40">
        <f ca="1">IFERROR(SUMIFS('TRA balance'!AJ$5:AJ$40,'TRA balance'!$C$5:$C$40,Assumptions!$C71,'TRA balance'!$D$5:$D$40,Assumptions!$B71)*ED71*AM71,"")</f>
        <v>1.07538753492</v>
      </c>
      <c r="CJ71" s="40">
        <f ca="1">IFERROR(SUMIFS('TRA balance'!AK$5:AK$40,'TRA balance'!$C$5:$C$40,Assumptions!$C71,'TRA balance'!$D$5:$D$40,Assumptions!$B71)*EE71*AN71,"")</f>
        <v>12.692544451488</v>
      </c>
      <c r="CK71" s="40">
        <f ca="1">IFERROR(SUMIFS('TRA balance'!AL$5:AL$40,'TRA balance'!$C$5:$C$40,Assumptions!$C71,'TRA balance'!$D$5:$D$40,Assumptions!$B71)*EF71*AO71,"")</f>
        <v>0</v>
      </c>
      <c r="CL71" s="40">
        <f ca="1">IFERROR(SUMIFS('TRA balance'!AM$5:AM$40,'TRA balance'!$C$5:$C$40,Assumptions!$C71,'TRA balance'!$D$5:$D$40,Assumptions!$B71)*EG71*AP71,"")</f>
        <v>1.00705184136</v>
      </c>
      <c r="CM71" s="40">
        <f ca="1">IFERROR(SUMIFS('TRA balance'!AN$5:AN$40,'TRA balance'!$C$5:$C$40,Assumptions!$C71,'TRA balance'!$D$5:$D$40,Assumptions!$B71)*EH71*AQ71,"")</f>
        <v>0</v>
      </c>
      <c r="CN71" s="40">
        <f ca="1">IFERROR(SUMIFS('TRA balance'!AO$5:AO$40,'TRA balance'!$C$5:$C$40,Assumptions!$C71,'TRA balance'!$D$5:$D$40,Assumptions!$B71)*EI71*AR71,"")</f>
        <v>0</v>
      </c>
      <c r="CO71" s="40">
        <f ca="1">IFERROR(SUMIFS('TRA balance'!AP$5:AP$40,'TRA balance'!$C$5:$C$40,Assumptions!$C71,'TRA balance'!$D$5:$D$40,Assumptions!$B71)*EJ71*AS71,"")</f>
        <v>0</v>
      </c>
      <c r="CP71" s="40">
        <f ca="1">IFERROR(SUMIFS('TRA balance'!AQ$5:AQ$40,'TRA balance'!$C$5:$C$40,Assumptions!$C71,'TRA balance'!$D$5:$D$40,Assumptions!$B71)*EK71*AT71,"")</f>
        <v>0</v>
      </c>
      <c r="CQ71" s="40">
        <f ca="1">IFERROR(SUMIFS('TRA balance'!AR$5:AR$40,'TRA balance'!$C$5:$C$40,Assumptions!$C71,'TRA balance'!$D$5:$D$40,Assumptions!$B71)*EL71*AU71,"")</f>
        <v>0</v>
      </c>
      <c r="CR71" s="40">
        <f ca="1">IFERROR(SUMIFS('TRA balance'!AS$5:AS$40,'TRA balance'!$C$5:$C$40,Assumptions!$C71,'TRA balance'!$D$5:$D$40,Assumptions!$B71)*EM71*AV71,"")</f>
        <v>0</v>
      </c>
      <c r="CS71" s="40">
        <f ca="1">IFERROR(SUMIFS('TRA balance'!AT$5:AT$40,'TRA balance'!$C$5:$C$40,Assumptions!$C71,'TRA balance'!$D$5:$D$40,Assumptions!$B71)*EN71*AW71,"")</f>
        <v>0</v>
      </c>
      <c r="CT71" s="40">
        <f ca="1">IFERROR(SUMIFS('TRA balance'!AU$5:AU$40,'TRA balance'!$C$5:$C$40,Assumptions!$C71,'TRA balance'!$D$5:$D$40,Assumptions!$B71)*EO71*AX71,"")</f>
        <v>0</v>
      </c>
      <c r="CU71" s="40">
        <f ca="1">IFERROR(SUMIFS('TRA balance'!AV$5:AV$40,'TRA balance'!$C$5:$C$40,Assumptions!$C71,'TRA balance'!$D$5:$D$40,Assumptions!$B71)*EP71*AY71,"")</f>
        <v>0</v>
      </c>
      <c r="CV71" s="40">
        <f ca="1">IFERROR(SUMIFS('TRA balance'!AW$5:AW$40,'TRA balance'!$C$5:$C$40,Assumptions!$C71,'TRA balance'!$D$5:$D$40,Assumptions!$B71)*EQ71*AZ71,"")</f>
        <v>0</v>
      </c>
      <c r="CW71" s="40">
        <f ca="1">IFERROR(SUMIFS('TRA balance'!AX$5:AX$40,'TRA balance'!$C$5:$C$40,Assumptions!$C71,'TRA balance'!$D$5:$D$40,Assumptions!$B71)*ER71*BA71,"")</f>
        <v>0</v>
      </c>
      <c r="CY71" s="39">
        <f ca="1" t="shared" si="86"/>
        <v>0.9</v>
      </c>
      <c r="CZ71" s="39">
        <f ca="1" t="shared" si="87"/>
        <v>0.9</v>
      </c>
      <c r="DA71" s="39">
        <f ca="1" t="shared" si="88"/>
        <v>0.98</v>
      </c>
      <c r="DB71" s="39">
        <f ca="1" t="shared" si="89"/>
        <v>0.8</v>
      </c>
      <c r="DC71" s="39">
        <f ca="1" t="shared" si="90"/>
        <v>0.95</v>
      </c>
      <c r="DD71" s="39">
        <f ca="1" t="shared" si="91"/>
        <v>0.8</v>
      </c>
      <c r="DE71" s="39">
        <f ca="1" t="shared" si="92"/>
        <v>0.93</v>
      </c>
      <c r="DF71" s="39">
        <f ca="1" t="shared" si="93"/>
        <v>0.9</v>
      </c>
      <c r="DG71" s="39">
        <f ca="1" t="shared" si="94"/>
        <v>0.8</v>
      </c>
      <c r="DH71" s="39">
        <f ca="1" t="shared" si="95"/>
        <v>0.8</v>
      </c>
      <c r="DI71" s="39">
        <f ca="1" t="shared" si="96"/>
        <v>0.8</v>
      </c>
      <c r="DJ71" s="39">
        <f ca="1" t="shared" si="97"/>
        <v>0.8</v>
      </c>
      <c r="DK71" s="39">
        <f ca="1" t="shared" si="98"/>
        <v>0.8</v>
      </c>
      <c r="DL71" s="39">
        <f ca="1" t="shared" si="99"/>
        <v>0.8</v>
      </c>
      <c r="DM71" s="39">
        <f ca="1" t="shared" si="100"/>
        <v>0.8</v>
      </c>
      <c r="DN71" s="39">
        <f ca="1" t="shared" si="101"/>
        <v>0.75</v>
      </c>
      <c r="DO71" s="39">
        <f ca="1" t="shared" si="102"/>
        <v>0.8</v>
      </c>
      <c r="DP71" s="39">
        <f ca="1" t="shared" si="103"/>
        <v>0.8</v>
      </c>
      <c r="DQ71" s="39">
        <f ca="1" t="shared" si="104"/>
        <v>0.95</v>
      </c>
      <c r="DR71" s="39">
        <f ca="1" t="shared" si="105"/>
        <v>0.93</v>
      </c>
      <c r="DS71" s="39">
        <f ca="1" t="shared" si="106"/>
        <v>0.9</v>
      </c>
      <c r="DT71" s="39">
        <f ca="1" t="shared" si="107"/>
        <v>0.975593578177383</v>
      </c>
      <c r="DU71" s="39">
        <f ca="1" t="shared" si="108"/>
        <v>0.8</v>
      </c>
      <c r="DV71" s="39">
        <f ca="1" t="shared" si="109"/>
        <v>0.8</v>
      </c>
      <c r="DW71" s="39">
        <f ca="1" t="shared" si="110"/>
        <v>0.92</v>
      </c>
      <c r="DX71" s="39">
        <f ca="1" t="shared" si="111"/>
        <v>0.95</v>
      </c>
      <c r="DY71" s="39">
        <f ca="1" t="shared" si="112"/>
        <v>0.9</v>
      </c>
      <c r="DZ71" s="39">
        <f ca="1" t="shared" si="113"/>
        <v>0.9</v>
      </c>
      <c r="EA71" s="39">
        <f ca="1" t="shared" si="114"/>
        <v>0.8</v>
      </c>
      <c r="EB71" s="39">
        <f ca="1" t="shared" si="115"/>
        <v>0.8</v>
      </c>
      <c r="EC71" s="39">
        <f ca="1" t="shared" si="116"/>
        <v>0.8</v>
      </c>
      <c r="ED71" s="39">
        <f ca="1" t="shared" si="117"/>
        <v>0.9</v>
      </c>
      <c r="EE71" s="39">
        <f ca="1" t="shared" si="118"/>
        <v>0.8</v>
      </c>
      <c r="EF71" s="39">
        <f ca="1" t="shared" si="119"/>
        <v>0.95</v>
      </c>
      <c r="EG71" s="39">
        <f ca="1" t="shared" si="120"/>
        <v>0.8</v>
      </c>
      <c r="EH71" s="39">
        <f ca="1" t="shared" si="121"/>
        <v>0.975593578177383</v>
      </c>
      <c r="EI71" s="39">
        <f ca="1" t="shared" si="122"/>
        <v>0.975593578177383</v>
      </c>
      <c r="EJ71" s="39">
        <f ca="1" t="shared" si="123"/>
        <v>0.975593578177383</v>
      </c>
      <c r="EK71" s="39">
        <f ca="1" t="shared" si="124"/>
        <v>0.975593578177383</v>
      </c>
      <c r="EL71" s="39">
        <f ca="1" t="shared" si="125"/>
        <v>0.975593578177383</v>
      </c>
      <c r="EM71" s="39">
        <f ca="1" t="shared" si="126"/>
        <v>0.975593578177383</v>
      </c>
      <c r="EN71" s="39">
        <f ca="1" t="shared" si="127"/>
        <v>0.975593578177383</v>
      </c>
      <c r="EO71" s="39">
        <f ca="1" t="shared" si="128"/>
        <v>0.975593578177383</v>
      </c>
      <c r="EP71" s="39">
        <f ca="1" t="shared" si="129"/>
        <v>0.975593578177383</v>
      </c>
      <c r="EQ71" s="39">
        <f ca="1" t="shared" si="130"/>
        <v>0.975593578177383</v>
      </c>
      <c r="ER71" s="39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4" t="str">
        <f t="shared" si="133"/>
        <v>TR</v>
      </c>
      <c r="D72" s="55" t="s">
        <v>200</v>
      </c>
      <c r="E72" s="66" t="s">
        <v>218</v>
      </c>
      <c r="F72" s="56" t="str">
        <f t="shared" si="134"/>
        <v>Bio Diesel</v>
      </c>
      <c r="G72" s="54" t="s">
        <v>219</v>
      </c>
      <c r="H72" s="57">
        <f ca="1">OFFSET(TIAM15_assumptions!$G72,0,MATCH(VLOOKUP(Assumptions!H$2,TIAM15_assumptions!$Y$3:$Z$87,2,FALSE),TIAM15_assumptions!$H$2:$V$2,0))</f>
        <v>0.2</v>
      </c>
      <c r="I72" s="57">
        <f ca="1">OFFSET(TIAM15_assumptions!$G72,0,MATCH(VLOOKUP(Assumptions!I$2,TIAM15_assumptions!$Y$3:$Z$87,2,FALSE),TIAM15_assumptions!$H$2:$V$2,0))</f>
        <v>0.2</v>
      </c>
      <c r="J72" s="57">
        <f ca="1">OFFSET(TIAM15_assumptions!$G72,0,MATCH(VLOOKUP(Assumptions!J$2,TIAM15_assumptions!$Y$3:$Z$87,2,FALSE),TIAM15_assumptions!$H$2:$V$2,0))</f>
        <v>0.2</v>
      </c>
      <c r="K72" s="57">
        <f ca="1">OFFSET(TIAM15_assumptions!$G72,0,MATCH(VLOOKUP(Assumptions!K$2,TIAM15_assumptions!$Y$3:$Z$87,2,FALSE),TIAM15_assumptions!$H$2:$V$2,0))</f>
        <v>0.15</v>
      </c>
      <c r="L72" s="57">
        <f ca="1">OFFSET(TIAM15_assumptions!$G72,0,MATCH(VLOOKUP(Assumptions!L$2,TIAM15_assumptions!$Y$3:$Z$87,2,FALSE),TIAM15_assumptions!$H$2:$V$2,0))</f>
        <v>0.1</v>
      </c>
      <c r="M72" s="57">
        <f ca="1">OFFSET(TIAM15_assumptions!$G72,0,MATCH(VLOOKUP(Assumptions!M$2,TIAM15_assumptions!$Y$3:$Z$87,2,FALSE),TIAM15_assumptions!$H$2:$V$2,0))</f>
        <v>0.15</v>
      </c>
      <c r="N72" s="57">
        <f ca="1">OFFSET(TIAM15_assumptions!$G72,0,MATCH(VLOOKUP(Assumptions!N$2,TIAM15_assumptions!$Y$3:$Z$87,2,FALSE),TIAM15_assumptions!$H$2:$V$2,0))</f>
        <v>0.1</v>
      </c>
      <c r="O72" s="57">
        <f ca="1">OFFSET(TIAM15_assumptions!$G72,0,MATCH(VLOOKUP(Assumptions!O$2,TIAM15_assumptions!$Y$3:$Z$87,2,FALSE),TIAM15_assumptions!$H$2:$V$2,0))</f>
        <v>0.1</v>
      </c>
      <c r="P72" s="57">
        <f ca="1">OFFSET(TIAM15_assumptions!$G72,0,MATCH(VLOOKUP(Assumptions!P$2,TIAM15_assumptions!$Y$3:$Z$87,2,FALSE),TIAM15_assumptions!$H$2:$V$2,0))</f>
        <v>0.15</v>
      </c>
      <c r="Q72" s="57">
        <f ca="1">OFFSET(TIAM15_assumptions!$G72,0,MATCH(VLOOKUP(Assumptions!Q$2,TIAM15_assumptions!$Y$3:$Z$87,2,FALSE),TIAM15_assumptions!$H$2:$V$2,0))</f>
        <v>0.15</v>
      </c>
      <c r="R72" s="57">
        <f ca="1">OFFSET(TIAM15_assumptions!$G72,0,MATCH(VLOOKUP(Assumptions!R$2,TIAM15_assumptions!$Y$3:$Z$87,2,FALSE),TIAM15_assumptions!$H$2:$V$2,0))</f>
        <v>0.15</v>
      </c>
      <c r="S72" s="57">
        <f ca="1">OFFSET(TIAM15_assumptions!$G72,0,MATCH(VLOOKUP(Assumptions!S$2,TIAM15_assumptions!$Y$3:$Z$87,2,FALSE),TIAM15_assumptions!$H$2:$V$2,0))</f>
        <v>0.15</v>
      </c>
      <c r="T72" s="57">
        <f ca="1">OFFSET(TIAM15_assumptions!$G72,0,MATCH(VLOOKUP(Assumptions!T$2,TIAM15_assumptions!$Y$3:$Z$87,2,FALSE),TIAM15_assumptions!$H$2:$V$2,0))</f>
        <v>0.15</v>
      </c>
      <c r="U72" s="57">
        <f ca="1">OFFSET(TIAM15_assumptions!$G72,0,MATCH(VLOOKUP(Assumptions!U$2,TIAM15_assumptions!$Y$3:$Z$87,2,FALSE),TIAM15_assumptions!$H$2:$V$2,0))</f>
        <v>0.15</v>
      </c>
      <c r="V72" s="57">
        <f ca="1">OFFSET(TIAM15_assumptions!$G72,0,MATCH(VLOOKUP(Assumptions!V$2,TIAM15_assumptions!$Y$3:$Z$87,2,FALSE),TIAM15_assumptions!$H$2:$V$2,0))</f>
        <v>0.15</v>
      </c>
      <c r="W72" s="57">
        <f ca="1">OFFSET(TIAM15_assumptions!$G72,0,MATCH(VLOOKUP(Assumptions!W$2,TIAM15_assumptions!$Y$3:$Z$87,2,FALSE),TIAM15_assumptions!$H$2:$V$2,0))</f>
        <v>0.25</v>
      </c>
      <c r="X72" s="57">
        <f ca="1">OFFSET(TIAM15_assumptions!$G72,0,MATCH(VLOOKUP(Assumptions!X$2,TIAM15_assumptions!$Y$3:$Z$87,2,FALSE),TIAM15_assumptions!$H$2:$V$2,0))</f>
        <v>0.15</v>
      </c>
      <c r="Y72" s="57">
        <f ca="1">OFFSET(TIAM15_assumptions!$G72,0,MATCH(VLOOKUP(Assumptions!Y$2,TIAM15_assumptions!$Y$3:$Z$87,2,FALSE),TIAM15_assumptions!$H$2:$V$2,0))</f>
        <v>0.15</v>
      </c>
      <c r="Z72" s="57">
        <f ca="1">OFFSET(TIAM15_assumptions!$G72,0,MATCH(VLOOKUP(Assumptions!Z$2,TIAM15_assumptions!$Y$3:$Z$87,2,FALSE),TIAM15_assumptions!$H$2:$V$2,0))</f>
        <v>0.15</v>
      </c>
      <c r="AA72" s="57">
        <f ca="1">OFFSET(TIAM15_assumptions!$G72,0,MATCH(VLOOKUP(Assumptions!AA$2,TIAM15_assumptions!$Y$3:$Z$87,2,FALSE),TIAM15_assumptions!$H$2:$V$2,0))</f>
        <v>0.1</v>
      </c>
      <c r="AB72" s="57">
        <f ca="1">OFFSET(TIAM15_assumptions!$G72,0,MATCH(VLOOKUP(Assumptions!AB$2,TIAM15_assumptions!$Y$3:$Z$87,2,FALSE),TIAM15_assumptions!$H$2:$V$2,0))</f>
        <v>0.15</v>
      </c>
      <c r="AC72" s="57">
        <f ca="1">OFFSET(TIAM15_assumptions!$G72,0,MATCH(VLOOKUP(Assumptions!AC$2,TIAM15_assumptions!$Y$3:$Z$87,2,FALSE),TIAM15_assumptions!$H$2:$V$2,0))</f>
        <v>0.05</v>
      </c>
      <c r="AD72" s="57">
        <f ca="1">OFFSET(TIAM15_assumptions!$G72,0,MATCH(VLOOKUP(Assumptions!AD$2,TIAM15_assumptions!$Y$3:$Z$87,2,FALSE),TIAM15_assumptions!$H$2:$V$2,0))</f>
        <v>0.15</v>
      </c>
      <c r="AE72" s="57">
        <f ca="1">OFFSET(TIAM15_assumptions!$G72,0,MATCH(VLOOKUP(Assumptions!AE$2,TIAM15_assumptions!$Y$3:$Z$87,2,FALSE),TIAM15_assumptions!$H$2:$V$2,0))</f>
        <v>0.15</v>
      </c>
      <c r="AF72" s="57">
        <f ca="1">OFFSET(TIAM15_assumptions!$G72,0,MATCH(VLOOKUP(Assumptions!AF$2,TIAM15_assumptions!$Y$3:$Z$87,2,FALSE),TIAM15_assumptions!$H$2:$V$2,0))</f>
        <v>0.1</v>
      </c>
      <c r="AG72" s="57">
        <f ca="1">OFFSET(TIAM15_assumptions!$G72,0,MATCH(VLOOKUP(Assumptions!AG$2,TIAM15_assumptions!$Y$3:$Z$87,2,FALSE),TIAM15_assumptions!$H$2:$V$2,0))</f>
        <v>0.1</v>
      </c>
      <c r="AH72" s="57">
        <f ca="1">OFFSET(TIAM15_assumptions!$G72,0,MATCH(VLOOKUP(Assumptions!AH$2,TIAM15_assumptions!$Y$3:$Z$87,2,FALSE),TIAM15_assumptions!$H$2:$V$2,0))</f>
        <v>0.15</v>
      </c>
      <c r="AI72" s="57">
        <f ca="1">OFFSET(TIAM15_assumptions!$G72,0,MATCH(VLOOKUP(Assumptions!AI$2,TIAM15_assumptions!$Y$3:$Z$87,2,FALSE),TIAM15_assumptions!$H$2:$V$2,0))</f>
        <v>0.2</v>
      </c>
      <c r="AJ72" s="57">
        <f ca="1">OFFSET(TIAM15_assumptions!$G72,0,MATCH(VLOOKUP(Assumptions!AJ$2,TIAM15_assumptions!$Y$3:$Z$87,2,FALSE),TIAM15_assumptions!$H$2:$V$2,0))</f>
        <v>0.15</v>
      </c>
      <c r="AK72" s="57">
        <f ca="1">OFFSET(TIAM15_assumptions!$G72,0,MATCH(VLOOKUP(Assumptions!AK$2,TIAM15_assumptions!$Y$3:$Z$87,2,FALSE),TIAM15_assumptions!$H$2:$V$2,0))</f>
        <v>0.15</v>
      </c>
      <c r="AL72" s="57">
        <f ca="1">OFFSET(TIAM15_assumptions!$G72,0,MATCH(VLOOKUP(Assumptions!AL$2,TIAM15_assumptions!$Y$3:$Z$87,2,FALSE),TIAM15_assumptions!$H$2:$V$2,0))</f>
        <v>0.15</v>
      </c>
      <c r="AM72" s="57">
        <f ca="1">OFFSET(TIAM15_assumptions!$G72,0,MATCH(VLOOKUP(Assumptions!AM$2,TIAM15_assumptions!$Y$3:$Z$87,2,FALSE),TIAM15_assumptions!$H$2:$V$2,0))</f>
        <v>0.15</v>
      </c>
      <c r="AN72" s="57">
        <f ca="1">OFFSET(TIAM15_assumptions!$G72,0,MATCH(VLOOKUP(Assumptions!AN$2,TIAM15_assumptions!$Y$3:$Z$87,2,FALSE),TIAM15_assumptions!$H$2:$V$2,0))</f>
        <v>0.15</v>
      </c>
      <c r="AO72" s="57">
        <f ca="1">OFFSET(TIAM15_assumptions!$G72,0,MATCH(VLOOKUP(Assumptions!AO$2,TIAM15_assumptions!$Y$3:$Z$87,2,FALSE),TIAM15_assumptions!$H$2:$V$2,0))</f>
        <v>0.1</v>
      </c>
      <c r="AP72" s="57">
        <f ca="1">OFFSET(TIAM15_assumptions!$G72,0,MATCH(VLOOKUP(Assumptions!AP$2,TIAM15_assumptions!$Y$3:$Z$87,2,FALSE),TIAM15_assumptions!$H$2:$V$2,0))</f>
        <v>0.15</v>
      </c>
      <c r="AQ72" s="57">
        <f ca="1">OFFSET(TIAM15_assumptions!$G72,0,MATCH(VLOOKUP(Assumptions!AQ$2,TIAM15_assumptions!$Y$3:$Z$87,2,FALSE),TIAM15_assumptions!$H$2:$V$2,0))</f>
        <v>0.05</v>
      </c>
      <c r="AR72" s="57">
        <f ca="1">OFFSET(TIAM15_assumptions!$G72,0,MATCH(VLOOKUP(Assumptions!AR$2,TIAM15_assumptions!$Y$3:$Z$87,2,FALSE),TIAM15_assumptions!$H$2:$V$2,0))</f>
        <v>0.05</v>
      </c>
      <c r="AS72" s="57">
        <f ca="1">OFFSET(TIAM15_assumptions!$G72,0,MATCH(VLOOKUP(Assumptions!AS$2,TIAM15_assumptions!$Y$3:$Z$87,2,FALSE),TIAM15_assumptions!$H$2:$V$2,0))</f>
        <v>0.05</v>
      </c>
      <c r="AT72" s="57">
        <f ca="1">OFFSET(TIAM15_assumptions!$G72,0,MATCH(VLOOKUP(Assumptions!AT$2,TIAM15_assumptions!$Y$3:$Z$87,2,FALSE),TIAM15_assumptions!$H$2:$V$2,0))</f>
        <v>0.05</v>
      </c>
      <c r="AU72" s="57">
        <f ca="1">OFFSET(TIAM15_assumptions!$G72,0,MATCH(VLOOKUP(Assumptions!AU$2,TIAM15_assumptions!$Y$3:$Z$87,2,FALSE),TIAM15_assumptions!$H$2:$V$2,0))</f>
        <v>0.05</v>
      </c>
      <c r="AV72" s="57">
        <f ca="1">OFFSET(TIAM15_assumptions!$G72,0,MATCH(VLOOKUP(Assumptions!AV$2,TIAM15_assumptions!$Y$3:$Z$87,2,FALSE),TIAM15_assumptions!$H$2:$V$2,0))</f>
        <v>0.05</v>
      </c>
      <c r="AW72" s="57">
        <f ca="1">OFFSET(TIAM15_assumptions!$G72,0,MATCH(VLOOKUP(Assumptions!AW$2,TIAM15_assumptions!$Y$3:$Z$87,2,FALSE),TIAM15_assumptions!$H$2:$V$2,0))</f>
        <v>0.05</v>
      </c>
      <c r="AX72" s="57">
        <f ca="1">OFFSET(TIAM15_assumptions!$G72,0,MATCH(VLOOKUP(Assumptions!AX$2,TIAM15_assumptions!$Y$3:$Z$87,2,FALSE),TIAM15_assumptions!$H$2:$V$2,0))</f>
        <v>0.05</v>
      </c>
      <c r="AY72" s="57">
        <f ca="1">OFFSET(TIAM15_assumptions!$G72,0,MATCH(VLOOKUP(Assumptions!AY$2,TIAM15_assumptions!$Y$3:$Z$87,2,FALSE),TIAM15_assumptions!$H$2:$V$2,0))</f>
        <v>0.05</v>
      </c>
      <c r="AZ72" s="57">
        <f ca="1">OFFSET(TIAM15_assumptions!$G72,0,MATCH(VLOOKUP(Assumptions!AZ$2,TIAM15_assumptions!$Y$3:$Z$87,2,FALSE),TIAM15_assumptions!$H$2:$V$2,0))</f>
        <v>0.05</v>
      </c>
      <c r="BA72" s="57">
        <f ca="1">OFFSET(TIAM15_assumptions!$G72,0,MATCH(VLOOKUP(Assumptions!BA$2,TIAM15_assumptions!$Y$3:$Z$87,2,FALSE),TIAM15_assumptions!$H$2:$V$2,0))</f>
        <v>0.05</v>
      </c>
      <c r="BD72" s="40">
        <f ca="1">IFERROR(SUMIFS('TRA balance'!E$5:E$40,'TRA balance'!$C$5:$C$40,Assumptions!$C72,'TRA balance'!$D$5:$D$40,Assumptions!$B72)*CY72*H72,"")</f>
        <v>0</v>
      </c>
      <c r="BE72" s="40">
        <f ca="1">IFERROR(SUMIFS('TRA balance'!F$5:F$40,'TRA balance'!$C$5:$C$40,Assumptions!$C72,'TRA balance'!$D$5:$D$40,Assumptions!$B72)*CZ72*I72,"")</f>
        <v>0</v>
      </c>
      <c r="BF72" s="40">
        <f ca="1">IFERROR(SUMIFS('TRA balance'!G$5:G$40,'TRA balance'!$C$5:$C$40,Assumptions!$C72,'TRA balance'!$D$5:$D$40,Assumptions!$B72)*DA72*J72,"")</f>
        <v>0.007213186512</v>
      </c>
      <c r="BG72" s="40">
        <f ca="1">IFERROR(SUMIFS('TRA balance'!H$5:H$40,'TRA balance'!$C$5:$C$40,Assumptions!$C72,'TRA balance'!$D$5:$D$40,Assumptions!$B72)*DB72*K72,"")</f>
        <v>2.138937646464</v>
      </c>
      <c r="BH72" s="40">
        <f ca="1">IFERROR(SUMIFS('TRA balance'!I$5:I$40,'TRA balance'!$C$5:$C$40,Assumptions!$C72,'TRA balance'!$D$5:$D$40,Assumptions!$B72)*DC72*L72,"")</f>
        <v>0.435417319152</v>
      </c>
      <c r="BI72" s="40">
        <f ca="1">IFERROR(SUMIFS('TRA balance'!J$5:J$40,'TRA balance'!$C$5:$C$40,Assumptions!$C72,'TRA balance'!$D$5:$D$40,Assumptions!$B72)*DD72*M72,"")</f>
        <v>4.431588965712</v>
      </c>
      <c r="BJ72" s="40">
        <f ca="1">IFERROR(SUMIFS('TRA balance'!K$5:K$40,'TRA balance'!$C$5:$C$40,Assumptions!$C72,'TRA balance'!$D$5:$D$40,Assumptions!$B72)*DE72*N72,"")</f>
        <v>60.5457829596024</v>
      </c>
      <c r="BK72" s="40">
        <f ca="1">IFERROR(SUMIFS('TRA balance'!L$5:L$40,'TRA balance'!$C$5:$C$40,Assumptions!$C72,'TRA balance'!$D$5:$D$40,Assumptions!$B72)*DF72*O72,"")</f>
        <v>3.41136005058</v>
      </c>
      <c r="BL72" s="40">
        <f ca="1">IFERROR(SUMIFS('TRA balance'!M$5:M$40,'TRA balance'!$C$5:$C$40,Assumptions!$C72,'TRA balance'!$D$5:$D$40,Assumptions!$B72)*DG72*P72,"")</f>
        <v>0.765995491584</v>
      </c>
      <c r="BM72" s="40">
        <f ca="1">IFERROR(SUMIFS('TRA balance'!N$5:N$40,'TRA balance'!$C$5:$C$40,Assumptions!$C72,'TRA balance'!$D$5:$D$40,Assumptions!$B72)*DH72*Q72,"")</f>
        <v>2.007581988096</v>
      </c>
      <c r="BN72" s="40">
        <f ca="1">IFERROR(SUMIFS('TRA balance'!O$5:O$40,'TRA balance'!$C$5:$C$40,Assumptions!$C72,'TRA balance'!$D$5:$D$40,Assumptions!$B72)*DI72*R72,"")</f>
        <v>12.684390742224</v>
      </c>
      <c r="BO72" s="40">
        <f ca="1">IFERROR(SUMIFS('TRA balance'!P$5:P$40,'TRA balance'!$C$5:$C$40,Assumptions!$C72,'TRA balance'!$D$5:$D$40,Assumptions!$B72)*DJ72*S72,"")</f>
        <v>9.491266762416</v>
      </c>
      <c r="BP72" s="40">
        <f ca="1">IFERROR(SUMIFS('TRA balance'!Q$5:Q$40,'TRA balance'!$C$5:$C$40,Assumptions!$C72,'TRA balance'!$D$5:$D$40,Assumptions!$B72)*DK72*T72,"")</f>
        <v>0.859887998496</v>
      </c>
      <c r="BQ72" s="40">
        <f ca="1">IFERROR(SUMIFS('TRA balance'!R$5:R$40,'TRA balance'!$C$5:$C$40,Assumptions!$C72,'TRA balance'!$D$5:$D$40,Assumptions!$B72)*DL72*U72,"")</f>
        <v>3.109396855824</v>
      </c>
      <c r="BR72" s="40">
        <f ca="1">IFERROR(SUMIFS('TRA balance'!S$5:S$40,'TRA balance'!$C$5:$C$40,Assumptions!$C72,'TRA balance'!$D$5:$D$40,Assumptions!$B72)*DM72*V72,"")</f>
        <v>0.07787196792</v>
      </c>
      <c r="BS72" s="40">
        <f ca="1">IFERROR(SUMIFS('TRA balance'!T$5:T$40,'TRA balance'!$C$5:$C$40,Assumptions!$C72,'TRA balance'!$D$5:$D$40,Assumptions!$B72)*DN72*W72,"")</f>
        <v>0.3069259344</v>
      </c>
      <c r="BT72" s="40">
        <f ca="1">IFERROR(SUMIFS('TRA balance'!U$5:U$40,'TRA balance'!$C$5:$C$40,Assumptions!$C72,'TRA balance'!$D$5:$D$40,Assumptions!$B72)*DO72*X72,"")</f>
        <v>0.81381846096</v>
      </c>
      <c r="BU72" s="40">
        <f ca="1">IFERROR(SUMIFS('TRA balance'!V$5:V$40,'TRA balance'!$C$5:$C$40,Assumptions!$C72,'TRA balance'!$D$5:$D$40,Assumptions!$B72)*DP72*Y72,"")</f>
        <v>6.313113774576</v>
      </c>
      <c r="BV72" s="40">
        <f ca="1">IFERROR(SUMIFS('TRA balance'!W$5:W$40,'TRA balance'!$C$5:$C$40,Assumptions!$C72,'TRA balance'!$D$5:$D$40,Assumptions!$B72)*DQ72*Z72,"")</f>
        <v>0.07399268838</v>
      </c>
      <c r="BW72" s="40">
        <f ca="1">IFERROR(SUMIFS('TRA balance'!X$5:X$40,'TRA balance'!$C$5:$C$40,Assumptions!$C72,'TRA balance'!$D$5:$D$40,Assumptions!$B72)*DR72*AA72,"")</f>
        <v>6.9065081305236</v>
      </c>
      <c r="BX72" s="40">
        <f ca="1">IFERROR(SUMIFS('TRA balance'!Y$5:Y$40,'TRA balance'!$C$5:$C$40,Assumptions!$C72,'TRA balance'!$D$5:$D$40,Assumptions!$B72)*DS72*AB72,"")</f>
        <v>0</v>
      </c>
      <c r="BY72" s="40">
        <f ca="1">IFERROR(SUMIFS('TRA balance'!Z$5:Z$40,'TRA balance'!$C$5:$C$40,Assumptions!$C72,'TRA balance'!$D$5:$D$40,Assumptions!$B72)*DT72*AC72,"")</f>
        <v>9.96273385983217</v>
      </c>
      <c r="BZ72" s="40">
        <f ca="1">IFERROR(SUMIFS('TRA balance'!AA$5:AA$40,'TRA balance'!$C$5:$C$40,Assumptions!$C72,'TRA balance'!$D$5:$D$40,Assumptions!$B72)*DU72*AD72,"")</f>
        <v>2.10510294336</v>
      </c>
      <c r="CA72" s="40">
        <f ca="1">IFERROR(SUMIFS('TRA balance'!AB$5:AB$40,'TRA balance'!$C$5:$C$40,Assumptions!$C72,'TRA balance'!$D$5:$D$40,Assumptions!$B72)*DV72*AE72,"")</f>
        <v>4.209168900096</v>
      </c>
      <c r="CB72" s="40">
        <f ca="1">IFERROR(SUMIFS('TRA balance'!AC$5:AC$40,'TRA balance'!$C$5:$C$40,Assumptions!$C72,'TRA balance'!$D$5:$D$40,Assumptions!$B72)*DW72*AF72,"")</f>
        <v>26.2259424358848</v>
      </c>
      <c r="CC72" s="40">
        <f ca="1">IFERROR(SUMIFS('TRA balance'!AD$5:AD$40,'TRA balance'!$C$5:$C$40,Assumptions!$C72,'TRA balance'!$D$5:$D$40,Assumptions!$B72)*DX72*AG72,"")</f>
        <v>0.006840037962</v>
      </c>
      <c r="CD72" s="40">
        <f ca="1">IFERROR(SUMIFS('TRA balance'!AE$5:AE$40,'TRA balance'!$C$5:$C$40,Assumptions!$C72,'TRA balance'!$D$5:$D$40,Assumptions!$B72)*DY72*AH72,"")</f>
        <v>0</v>
      </c>
      <c r="CE72" s="40">
        <f ca="1">IFERROR(SUMIFS('TRA balance'!AF$5:AF$40,'TRA balance'!$C$5:$C$40,Assumptions!$C72,'TRA balance'!$D$5:$D$40,Assumptions!$B72)*DZ72*AI72,"")</f>
        <v>0</v>
      </c>
      <c r="CF72" s="40">
        <f ca="1">IFERROR(SUMIFS('TRA balance'!AG$5:AG$40,'TRA balance'!$C$5:$C$40,Assumptions!$C72,'TRA balance'!$D$5:$D$40,Assumptions!$B72)*EA72*AJ72,"")</f>
        <v>8.830160659152</v>
      </c>
      <c r="CG72" s="40">
        <f ca="1">IFERROR(SUMIFS('TRA balance'!AH$5:AH$40,'TRA balance'!$C$5:$C$40,Assumptions!$C72,'TRA balance'!$D$5:$D$40,Assumptions!$B72)*EB72*AK72,"")</f>
        <v>8.599805937648</v>
      </c>
      <c r="CH72" s="40">
        <f ca="1">IFERROR(SUMIFS('TRA balance'!AI$5:AI$40,'TRA balance'!$C$5:$C$40,Assumptions!$C72,'TRA balance'!$D$5:$D$40,Assumptions!$B72)*EC72*AL72,"")</f>
        <v>0.75278998944</v>
      </c>
      <c r="CI72" s="40">
        <f ca="1">IFERROR(SUMIFS('TRA balance'!AJ$5:AJ$40,'TRA balance'!$C$5:$C$40,Assumptions!$C72,'TRA balance'!$D$5:$D$40,Assumptions!$B72)*ED72*AM72,"")</f>
        <v>0.645232520952</v>
      </c>
      <c r="CJ72" s="40">
        <f ca="1">IFERROR(SUMIFS('TRA balance'!AK$5:AK$40,'TRA balance'!$C$5:$C$40,Assumptions!$C72,'TRA balance'!$D$5:$D$40,Assumptions!$B72)*EE72*AN72,"")</f>
        <v>6.346272225744</v>
      </c>
      <c r="CK72" s="40">
        <f ca="1">IFERROR(SUMIFS('TRA balance'!AL$5:AL$40,'TRA balance'!$C$5:$C$40,Assumptions!$C72,'TRA balance'!$D$5:$D$40,Assumptions!$B72)*EF72*AO72,"")</f>
        <v>0</v>
      </c>
      <c r="CL72" s="40">
        <f ca="1">IFERROR(SUMIFS('TRA balance'!AM$5:AM$40,'TRA balance'!$C$5:$C$40,Assumptions!$C72,'TRA balance'!$D$5:$D$40,Assumptions!$B72)*EG72*AP72,"")</f>
        <v>0.604231104816</v>
      </c>
      <c r="CM72" s="40">
        <f ca="1">IFERROR(SUMIFS('TRA balance'!AN$5:AN$40,'TRA balance'!$C$5:$C$40,Assumptions!$C72,'TRA balance'!$D$5:$D$40,Assumptions!$B72)*EH72*AQ72,"")</f>
        <v>0</v>
      </c>
      <c r="CN72" s="40">
        <f ca="1">IFERROR(SUMIFS('TRA balance'!AO$5:AO$40,'TRA balance'!$C$5:$C$40,Assumptions!$C72,'TRA balance'!$D$5:$D$40,Assumptions!$B72)*EI72*AR72,"")</f>
        <v>0</v>
      </c>
      <c r="CO72" s="40">
        <f ca="1">IFERROR(SUMIFS('TRA balance'!AP$5:AP$40,'TRA balance'!$C$5:$C$40,Assumptions!$C72,'TRA balance'!$D$5:$D$40,Assumptions!$B72)*EJ72*AS72,"")</f>
        <v>0</v>
      </c>
      <c r="CP72" s="40">
        <f ca="1">IFERROR(SUMIFS('TRA balance'!AQ$5:AQ$40,'TRA balance'!$C$5:$C$40,Assumptions!$C72,'TRA balance'!$D$5:$D$40,Assumptions!$B72)*EK72*AT72,"")</f>
        <v>0</v>
      </c>
      <c r="CQ72" s="40">
        <f ca="1">IFERROR(SUMIFS('TRA balance'!AR$5:AR$40,'TRA balance'!$C$5:$C$40,Assumptions!$C72,'TRA balance'!$D$5:$D$40,Assumptions!$B72)*EL72*AU72,"")</f>
        <v>0</v>
      </c>
      <c r="CR72" s="40">
        <f ca="1">IFERROR(SUMIFS('TRA balance'!AS$5:AS$40,'TRA balance'!$C$5:$C$40,Assumptions!$C72,'TRA balance'!$D$5:$D$40,Assumptions!$B72)*EM72*AV72,"")</f>
        <v>0</v>
      </c>
      <c r="CS72" s="40">
        <f ca="1">IFERROR(SUMIFS('TRA balance'!AT$5:AT$40,'TRA balance'!$C$5:$C$40,Assumptions!$C72,'TRA balance'!$D$5:$D$40,Assumptions!$B72)*EN72*AW72,"")</f>
        <v>0</v>
      </c>
      <c r="CT72" s="40">
        <f ca="1">IFERROR(SUMIFS('TRA balance'!AU$5:AU$40,'TRA balance'!$C$5:$C$40,Assumptions!$C72,'TRA balance'!$D$5:$D$40,Assumptions!$B72)*EO72*AX72,"")</f>
        <v>0</v>
      </c>
      <c r="CU72" s="40">
        <f ca="1">IFERROR(SUMIFS('TRA balance'!AV$5:AV$40,'TRA balance'!$C$5:$C$40,Assumptions!$C72,'TRA balance'!$D$5:$D$40,Assumptions!$B72)*EP72*AY72,"")</f>
        <v>0</v>
      </c>
      <c r="CV72" s="40">
        <f ca="1">IFERROR(SUMIFS('TRA balance'!AW$5:AW$40,'TRA balance'!$C$5:$C$40,Assumptions!$C72,'TRA balance'!$D$5:$D$40,Assumptions!$B72)*EQ72*AZ72,"")</f>
        <v>0</v>
      </c>
      <c r="CW72" s="40">
        <f ca="1">IFERROR(SUMIFS('TRA balance'!AX$5:AX$40,'TRA balance'!$C$5:$C$40,Assumptions!$C72,'TRA balance'!$D$5:$D$40,Assumptions!$B72)*ER72*BA72,"")</f>
        <v>0</v>
      </c>
      <c r="CY72" s="39">
        <f ca="1" t="shared" si="86"/>
        <v>0.9</v>
      </c>
      <c r="CZ72" s="39">
        <f ca="1" t="shared" si="87"/>
        <v>0.9</v>
      </c>
      <c r="DA72" s="39">
        <f ca="1" t="shared" si="88"/>
        <v>0.98</v>
      </c>
      <c r="DB72" s="39">
        <f ca="1" t="shared" si="89"/>
        <v>0.8</v>
      </c>
      <c r="DC72" s="39">
        <f ca="1" t="shared" si="90"/>
        <v>0.95</v>
      </c>
      <c r="DD72" s="39">
        <f ca="1" t="shared" si="91"/>
        <v>0.8</v>
      </c>
      <c r="DE72" s="39">
        <f ca="1" t="shared" si="92"/>
        <v>0.93</v>
      </c>
      <c r="DF72" s="39">
        <f ca="1" t="shared" si="93"/>
        <v>0.9</v>
      </c>
      <c r="DG72" s="39">
        <f ca="1" t="shared" si="94"/>
        <v>0.8</v>
      </c>
      <c r="DH72" s="39">
        <f ca="1" t="shared" si="95"/>
        <v>0.8</v>
      </c>
      <c r="DI72" s="39">
        <f ca="1" t="shared" si="96"/>
        <v>0.8</v>
      </c>
      <c r="DJ72" s="39">
        <f ca="1" t="shared" si="97"/>
        <v>0.8</v>
      </c>
      <c r="DK72" s="39">
        <f ca="1" t="shared" si="98"/>
        <v>0.8</v>
      </c>
      <c r="DL72" s="39">
        <f ca="1" t="shared" si="99"/>
        <v>0.8</v>
      </c>
      <c r="DM72" s="39">
        <f ca="1" t="shared" si="100"/>
        <v>0.8</v>
      </c>
      <c r="DN72" s="39">
        <f ca="1" t="shared" si="101"/>
        <v>0.75</v>
      </c>
      <c r="DO72" s="39">
        <f ca="1" t="shared" si="102"/>
        <v>0.8</v>
      </c>
      <c r="DP72" s="39">
        <f ca="1" t="shared" si="103"/>
        <v>0.8</v>
      </c>
      <c r="DQ72" s="39">
        <f ca="1" t="shared" si="104"/>
        <v>0.95</v>
      </c>
      <c r="DR72" s="39">
        <f ca="1" t="shared" si="105"/>
        <v>0.93</v>
      </c>
      <c r="DS72" s="39">
        <f ca="1" t="shared" si="106"/>
        <v>0.9</v>
      </c>
      <c r="DT72" s="39">
        <f ca="1" t="shared" si="107"/>
        <v>0.975593578177383</v>
      </c>
      <c r="DU72" s="39">
        <f ca="1" t="shared" si="108"/>
        <v>0.8</v>
      </c>
      <c r="DV72" s="39">
        <f ca="1" t="shared" si="109"/>
        <v>0.8</v>
      </c>
      <c r="DW72" s="39">
        <f ca="1" t="shared" si="110"/>
        <v>0.92</v>
      </c>
      <c r="DX72" s="39">
        <f ca="1" t="shared" si="111"/>
        <v>0.95</v>
      </c>
      <c r="DY72" s="39">
        <f ca="1" t="shared" si="112"/>
        <v>0.9</v>
      </c>
      <c r="DZ72" s="39">
        <f ca="1" t="shared" si="113"/>
        <v>0.9</v>
      </c>
      <c r="EA72" s="39">
        <f ca="1" t="shared" si="114"/>
        <v>0.8</v>
      </c>
      <c r="EB72" s="39">
        <f ca="1" t="shared" si="115"/>
        <v>0.8</v>
      </c>
      <c r="EC72" s="39">
        <f ca="1" t="shared" si="116"/>
        <v>0.8</v>
      </c>
      <c r="ED72" s="39">
        <f ca="1" t="shared" si="117"/>
        <v>0.9</v>
      </c>
      <c r="EE72" s="39">
        <f ca="1" t="shared" si="118"/>
        <v>0.8</v>
      </c>
      <c r="EF72" s="39">
        <f ca="1" t="shared" si="119"/>
        <v>0.95</v>
      </c>
      <c r="EG72" s="39">
        <f ca="1" t="shared" si="120"/>
        <v>0.8</v>
      </c>
      <c r="EH72" s="39">
        <f ca="1" t="shared" si="121"/>
        <v>0.975593578177383</v>
      </c>
      <c r="EI72" s="39">
        <f ca="1" t="shared" si="122"/>
        <v>0.975593578177383</v>
      </c>
      <c r="EJ72" s="39">
        <f ca="1" t="shared" si="123"/>
        <v>0.975593578177383</v>
      </c>
      <c r="EK72" s="39">
        <f ca="1" t="shared" si="124"/>
        <v>0.975593578177383</v>
      </c>
      <c r="EL72" s="39">
        <f ca="1" t="shared" si="125"/>
        <v>0.975593578177383</v>
      </c>
      <c r="EM72" s="39">
        <f ca="1" t="shared" si="126"/>
        <v>0.975593578177383</v>
      </c>
      <c r="EN72" s="39">
        <f ca="1" t="shared" si="127"/>
        <v>0.975593578177383</v>
      </c>
      <c r="EO72" s="39">
        <f ca="1" t="shared" si="128"/>
        <v>0.975593578177383</v>
      </c>
      <c r="EP72" s="39">
        <f ca="1" t="shared" si="129"/>
        <v>0.975593578177383</v>
      </c>
      <c r="EQ72" s="39">
        <f ca="1" t="shared" si="130"/>
        <v>0.975593578177383</v>
      </c>
      <c r="ER72" s="39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4" t="str">
        <f t="shared" si="133"/>
        <v/>
      </c>
      <c r="D73" s="55"/>
      <c r="E73" s="67" t="s">
        <v>220</v>
      </c>
      <c r="F73" s="56" t="str">
        <f t="shared" si="134"/>
        <v>Bio Diesel</v>
      </c>
      <c r="G73" s="54"/>
      <c r="H73" s="69" t="str">
        <f ca="1">IF(SUM(H69:H72)=1,"-","&lt;&gt;1!!")</f>
        <v>-</v>
      </c>
      <c r="I73" s="69" t="str">
        <f ca="1" t="shared" ref="I73:BA73" si="135">IF(SUM(I69:I72)=1,"-","&lt;&gt;1!!")</f>
        <v>-</v>
      </c>
      <c r="J73" s="69" t="str">
        <f ca="1" t="shared" si="135"/>
        <v>-</v>
      </c>
      <c r="K73" s="69" t="str">
        <f ca="1" t="shared" si="135"/>
        <v>-</v>
      </c>
      <c r="L73" s="69" t="str">
        <f ca="1" t="shared" si="135"/>
        <v>-</v>
      </c>
      <c r="M73" s="69" t="str">
        <f ca="1" t="shared" si="135"/>
        <v>-</v>
      </c>
      <c r="N73" s="69" t="str">
        <f ca="1" t="shared" si="135"/>
        <v>-</v>
      </c>
      <c r="O73" s="69" t="str">
        <f ca="1" t="shared" si="135"/>
        <v>-</v>
      </c>
      <c r="P73" s="69" t="str">
        <f ca="1" t="shared" si="135"/>
        <v>-</v>
      </c>
      <c r="Q73" s="69" t="str">
        <f ca="1" t="shared" si="135"/>
        <v>-</v>
      </c>
      <c r="R73" s="69" t="str">
        <f ca="1" t="shared" si="135"/>
        <v>-</v>
      </c>
      <c r="S73" s="69" t="str">
        <f ca="1" t="shared" si="135"/>
        <v>-</v>
      </c>
      <c r="T73" s="69" t="str">
        <f ca="1" t="shared" si="135"/>
        <v>-</v>
      </c>
      <c r="U73" s="69" t="str">
        <f ca="1" t="shared" si="135"/>
        <v>-</v>
      </c>
      <c r="V73" s="69" t="str">
        <f ca="1" t="shared" si="135"/>
        <v>-</v>
      </c>
      <c r="W73" s="69" t="str">
        <f ca="1" t="shared" si="135"/>
        <v>-</v>
      </c>
      <c r="X73" s="69" t="str">
        <f ca="1" t="shared" si="135"/>
        <v>-</v>
      </c>
      <c r="Y73" s="69" t="str">
        <f ca="1" t="shared" si="135"/>
        <v>-</v>
      </c>
      <c r="Z73" s="69" t="str">
        <f ca="1" t="shared" si="135"/>
        <v>-</v>
      </c>
      <c r="AA73" s="69" t="str">
        <f ca="1" t="shared" si="135"/>
        <v>-</v>
      </c>
      <c r="AB73" s="69" t="str">
        <f ca="1" t="shared" si="135"/>
        <v>-</v>
      </c>
      <c r="AC73" s="69" t="str">
        <f ca="1" t="shared" si="135"/>
        <v>-</v>
      </c>
      <c r="AD73" s="69" t="str">
        <f ca="1" t="shared" si="135"/>
        <v>-</v>
      </c>
      <c r="AE73" s="69" t="str">
        <f ca="1" t="shared" si="135"/>
        <v>-</v>
      </c>
      <c r="AF73" s="69" t="str">
        <f ca="1" t="shared" si="135"/>
        <v>-</v>
      </c>
      <c r="AG73" s="69" t="str">
        <f ca="1" t="shared" si="135"/>
        <v>-</v>
      </c>
      <c r="AH73" s="69" t="str">
        <f ca="1" t="shared" si="135"/>
        <v>-</v>
      </c>
      <c r="AI73" s="69" t="str">
        <f ca="1" t="shared" si="135"/>
        <v>-</v>
      </c>
      <c r="AJ73" s="69" t="str">
        <f ca="1" t="shared" si="135"/>
        <v>-</v>
      </c>
      <c r="AK73" s="69" t="str">
        <f ca="1" t="shared" si="135"/>
        <v>-</v>
      </c>
      <c r="AL73" s="69" t="str">
        <f ca="1" t="shared" si="135"/>
        <v>-</v>
      </c>
      <c r="AM73" s="69" t="str">
        <f ca="1" t="shared" si="135"/>
        <v>-</v>
      </c>
      <c r="AN73" s="69" t="str">
        <f ca="1" t="shared" si="135"/>
        <v>-</v>
      </c>
      <c r="AO73" s="69" t="str">
        <f ca="1" t="shared" si="135"/>
        <v>-</v>
      </c>
      <c r="AP73" s="69" t="str">
        <f ca="1" t="shared" si="135"/>
        <v>-</v>
      </c>
      <c r="AQ73" s="69" t="str">
        <f ca="1" t="shared" si="135"/>
        <v>-</v>
      </c>
      <c r="AR73" s="69" t="str">
        <f ca="1" t="shared" si="135"/>
        <v>-</v>
      </c>
      <c r="AS73" s="69" t="str">
        <f ca="1" t="shared" si="135"/>
        <v>-</v>
      </c>
      <c r="AT73" s="69" t="str">
        <f ca="1" t="shared" si="135"/>
        <v>-</v>
      </c>
      <c r="AU73" s="69" t="str">
        <f ca="1" t="shared" si="135"/>
        <v>-</v>
      </c>
      <c r="AV73" s="69" t="str">
        <f ca="1" t="shared" si="135"/>
        <v>-</v>
      </c>
      <c r="AW73" s="69" t="str">
        <f ca="1" t="shared" si="135"/>
        <v>-</v>
      </c>
      <c r="AX73" s="69" t="str">
        <f ca="1" t="shared" si="135"/>
        <v>-</v>
      </c>
      <c r="AY73" s="69" t="str">
        <f ca="1" t="shared" si="135"/>
        <v>-</v>
      </c>
      <c r="AZ73" s="69" t="str">
        <f ca="1" t="shared" si="135"/>
        <v>-</v>
      </c>
      <c r="BA73" s="69" t="str">
        <f ca="1" t="shared" si="135"/>
        <v>-</v>
      </c>
      <c r="BD73" s="40" t="str">
        <f ca="1">IFERROR(SUMIFS('TRA balance'!E$5:E$40,'TRA balance'!$C$5:$C$40,Assumptions!$C73,'TRA balance'!$D$5:$D$40,Assumptions!$B73)*CY73*H73,"")</f>
        <v/>
      </c>
      <c r="BE73" s="40" t="str">
        <f ca="1">IFERROR(SUMIFS('TRA balance'!F$5:F$40,'TRA balance'!$C$5:$C$40,Assumptions!$C73,'TRA balance'!$D$5:$D$40,Assumptions!$B73)*CZ73*I73,"")</f>
        <v/>
      </c>
      <c r="BF73" s="40" t="str">
        <f ca="1">IFERROR(SUMIFS('TRA balance'!G$5:G$40,'TRA balance'!$C$5:$C$40,Assumptions!$C73,'TRA balance'!$D$5:$D$40,Assumptions!$B73)*DA73*J73,"")</f>
        <v/>
      </c>
      <c r="BG73" s="40" t="str">
        <f ca="1">IFERROR(SUMIFS('TRA balance'!H$5:H$40,'TRA balance'!$C$5:$C$40,Assumptions!$C73,'TRA balance'!$D$5:$D$40,Assumptions!$B73)*DB73*K73,"")</f>
        <v/>
      </c>
      <c r="BH73" s="40" t="str">
        <f ca="1">IFERROR(SUMIFS('TRA balance'!I$5:I$40,'TRA balance'!$C$5:$C$40,Assumptions!$C73,'TRA balance'!$D$5:$D$40,Assumptions!$B73)*DC73*L73,"")</f>
        <v/>
      </c>
      <c r="BI73" s="40" t="str">
        <f ca="1">IFERROR(SUMIFS('TRA balance'!J$5:J$40,'TRA balance'!$C$5:$C$40,Assumptions!$C73,'TRA balance'!$D$5:$D$40,Assumptions!$B73)*DD73*M73,"")</f>
        <v/>
      </c>
      <c r="BJ73" s="40" t="str">
        <f ca="1">IFERROR(SUMIFS('TRA balance'!K$5:K$40,'TRA balance'!$C$5:$C$40,Assumptions!$C73,'TRA balance'!$D$5:$D$40,Assumptions!$B73)*DE73*N73,"")</f>
        <v/>
      </c>
      <c r="BK73" s="40" t="str">
        <f ca="1">IFERROR(SUMIFS('TRA balance'!L$5:L$40,'TRA balance'!$C$5:$C$40,Assumptions!$C73,'TRA balance'!$D$5:$D$40,Assumptions!$B73)*DF73*O73,"")</f>
        <v/>
      </c>
      <c r="BL73" s="40" t="str">
        <f ca="1">IFERROR(SUMIFS('TRA balance'!M$5:M$40,'TRA balance'!$C$5:$C$40,Assumptions!$C73,'TRA balance'!$D$5:$D$40,Assumptions!$B73)*DG73*P73,"")</f>
        <v/>
      </c>
      <c r="BM73" s="40" t="str">
        <f ca="1">IFERROR(SUMIFS('TRA balance'!N$5:N$40,'TRA balance'!$C$5:$C$40,Assumptions!$C73,'TRA balance'!$D$5:$D$40,Assumptions!$B73)*DH73*Q73,"")</f>
        <v/>
      </c>
      <c r="BN73" s="40" t="str">
        <f ca="1">IFERROR(SUMIFS('TRA balance'!O$5:O$40,'TRA balance'!$C$5:$C$40,Assumptions!$C73,'TRA balance'!$D$5:$D$40,Assumptions!$B73)*DI73*R73,"")</f>
        <v/>
      </c>
      <c r="BO73" s="40" t="str">
        <f ca="1">IFERROR(SUMIFS('TRA balance'!P$5:P$40,'TRA balance'!$C$5:$C$40,Assumptions!$C73,'TRA balance'!$D$5:$D$40,Assumptions!$B73)*DJ73*S73,"")</f>
        <v/>
      </c>
      <c r="BP73" s="40" t="str">
        <f ca="1">IFERROR(SUMIFS('TRA balance'!Q$5:Q$40,'TRA balance'!$C$5:$C$40,Assumptions!$C73,'TRA balance'!$D$5:$D$40,Assumptions!$B73)*DK73*T73,"")</f>
        <v/>
      </c>
      <c r="BQ73" s="40" t="str">
        <f ca="1">IFERROR(SUMIFS('TRA balance'!R$5:R$40,'TRA balance'!$C$5:$C$40,Assumptions!$C73,'TRA balance'!$D$5:$D$40,Assumptions!$B73)*DL73*U73,"")</f>
        <v/>
      </c>
      <c r="BR73" s="40" t="str">
        <f ca="1">IFERROR(SUMIFS('TRA balance'!S$5:S$40,'TRA balance'!$C$5:$C$40,Assumptions!$C73,'TRA balance'!$D$5:$D$40,Assumptions!$B73)*DM73*V73,"")</f>
        <v/>
      </c>
      <c r="BS73" s="40" t="str">
        <f ca="1">IFERROR(SUMIFS('TRA balance'!T$5:T$40,'TRA balance'!$C$5:$C$40,Assumptions!$C73,'TRA balance'!$D$5:$D$40,Assumptions!$B73)*DN73*W73,"")</f>
        <v/>
      </c>
      <c r="BT73" s="40" t="str">
        <f ca="1">IFERROR(SUMIFS('TRA balance'!U$5:U$40,'TRA balance'!$C$5:$C$40,Assumptions!$C73,'TRA balance'!$D$5:$D$40,Assumptions!$B73)*DO73*X73,"")</f>
        <v/>
      </c>
      <c r="BU73" s="40" t="str">
        <f ca="1">IFERROR(SUMIFS('TRA balance'!V$5:V$40,'TRA balance'!$C$5:$C$40,Assumptions!$C73,'TRA balance'!$D$5:$D$40,Assumptions!$B73)*DP73*Y73,"")</f>
        <v/>
      </c>
      <c r="BV73" s="40" t="str">
        <f ca="1">IFERROR(SUMIFS('TRA balance'!W$5:W$40,'TRA balance'!$C$5:$C$40,Assumptions!$C73,'TRA balance'!$D$5:$D$40,Assumptions!$B73)*DQ73*Z73,"")</f>
        <v/>
      </c>
      <c r="BW73" s="40" t="str">
        <f ca="1">IFERROR(SUMIFS('TRA balance'!X$5:X$40,'TRA balance'!$C$5:$C$40,Assumptions!$C73,'TRA balance'!$D$5:$D$40,Assumptions!$B73)*DR73*AA73,"")</f>
        <v/>
      </c>
      <c r="BX73" s="40" t="str">
        <f ca="1">IFERROR(SUMIFS('TRA balance'!Y$5:Y$40,'TRA balance'!$C$5:$C$40,Assumptions!$C73,'TRA balance'!$D$5:$D$40,Assumptions!$B73)*DS73*AB73,"")</f>
        <v/>
      </c>
      <c r="BY73" s="40" t="str">
        <f ca="1">IFERROR(SUMIFS('TRA balance'!Z$5:Z$40,'TRA balance'!$C$5:$C$40,Assumptions!$C73,'TRA balance'!$D$5:$D$40,Assumptions!$B73)*DT73*AC73,"")</f>
        <v/>
      </c>
      <c r="BZ73" s="40" t="str">
        <f ca="1">IFERROR(SUMIFS('TRA balance'!AA$5:AA$40,'TRA balance'!$C$5:$C$40,Assumptions!$C73,'TRA balance'!$D$5:$D$40,Assumptions!$B73)*DU73*AD73,"")</f>
        <v/>
      </c>
      <c r="CA73" s="40" t="str">
        <f ca="1">IFERROR(SUMIFS('TRA balance'!AB$5:AB$40,'TRA balance'!$C$5:$C$40,Assumptions!$C73,'TRA balance'!$D$5:$D$40,Assumptions!$B73)*DV73*AE73,"")</f>
        <v/>
      </c>
      <c r="CB73" s="40" t="str">
        <f ca="1">IFERROR(SUMIFS('TRA balance'!AC$5:AC$40,'TRA balance'!$C$5:$C$40,Assumptions!$C73,'TRA balance'!$D$5:$D$40,Assumptions!$B73)*DW73*AF73,"")</f>
        <v/>
      </c>
      <c r="CC73" s="40" t="str">
        <f ca="1">IFERROR(SUMIFS('TRA balance'!AD$5:AD$40,'TRA balance'!$C$5:$C$40,Assumptions!$C73,'TRA balance'!$D$5:$D$40,Assumptions!$B73)*DX73*AG73,"")</f>
        <v/>
      </c>
      <c r="CD73" s="40" t="str">
        <f ca="1">IFERROR(SUMIFS('TRA balance'!AE$5:AE$40,'TRA balance'!$C$5:$C$40,Assumptions!$C73,'TRA balance'!$D$5:$D$40,Assumptions!$B73)*DY73*AH73,"")</f>
        <v/>
      </c>
      <c r="CE73" s="40" t="str">
        <f ca="1">IFERROR(SUMIFS('TRA balance'!AF$5:AF$40,'TRA balance'!$C$5:$C$40,Assumptions!$C73,'TRA balance'!$D$5:$D$40,Assumptions!$B73)*DZ73*AI73,"")</f>
        <v/>
      </c>
      <c r="CF73" s="40" t="str">
        <f ca="1">IFERROR(SUMIFS('TRA balance'!AG$5:AG$40,'TRA balance'!$C$5:$C$40,Assumptions!$C73,'TRA balance'!$D$5:$D$40,Assumptions!$B73)*EA73*AJ73,"")</f>
        <v/>
      </c>
      <c r="CG73" s="40" t="str">
        <f ca="1">IFERROR(SUMIFS('TRA balance'!AH$5:AH$40,'TRA balance'!$C$5:$C$40,Assumptions!$C73,'TRA balance'!$D$5:$D$40,Assumptions!$B73)*EB73*AK73,"")</f>
        <v/>
      </c>
      <c r="CH73" s="40" t="str">
        <f ca="1">IFERROR(SUMIFS('TRA balance'!AI$5:AI$40,'TRA balance'!$C$5:$C$40,Assumptions!$C73,'TRA balance'!$D$5:$D$40,Assumptions!$B73)*EC73*AL73,"")</f>
        <v/>
      </c>
      <c r="CI73" s="40" t="str">
        <f ca="1">IFERROR(SUMIFS('TRA balance'!AJ$5:AJ$40,'TRA balance'!$C$5:$C$40,Assumptions!$C73,'TRA balance'!$D$5:$D$40,Assumptions!$B73)*ED73*AM73,"")</f>
        <v/>
      </c>
      <c r="CJ73" s="40" t="str">
        <f ca="1">IFERROR(SUMIFS('TRA balance'!AK$5:AK$40,'TRA balance'!$C$5:$C$40,Assumptions!$C73,'TRA balance'!$D$5:$D$40,Assumptions!$B73)*EE73*AN73,"")</f>
        <v/>
      </c>
      <c r="CK73" s="40" t="str">
        <f ca="1">IFERROR(SUMIFS('TRA balance'!AL$5:AL$40,'TRA balance'!$C$5:$C$40,Assumptions!$C73,'TRA balance'!$D$5:$D$40,Assumptions!$B73)*EF73*AO73,"")</f>
        <v/>
      </c>
      <c r="CL73" s="40" t="str">
        <f ca="1">IFERROR(SUMIFS('TRA balance'!AM$5:AM$40,'TRA balance'!$C$5:$C$40,Assumptions!$C73,'TRA balance'!$D$5:$D$40,Assumptions!$B73)*EG73*AP73,"")</f>
        <v/>
      </c>
      <c r="CM73" s="40" t="str">
        <f ca="1">IFERROR(SUMIFS('TRA balance'!AN$5:AN$40,'TRA balance'!$C$5:$C$40,Assumptions!$C73,'TRA balance'!$D$5:$D$40,Assumptions!$B73)*EH73*AQ73,"")</f>
        <v/>
      </c>
      <c r="CN73" s="40" t="str">
        <f ca="1">IFERROR(SUMIFS('TRA balance'!AO$5:AO$40,'TRA balance'!$C$5:$C$40,Assumptions!$C73,'TRA balance'!$D$5:$D$40,Assumptions!$B73)*EI73*AR73,"")</f>
        <v/>
      </c>
      <c r="CO73" s="40" t="str">
        <f ca="1">IFERROR(SUMIFS('TRA balance'!AP$5:AP$40,'TRA balance'!$C$5:$C$40,Assumptions!$C73,'TRA balance'!$D$5:$D$40,Assumptions!$B73)*EJ73*AS73,"")</f>
        <v/>
      </c>
      <c r="CP73" s="40" t="str">
        <f ca="1">IFERROR(SUMIFS('TRA balance'!AQ$5:AQ$40,'TRA balance'!$C$5:$C$40,Assumptions!$C73,'TRA balance'!$D$5:$D$40,Assumptions!$B73)*EK73*AT73,"")</f>
        <v/>
      </c>
      <c r="CQ73" s="40" t="str">
        <f ca="1">IFERROR(SUMIFS('TRA balance'!AR$5:AR$40,'TRA balance'!$C$5:$C$40,Assumptions!$C73,'TRA balance'!$D$5:$D$40,Assumptions!$B73)*EL73*AU73,"")</f>
        <v/>
      </c>
      <c r="CR73" s="40" t="str">
        <f ca="1">IFERROR(SUMIFS('TRA balance'!AS$5:AS$40,'TRA balance'!$C$5:$C$40,Assumptions!$C73,'TRA balance'!$D$5:$D$40,Assumptions!$B73)*EM73*AV73,"")</f>
        <v/>
      </c>
      <c r="CS73" s="40" t="str">
        <f ca="1">IFERROR(SUMIFS('TRA balance'!AT$5:AT$40,'TRA balance'!$C$5:$C$40,Assumptions!$C73,'TRA balance'!$D$5:$D$40,Assumptions!$B73)*EN73*AW73,"")</f>
        <v/>
      </c>
      <c r="CT73" s="40" t="str">
        <f ca="1">IFERROR(SUMIFS('TRA balance'!AU$5:AU$40,'TRA balance'!$C$5:$C$40,Assumptions!$C73,'TRA balance'!$D$5:$D$40,Assumptions!$B73)*EO73*AX73,"")</f>
        <v/>
      </c>
      <c r="CU73" s="40" t="str">
        <f ca="1">IFERROR(SUMIFS('TRA balance'!AV$5:AV$40,'TRA balance'!$C$5:$C$40,Assumptions!$C73,'TRA balance'!$D$5:$D$40,Assumptions!$B73)*EP73*AY73,"")</f>
        <v/>
      </c>
      <c r="CV73" s="40" t="str">
        <f ca="1">IFERROR(SUMIFS('TRA balance'!AW$5:AW$40,'TRA balance'!$C$5:$C$40,Assumptions!$C73,'TRA balance'!$D$5:$D$40,Assumptions!$B73)*EQ73*AZ73,"")</f>
        <v/>
      </c>
      <c r="CW73" s="40" t="str">
        <f ca="1">IFERROR(SUMIFS('TRA balance'!AX$5:AX$40,'TRA balance'!$C$5:$C$40,Assumptions!$C73,'TRA balance'!$D$5:$D$40,Assumptions!$B73)*ER73*BA73,"")</f>
        <v/>
      </c>
      <c r="CY73" s="39">
        <f ca="1" t="shared" si="86"/>
        <v>1</v>
      </c>
      <c r="CZ73" s="39">
        <f ca="1" t="shared" si="87"/>
        <v>1</v>
      </c>
      <c r="DA73" s="39">
        <f ca="1" t="shared" si="88"/>
        <v>1</v>
      </c>
      <c r="DB73" s="39">
        <f ca="1" t="shared" si="89"/>
        <v>1</v>
      </c>
      <c r="DC73" s="39">
        <f ca="1" t="shared" si="90"/>
        <v>1</v>
      </c>
      <c r="DD73" s="39">
        <f ca="1" t="shared" si="91"/>
        <v>1</v>
      </c>
      <c r="DE73" s="39">
        <f ca="1" t="shared" si="92"/>
        <v>1</v>
      </c>
      <c r="DF73" s="39">
        <f ca="1" t="shared" si="93"/>
        <v>1</v>
      </c>
      <c r="DG73" s="39">
        <f ca="1" t="shared" si="94"/>
        <v>1</v>
      </c>
      <c r="DH73" s="39">
        <f ca="1" t="shared" si="95"/>
        <v>1</v>
      </c>
      <c r="DI73" s="39">
        <f ca="1" t="shared" si="96"/>
        <v>1</v>
      </c>
      <c r="DJ73" s="39">
        <f ca="1" t="shared" si="97"/>
        <v>1</v>
      </c>
      <c r="DK73" s="39">
        <f ca="1" t="shared" si="98"/>
        <v>1</v>
      </c>
      <c r="DL73" s="39">
        <f ca="1" t="shared" si="99"/>
        <v>1</v>
      </c>
      <c r="DM73" s="39">
        <f ca="1" t="shared" si="100"/>
        <v>1</v>
      </c>
      <c r="DN73" s="39">
        <f ca="1" t="shared" si="101"/>
        <v>1</v>
      </c>
      <c r="DO73" s="39">
        <f ca="1" t="shared" si="102"/>
        <v>1</v>
      </c>
      <c r="DP73" s="39">
        <f ca="1" t="shared" si="103"/>
        <v>1</v>
      </c>
      <c r="DQ73" s="39">
        <f ca="1" t="shared" si="104"/>
        <v>1</v>
      </c>
      <c r="DR73" s="39">
        <f ca="1" t="shared" si="105"/>
        <v>1</v>
      </c>
      <c r="DS73" s="39">
        <f ca="1" t="shared" si="106"/>
        <v>1</v>
      </c>
      <c r="DT73" s="39">
        <f ca="1" t="shared" si="107"/>
        <v>1</v>
      </c>
      <c r="DU73" s="39">
        <f ca="1" t="shared" si="108"/>
        <v>1</v>
      </c>
      <c r="DV73" s="39">
        <f ca="1" t="shared" si="109"/>
        <v>1</v>
      </c>
      <c r="DW73" s="39">
        <f ca="1" t="shared" si="110"/>
        <v>1</v>
      </c>
      <c r="DX73" s="39">
        <f ca="1" t="shared" si="111"/>
        <v>1</v>
      </c>
      <c r="DY73" s="39">
        <f ca="1" t="shared" si="112"/>
        <v>1</v>
      </c>
      <c r="DZ73" s="39">
        <f ca="1" t="shared" si="113"/>
        <v>1</v>
      </c>
      <c r="EA73" s="39">
        <f ca="1" t="shared" si="114"/>
        <v>1</v>
      </c>
      <c r="EB73" s="39">
        <f ca="1" t="shared" si="115"/>
        <v>1</v>
      </c>
      <c r="EC73" s="39">
        <f ca="1" t="shared" si="116"/>
        <v>1</v>
      </c>
      <c r="ED73" s="39">
        <f ca="1" t="shared" si="117"/>
        <v>1</v>
      </c>
      <c r="EE73" s="39">
        <f ca="1" t="shared" si="118"/>
        <v>1</v>
      </c>
      <c r="EF73" s="39">
        <f ca="1" t="shared" si="119"/>
        <v>1</v>
      </c>
      <c r="EG73" s="39">
        <f ca="1" t="shared" si="120"/>
        <v>1</v>
      </c>
      <c r="EH73" s="39">
        <f ca="1" t="shared" si="121"/>
        <v>1</v>
      </c>
      <c r="EI73" s="39">
        <f ca="1" t="shared" si="122"/>
        <v>1</v>
      </c>
      <c r="EJ73" s="39">
        <f ca="1" t="shared" si="123"/>
        <v>1</v>
      </c>
      <c r="EK73" s="39">
        <f ca="1" t="shared" si="124"/>
        <v>1</v>
      </c>
      <c r="EL73" s="39">
        <f ca="1" t="shared" si="125"/>
        <v>1</v>
      </c>
      <c r="EM73" s="39">
        <f ca="1" t="shared" si="126"/>
        <v>1</v>
      </c>
      <c r="EN73" s="39">
        <f ca="1" t="shared" si="127"/>
        <v>1</v>
      </c>
      <c r="EO73" s="39">
        <f ca="1" t="shared" si="128"/>
        <v>1</v>
      </c>
      <c r="EP73" s="39">
        <f ca="1" t="shared" si="129"/>
        <v>1</v>
      </c>
      <c r="EQ73" s="39">
        <f ca="1" t="shared" si="130"/>
        <v>1</v>
      </c>
      <c r="ER73" s="39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4" t="str">
        <f t="shared" si="133"/>
        <v>TT</v>
      </c>
      <c r="D74" s="55" t="s">
        <v>192</v>
      </c>
      <c r="E74" s="55" t="s">
        <v>193</v>
      </c>
      <c r="F74" s="56" t="str">
        <f t="shared" si="134"/>
        <v>Bio Diesel</v>
      </c>
      <c r="G74" s="54" t="s">
        <v>194</v>
      </c>
      <c r="H74" s="57">
        <f ca="1">OFFSET(TIAM15_assumptions!$G74,0,MATCH(VLOOKUP(Assumptions!H$2,TIAM15_assumptions!$Y$3:$Z$87,2,FALSE),TIAM15_assumptions!$H$2:$V$2,0))</f>
        <v>0.7</v>
      </c>
      <c r="I74" s="57">
        <f ca="1">OFFSET(TIAM15_assumptions!$G74,0,MATCH(VLOOKUP(Assumptions!I$2,TIAM15_assumptions!$Y$3:$Z$87,2,FALSE),TIAM15_assumptions!$H$2:$V$2,0))</f>
        <v>0.7</v>
      </c>
      <c r="J74" s="57">
        <f ca="1">OFFSET(TIAM15_assumptions!$G74,0,MATCH(VLOOKUP(Assumptions!J$2,TIAM15_assumptions!$Y$3:$Z$87,2,FALSE),TIAM15_assumptions!$H$2:$V$2,0))</f>
        <v>0.7</v>
      </c>
      <c r="K74" s="57">
        <f ca="1">OFFSET(TIAM15_assumptions!$G74,0,MATCH(VLOOKUP(Assumptions!K$2,TIAM15_assumptions!$Y$3:$Z$87,2,FALSE),TIAM15_assumptions!$H$2:$V$2,0))</f>
        <v>0.9</v>
      </c>
      <c r="L74" s="57">
        <f ca="1">OFFSET(TIAM15_assumptions!$G74,0,MATCH(VLOOKUP(Assumptions!L$2,TIAM15_assumptions!$Y$3:$Z$87,2,FALSE),TIAM15_assumptions!$H$2:$V$2,0))</f>
        <v>0.9</v>
      </c>
      <c r="M74" s="57">
        <f ca="1">OFFSET(TIAM15_assumptions!$G74,0,MATCH(VLOOKUP(Assumptions!M$2,TIAM15_assumptions!$Y$3:$Z$87,2,FALSE),TIAM15_assumptions!$H$2:$V$2,0))</f>
        <v>0.9</v>
      </c>
      <c r="N74" s="57">
        <f ca="1">OFFSET(TIAM15_assumptions!$G74,0,MATCH(VLOOKUP(Assumptions!N$2,TIAM15_assumptions!$Y$3:$Z$87,2,FALSE),TIAM15_assumptions!$H$2:$V$2,0))</f>
        <v>0.8</v>
      </c>
      <c r="O74" s="57">
        <f ca="1">OFFSET(TIAM15_assumptions!$G74,0,MATCH(VLOOKUP(Assumptions!O$2,TIAM15_assumptions!$Y$3:$Z$87,2,FALSE),TIAM15_assumptions!$H$2:$V$2,0))</f>
        <v>0.6</v>
      </c>
      <c r="P74" s="57">
        <f ca="1">OFFSET(TIAM15_assumptions!$G74,0,MATCH(VLOOKUP(Assumptions!P$2,TIAM15_assumptions!$Y$3:$Z$87,2,FALSE),TIAM15_assumptions!$H$2:$V$2,0))</f>
        <v>0.9</v>
      </c>
      <c r="Q74" s="57">
        <f ca="1">OFFSET(TIAM15_assumptions!$G74,0,MATCH(VLOOKUP(Assumptions!Q$2,TIAM15_assumptions!$Y$3:$Z$87,2,FALSE),TIAM15_assumptions!$H$2:$V$2,0))</f>
        <v>0.9</v>
      </c>
      <c r="R74" s="57">
        <f ca="1">OFFSET(TIAM15_assumptions!$G74,0,MATCH(VLOOKUP(Assumptions!R$2,TIAM15_assumptions!$Y$3:$Z$87,2,FALSE),TIAM15_assumptions!$H$2:$V$2,0))</f>
        <v>0.9</v>
      </c>
      <c r="S74" s="57">
        <f ca="1">OFFSET(TIAM15_assumptions!$G74,0,MATCH(VLOOKUP(Assumptions!S$2,TIAM15_assumptions!$Y$3:$Z$87,2,FALSE),TIAM15_assumptions!$H$2:$V$2,0))</f>
        <v>0.9</v>
      </c>
      <c r="T74" s="57">
        <f ca="1">OFFSET(TIAM15_assumptions!$G74,0,MATCH(VLOOKUP(Assumptions!T$2,TIAM15_assumptions!$Y$3:$Z$87,2,FALSE),TIAM15_assumptions!$H$2:$V$2,0))</f>
        <v>0.9</v>
      </c>
      <c r="U74" s="57">
        <f ca="1">OFFSET(TIAM15_assumptions!$G74,0,MATCH(VLOOKUP(Assumptions!U$2,TIAM15_assumptions!$Y$3:$Z$87,2,FALSE),TIAM15_assumptions!$H$2:$V$2,0))</f>
        <v>0.9</v>
      </c>
      <c r="V74" s="57">
        <f ca="1">OFFSET(TIAM15_assumptions!$G74,0,MATCH(VLOOKUP(Assumptions!V$2,TIAM15_assumptions!$Y$3:$Z$87,2,FALSE),TIAM15_assumptions!$H$2:$V$2,0))</f>
        <v>0.9</v>
      </c>
      <c r="W74" s="57">
        <f ca="1">OFFSET(TIAM15_assumptions!$G74,0,MATCH(VLOOKUP(Assumptions!W$2,TIAM15_assumptions!$Y$3:$Z$87,2,FALSE),TIAM15_assumptions!$H$2:$V$2,0))</f>
        <v>0.5</v>
      </c>
      <c r="X74" s="57">
        <f ca="1">OFFSET(TIAM15_assumptions!$G74,0,MATCH(VLOOKUP(Assumptions!X$2,TIAM15_assumptions!$Y$3:$Z$87,2,FALSE),TIAM15_assumptions!$H$2:$V$2,0))</f>
        <v>0.9</v>
      </c>
      <c r="Y74" s="57">
        <f ca="1">OFFSET(TIAM15_assumptions!$G74,0,MATCH(VLOOKUP(Assumptions!Y$2,TIAM15_assumptions!$Y$3:$Z$87,2,FALSE),TIAM15_assumptions!$H$2:$V$2,0))</f>
        <v>0.9</v>
      </c>
      <c r="Z74" s="57">
        <f ca="1">OFFSET(TIAM15_assumptions!$G74,0,MATCH(VLOOKUP(Assumptions!Z$2,TIAM15_assumptions!$Y$3:$Z$87,2,FALSE),TIAM15_assumptions!$H$2:$V$2,0))</f>
        <v>0.3</v>
      </c>
      <c r="AA74" s="57">
        <f ca="1">OFFSET(TIAM15_assumptions!$G74,0,MATCH(VLOOKUP(Assumptions!AA$2,TIAM15_assumptions!$Y$3:$Z$87,2,FALSE),TIAM15_assumptions!$H$2:$V$2,0))</f>
        <v>0.8</v>
      </c>
      <c r="AB74" s="57">
        <f ca="1">OFFSET(TIAM15_assumptions!$G74,0,MATCH(VLOOKUP(Assumptions!AB$2,TIAM15_assumptions!$Y$3:$Z$87,2,FALSE),TIAM15_assumptions!$H$2:$V$2,0))</f>
        <v>0.7</v>
      </c>
      <c r="AC74" s="57">
        <f ca="1">OFFSET(TIAM15_assumptions!$G74,0,MATCH(VLOOKUP(Assumptions!AC$2,TIAM15_assumptions!$Y$3:$Z$87,2,FALSE),TIAM15_assumptions!$H$2:$V$2,0))</f>
        <v>0.960321230917373</v>
      </c>
      <c r="AD74" s="57">
        <f ca="1">OFFSET(TIAM15_assumptions!$G74,0,MATCH(VLOOKUP(Assumptions!AD$2,TIAM15_assumptions!$Y$3:$Z$87,2,FALSE),TIAM15_assumptions!$H$2:$V$2,0))</f>
        <v>0.9</v>
      </c>
      <c r="AE74" s="57">
        <f ca="1">OFFSET(TIAM15_assumptions!$G74,0,MATCH(VLOOKUP(Assumptions!AE$2,TIAM15_assumptions!$Y$3:$Z$87,2,FALSE),TIAM15_assumptions!$H$2:$V$2,0))</f>
        <v>0.9</v>
      </c>
      <c r="AF74" s="57">
        <f ca="1">OFFSET(TIAM15_assumptions!$G74,0,MATCH(VLOOKUP(Assumptions!AF$2,TIAM15_assumptions!$Y$3:$Z$87,2,FALSE),TIAM15_assumptions!$H$2:$V$2,0))</f>
        <v>0.8</v>
      </c>
      <c r="AG74" s="57">
        <f ca="1">OFFSET(TIAM15_assumptions!$G74,0,MATCH(VLOOKUP(Assumptions!AG$2,TIAM15_assumptions!$Y$3:$Z$87,2,FALSE),TIAM15_assumptions!$H$2:$V$2,0))</f>
        <v>0.9</v>
      </c>
      <c r="AH74" s="57">
        <f ca="1">OFFSET(TIAM15_assumptions!$G74,0,MATCH(VLOOKUP(Assumptions!AH$2,TIAM15_assumptions!$Y$3:$Z$87,2,FALSE),TIAM15_assumptions!$H$2:$V$2,0))</f>
        <v>0.7</v>
      </c>
      <c r="AI74" s="57">
        <f ca="1">OFFSET(TIAM15_assumptions!$G74,0,MATCH(VLOOKUP(Assumptions!AI$2,TIAM15_assumptions!$Y$3:$Z$87,2,FALSE),TIAM15_assumptions!$H$2:$V$2,0))</f>
        <v>0.7</v>
      </c>
      <c r="AJ74" s="57">
        <f ca="1">OFFSET(TIAM15_assumptions!$G74,0,MATCH(VLOOKUP(Assumptions!AJ$2,TIAM15_assumptions!$Y$3:$Z$87,2,FALSE),TIAM15_assumptions!$H$2:$V$2,0))</f>
        <v>0.9</v>
      </c>
      <c r="AK74" s="57">
        <f ca="1">OFFSET(TIAM15_assumptions!$G74,0,MATCH(VLOOKUP(Assumptions!AK$2,TIAM15_assumptions!$Y$3:$Z$87,2,FALSE),TIAM15_assumptions!$H$2:$V$2,0))</f>
        <v>0.9</v>
      </c>
      <c r="AL74" s="57">
        <f ca="1">OFFSET(TIAM15_assumptions!$G74,0,MATCH(VLOOKUP(Assumptions!AL$2,TIAM15_assumptions!$Y$3:$Z$87,2,FALSE),TIAM15_assumptions!$H$2:$V$2,0))</f>
        <v>0.9</v>
      </c>
      <c r="AM74" s="57">
        <f ca="1">OFFSET(TIAM15_assumptions!$G74,0,MATCH(VLOOKUP(Assumptions!AM$2,TIAM15_assumptions!$Y$3:$Z$87,2,FALSE),TIAM15_assumptions!$H$2:$V$2,0))</f>
        <v>0.7</v>
      </c>
      <c r="AN74" s="57">
        <f ca="1">OFFSET(TIAM15_assumptions!$G74,0,MATCH(VLOOKUP(Assumptions!AN$2,TIAM15_assumptions!$Y$3:$Z$87,2,FALSE),TIAM15_assumptions!$H$2:$V$2,0))</f>
        <v>0.9</v>
      </c>
      <c r="AO74" s="57">
        <f ca="1">OFFSET(TIAM15_assumptions!$G74,0,MATCH(VLOOKUP(Assumptions!AO$2,TIAM15_assumptions!$Y$3:$Z$87,2,FALSE),TIAM15_assumptions!$H$2:$V$2,0))</f>
        <v>0.9</v>
      </c>
      <c r="AP74" s="57">
        <f ca="1">OFFSET(TIAM15_assumptions!$G74,0,MATCH(VLOOKUP(Assumptions!AP$2,TIAM15_assumptions!$Y$3:$Z$87,2,FALSE),TIAM15_assumptions!$H$2:$V$2,0))</f>
        <v>0.9</v>
      </c>
      <c r="AQ74" s="57">
        <f ca="1">OFFSET(TIAM15_assumptions!$G74,0,MATCH(VLOOKUP(Assumptions!AQ$2,TIAM15_assumptions!$Y$3:$Z$87,2,FALSE),TIAM15_assumptions!$H$2:$V$2,0))</f>
        <v>0.960321230917373</v>
      </c>
      <c r="AR74" s="57">
        <f ca="1">OFFSET(TIAM15_assumptions!$G74,0,MATCH(VLOOKUP(Assumptions!AR$2,TIAM15_assumptions!$Y$3:$Z$87,2,FALSE),TIAM15_assumptions!$H$2:$V$2,0))</f>
        <v>0.960321230917373</v>
      </c>
      <c r="AS74" s="57">
        <f ca="1">OFFSET(TIAM15_assumptions!$G74,0,MATCH(VLOOKUP(Assumptions!AS$2,TIAM15_assumptions!$Y$3:$Z$87,2,FALSE),TIAM15_assumptions!$H$2:$V$2,0))</f>
        <v>0.960321230917373</v>
      </c>
      <c r="AT74" s="57">
        <f ca="1">OFFSET(TIAM15_assumptions!$G74,0,MATCH(VLOOKUP(Assumptions!AT$2,TIAM15_assumptions!$Y$3:$Z$87,2,FALSE),TIAM15_assumptions!$H$2:$V$2,0))</f>
        <v>0.960321230917373</v>
      </c>
      <c r="AU74" s="57">
        <f ca="1">OFFSET(TIAM15_assumptions!$G74,0,MATCH(VLOOKUP(Assumptions!AU$2,TIAM15_assumptions!$Y$3:$Z$87,2,FALSE),TIAM15_assumptions!$H$2:$V$2,0))</f>
        <v>0.960321230917373</v>
      </c>
      <c r="AV74" s="57">
        <f ca="1">OFFSET(TIAM15_assumptions!$G74,0,MATCH(VLOOKUP(Assumptions!AV$2,TIAM15_assumptions!$Y$3:$Z$87,2,FALSE),TIAM15_assumptions!$H$2:$V$2,0))</f>
        <v>0.960321230917373</v>
      </c>
      <c r="AW74" s="57">
        <f ca="1">OFFSET(TIAM15_assumptions!$G74,0,MATCH(VLOOKUP(Assumptions!AW$2,TIAM15_assumptions!$Y$3:$Z$87,2,FALSE),TIAM15_assumptions!$H$2:$V$2,0))</f>
        <v>0.960321230917373</v>
      </c>
      <c r="AX74" s="57">
        <f ca="1">OFFSET(TIAM15_assumptions!$G74,0,MATCH(VLOOKUP(Assumptions!AX$2,TIAM15_assumptions!$Y$3:$Z$87,2,FALSE),TIAM15_assumptions!$H$2:$V$2,0))</f>
        <v>0.960321230917373</v>
      </c>
      <c r="AY74" s="57">
        <f ca="1">OFFSET(TIAM15_assumptions!$G74,0,MATCH(VLOOKUP(Assumptions!AY$2,TIAM15_assumptions!$Y$3:$Z$87,2,FALSE),TIAM15_assumptions!$H$2:$V$2,0))</f>
        <v>0.960321230917373</v>
      </c>
      <c r="AZ74" s="57">
        <f ca="1">OFFSET(TIAM15_assumptions!$G74,0,MATCH(VLOOKUP(Assumptions!AZ$2,TIAM15_assumptions!$Y$3:$Z$87,2,FALSE),TIAM15_assumptions!$H$2:$V$2,0))</f>
        <v>0.960321230917373</v>
      </c>
      <c r="BA74" s="57">
        <f ca="1">OFFSET(TIAM15_assumptions!$G74,0,MATCH(VLOOKUP(Assumptions!BA$2,TIAM15_assumptions!$Y$3:$Z$87,2,FALSE),TIAM15_assumptions!$H$2:$V$2,0))</f>
        <v>0.960321230917373</v>
      </c>
      <c r="BD74" s="40">
        <f ca="1">IFERROR(SUMIFS('TRA balance'!E$5:E$40,'TRA balance'!$C$5:$C$40,Assumptions!$C74,'TRA balance'!$D$5:$D$40,Assumptions!$B74)*CY74*H74,"")</f>
        <v>0</v>
      </c>
      <c r="BE74" s="40">
        <f ca="1">IFERROR(SUMIFS('TRA balance'!F$5:F$40,'TRA balance'!$C$5:$C$40,Assumptions!$C74,'TRA balance'!$D$5:$D$40,Assumptions!$B74)*CZ74*I74,"")</f>
        <v>0</v>
      </c>
      <c r="BF74" s="40">
        <f ca="1">IFERROR(SUMIFS('TRA balance'!G$5:G$40,'TRA balance'!$C$5:$C$40,Assumptions!$C74,'TRA balance'!$D$5:$D$40,Assumptions!$B74)*DA74*J74,"")</f>
        <v>0</v>
      </c>
      <c r="BG74" s="40">
        <f ca="1">IFERROR(SUMIFS('TRA balance'!H$5:H$40,'TRA balance'!$C$5:$C$40,Assumptions!$C74,'TRA balance'!$D$5:$D$40,Assumptions!$B74)*DB74*K74,"")</f>
        <v>0.06931079928</v>
      </c>
      <c r="BH74" s="40">
        <f ca="1">IFERROR(SUMIFS('TRA balance'!I$5:I$40,'TRA balance'!$C$5:$C$40,Assumptions!$C74,'TRA balance'!$D$5:$D$40,Assumptions!$B74)*DC74*L74,"")</f>
        <v>0.1155493998</v>
      </c>
      <c r="BI74" s="40">
        <f ca="1">IFERROR(SUMIFS('TRA balance'!J$5:J$40,'TRA balance'!$C$5:$C$40,Assumptions!$C74,'TRA balance'!$D$5:$D$40,Assumptions!$B74)*DD74*M74,"")</f>
        <v>0.06241137156</v>
      </c>
      <c r="BJ74" s="40">
        <f ca="1">IFERROR(SUMIFS('TRA balance'!K$5:K$40,'TRA balance'!$C$5:$C$40,Assumptions!$C74,'TRA balance'!$D$5:$D$40,Assumptions!$B74)*DE74*N74,"")</f>
        <v>3.51382716576</v>
      </c>
      <c r="BK74" s="40">
        <f ca="1">IFERROR(SUMIFS('TRA balance'!L$5:L$40,'TRA balance'!$C$5:$C$40,Assumptions!$C74,'TRA balance'!$D$5:$D$40,Assumptions!$B74)*DF74*O74,"")</f>
        <v>0</v>
      </c>
      <c r="BL74" s="40">
        <f ca="1">IFERROR(SUMIFS('TRA balance'!M$5:M$40,'TRA balance'!$C$5:$C$40,Assumptions!$C74,'TRA balance'!$D$5:$D$40,Assumptions!$B74)*DG74*P74,"")</f>
        <v>0</v>
      </c>
      <c r="BM74" s="40">
        <f ca="1">IFERROR(SUMIFS('TRA balance'!N$5:N$40,'TRA balance'!$C$5:$C$40,Assumptions!$C74,'TRA balance'!$D$5:$D$40,Assumptions!$B74)*DH74*Q74,"")</f>
        <v>0.16649815032</v>
      </c>
      <c r="BN74" s="40">
        <f ca="1">IFERROR(SUMIFS('TRA balance'!O$5:O$40,'TRA balance'!$C$5:$C$40,Assumptions!$C74,'TRA balance'!$D$5:$D$40,Assumptions!$B74)*DI74*R74,"")</f>
        <v>0.30773859228</v>
      </c>
      <c r="BO74" s="40">
        <f ca="1">IFERROR(SUMIFS('TRA balance'!P$5:P$40,'TRA balance'!$C$5:$C$40,Assumptions!$C74,'TRA balance'!$D$5:$D$40,Assumptions!$B74)*DJ74*S74,"")</f>
        <v>0.53435332908</v>
      </c>
      <c r="BP74" s="40">
        <f ca="1">IFERROR(SUMIFS('TRA balance'!Q$5:Q$40,'TRA balance'!$C$5:$C$40,Assumptions!$C74,'TRA balance'!$D$5:$D$40,Assumptions!$B74)*DK74*T74,"")</f>
        <v>0</v>
      </c>
      <c r="BQ74" s="40">
        <f ca="1">IFERROR(SUMIFS('TRA balance'!R$5:R$40,'TRA balance'!$C$5:$C$40,Assumptions!$C74,'TRA balance'!$D$5:$D$40,Assumptions!$B74)*DL74*U74,"")</f>
        <v>0</v>
      </c>
      <c r="BR74" s="40">
        <f ca="1">IFERROR(SUMIFS('TRA balance'!S$5:S$40,'TRA balance'!$C$5:$C$40,Assumptions!$C74,'TRA balance'!$D$5:$D$40,Assumptions!$B74)*DM74*V74,"")</f>
        <v>0</v>
      </c>
      <c r="BS74" s="40">
        <f ca="1">IFERROR(SUMIFS('TRA balance'!T$5:T$40,'TRA balance'!$C$5:$C$40,Assumptions!$C74,'TRA balance'!$D$5:$D$40,Assumptions!$B74)*DN74*W74,"")</f>
        <v>0</v>
      </c>
      <c r="BT74" s="40">
        <f ca="1">IFERROR(SUMIFS('TRA balance'!U$5:U$40,'TRA balance'!$C$5:$C$40,Assumptions!$C74,'TRA balance'!$D$5:$D$40,Assumptions!$B74)*DO74*X74,"")</f>
        <v>0</v>
      </c>
      <c r="BU74" s="40">
        <f ca="1">IFERROR(SUMIFS('TRA balance'!V$5:V$40,'TRA balance'!$C$5:$C$40,Assumptions!$C74,'TRA balance'!$D$5:$D$40,Assumptions!$B74)*DP74*Y74,"")</f>
        <v>0</v>
      </c>
      <c r="BV74" s="40">
        <f ca="1">IFERROR(SUMIFS('TRA balance'!W$5:W$40,'TRA balance'!$C$5:$C$40,Assumptions!$C74,'TRA balance'!$D$5:$D$40,Assumptions!$B74)*DQ74*Z74,"")</f>
        <v>0</v>
      </c>
      <c r="BW74" s="40">
        <f ca="1">IFERROR(SUMIFS('TRA balance'!X$5:X$40,'TRA balance'!$C$5:$C$40,Assumptions!$C74,'TRA balance'!$D$5:$D$40,Assumptions!$B74)*DR74*AA74,"")</f>
        <v>0</v>
      </c>
      <c r="BX74" s="40">
        <f ca="1">IFERROR(SUMIFS('TRA balance'!Y$5:Y$40,'TRA balance'!$C$5:$C$40,Assumptions!$C74,'TRA balance'!$D$5:$D$40,Assumptions!$B74)*DS74*AB74,"")</f>
        <v>0</v>
      </c>
      <c r="BY74" s="40">
        <f ca="1">IFERROR(SUMIFS('TRA balance'!Z$5:Z$40,'TRA balance'!$C$5:$C$40,Assumptions!$C74,'TRA balance'!$D$5:$D$40,Assumptions!$B74)*DT74*AC74,"")</f>
        <v>16.5262000872654</v>
      </c>
      <c r="BZ74" s="40">
        <f ca="1">IFERROR(SUMIFS('TRA balance'!AA$5:AA$40,'TRA balance'!$C$5:$C$40,Assumptions!$C74,'TRA balance'!$D$5:$D$40,Assumptions!$B74)*DU74*AD74,"")</f>
        <v>0</v>
      </c>
      <c r="CA74" s="40">
        <f ca="1">IFERROR(SUMIFS('TRA balance'!AB$5:AB$40,'TRA balance'!$C$5:$C$40,Assumptions!$C74,'TRA balance'!$D$5:$D$40,Assumptions!$B74)*DV74*AE74,"")</f>
        <v>0</v>
      </c>
      <c r="CB74" s="40">
        <f ca="1">IFERROR(SUMIFS('TRA balance'!AC$5:AC$40,'TRA balance'!$C$5:$C$40,Assumptions!$C74,'TRA balance'!$D$5:$D$40,Assumptions!$B74)*DW74*AF74,"")</f>
        <v>0.00100818144</v>
      </c>
      <c r="CC74" s="40">
        <f ca="1">IFERROR(SUMIFS('TRA balance'!AD$5:AD$40,'TRA balance'!$C$5:$C$40,Assumptions!$C74,'TRA balance'!$D$5:$D$40,Assumptions!$B74)*DX74*AG74,"")</f>
        <v>0</v>
      </c>
      <c r="CD74" s="40">
        <f ca="1">IFERROR(SUMIFS('TRA balance'!AE$5:AE$40,'TRA balance'!$C$5:$C$40,Assumptions!$C74,'TRA balance'!$D$5:$D$40,Assumptions!$B74)*DY74*AH74,"")</f>
        <v>0</v>
      </c>
      <c r="CE74" s="40">
        <f ca="1">IFERROR(SUMIFS('TRA balance'!AF$5:AF$40,'TRA balance'!$C$5:$C$40,Assumptions!$C74,'TRA balance'!$D$5:$D$40,Assumptions!$B74)*DZ74*AI74,"")</f>
        <v>0</v>
      </c>
      <c r="CF74" s="40">
        <f ca="1">IFERROR(SUMIFS('TRA balance'!AG$5:AG$40,'TRA balance'!$C$5:$C$40,Assumptions!$C74,'TRA balance'!$D$5:$D$40,Assumptions!$B74)*EA74*AJ74,"")</f>
        <v>0</v>
      </c>
      <c r="CG74" s="40">
        <f ca="1">IFERROR(SUMIFS('TRA balance'!AH$5:AH$40,'TRA balance'!$C$5:$C$40,Assumptions!$C74,'TRA balance'!$D$5:$D$40,Assumptions!$B74)*EB74*AK74,"")</f>
        <v>0</v>
      </c>
      <c r="CH74" s="40">
        <f ca="1">IFERROR(SUMIFS('TRA balance'!AI$5:AI$40,'TRA balance'!$C$5:$C$40,Assumptions!$C74,'TRA balance'!$D$5:$D$40,Assumptions!$B74)*EC74*AL74,"")</f>
        <v>0.01168494012</v>
      </c>
      <c r="CI74" s="40">
        <f ca="1">IFERROR(SUMIFS('TRA balance'!AJ$5:AJ$40,'TRA balance'!$C$5:$C$40,Assumptions!$C74,'TRA balance'!$D$5:$D$40,Assumptions!$B74)*ED74*AM74,"")</f>
        <v>0</v>
      </c>
      <c r="CJ74" s="40">
        <f ca="1">IFERROR(SUMIFS('TRA balance'!AK$5:AK$40,'TRA balance'!$C$5:$C$40,Assumptions!$C74,'TRA balance'!$D$5:$D$40,Assumptions!$B74)*EE74*AN74,"")</f>
        <v>0</v>
      </c>
      <c r="CK74" s="40">
        <f ca="1">IFERROR(SUMIFS('TRA balance'!AL$5:AL$40,'TRA balance'!$C$5:$C$40,Assumptions!$C74,'TRA balance'!$D$5:$D$40,Assumptions!$B74)*EF74*AO74,"")</f>
        <v>0</v>
      </c>
      <c r="CL74" s="40">
        <f ca="1">IFERROR(SUMIFS('TRA balance'!AM$5:AM$40,'TRA balance'!$C$5:$C$40,Assumptions!$C74,'TRA balance'!$D$5:$D$40,Assumptions!$B74)*EG74*AP74,"")</f>
        <v>0</v>
      </c>
      <c r="CM74" s="40">
        <f ca="1">IFERROR(SUMIFS('TRA balance'!AN$5:AN$40,'TRA balance'!$C$5:$C$40,Assumptions!$C74,'TRA balance'!$D$5:$D$40,Assumptions!$B74)*EH74*AQ74,"")</f>
        <v>0</v>
      </c>
      <c r="CN74" s="40">
        <f ca="1">IFERROR(SUMIFS('TRA balance'!AO$5:AO$40,'TRA balance'!$C$5:$C$40,Assumptions!$C74,'TRA balance'!$D$5:$D$40,Assumptions!$B74)*EI74*AR74,"")</f>
        <v>0</v>
      </c>
      <c r="CO74" s="40">
        <f ca="1">IFERROR(SUMIFS('TRA balance'!AP$5:AP$40,'TRA balance'!$C$5:$C$40,Assumptions!$C74,'TRA balance'!$D$5:$D$40,Assumptions!$B74)*EJ74*AS74,"")</f>
        <v>0</v>
      </c>
      <c r="CP74" s="40">
        <f ca="1">IFERROR(SUMIFS('TRA balance'!AQ$5:AQ$40,'TRA balance'!$C$5:$C$40,Assumptions!$C74,'TRA balance'!$D$5:$D$40,Assumptions!$B74)*EK74*AT74,"")</f>
        <v>0</v>
      </c>
      <c r="CQ74" s="40">
        <f ca="1">IFERROR(SUMIFS('TRA balance'!AR$5:AR$40,'TRA balance'!$C$5:$C$40,Assumptions!$C74,'TRA balance'!$D$5:$D$40,Assumptions!$B74)*EL74*AU74,"")</f>
        <v>0</v>
      </c>
      <c r="CR74" s="40">
        <f ca="1">IFERROR(SUMIFS('TRA balance'!AS$5:AS$40,'TRA balance'!$C$5:$C$40,Assumptions!$C74,'TRA balance'!$D$5:$D$40,Assumptions!$B74)*EM74*AV74,"")</f>
        <v>0</v>
      </c>
      <c r="CS74" s="40">
        <f ca="1">IFERROR(SUMIFS('TRA balance'!AT$5:AT$40,'TRA balance'!$C$5:$C$40,Assumptions!$C74,'TRA balance'!$D$5:$D$40,Assumptions!$B74)*EN74*AW74,"")</f>
        <v>0</v>
      </c>
      <c r="CT74" s="40">
        <f ca="1">IFERROR(SUMIFS('TRA balance'!AU$5:AU$40,'TRA balance'!$C$5:$C$40,Assumptions!$C74,'TRA balance'!$D$5:$D$40,Assumptions!$B74)*EO74*AX74,"")</f>
        <v>0</v>
      </c>
      <c r="CU74" s="40">
        <f ca="1">IFERROR(SUMIFS('TRA balance'!AV$5:AV$40,'TRA balance'!$C$5:$C$40,Assumptions!$C74,'TRA balance'!$D$5:$D$40,Assumptions!$B74)*EP74*AY74,"")</f>
        <v>0</v>
      </c>
      <c r="CV74" s="40">
        <f ca="1">IFERROR(SUMIFS('TRA balance'!AW$5:AW$40,'TRA balance'!$C$5:$C$40,Assumptions!$C74,'TRA balance'!$D$5:$D$40,Assumptions!$B74)*EQ74*AZ74,"")</f>
        <v>0</v>
      </c>
      <c r="CW74" s="40">
        <f ca="1">IFERROR(SUMIFS('TRA balance'!AX$5:AX$40,'TRA balance'!$C$5:$C$40,Assumptions!$C74,'TRA balance'!$D$5:$D$40,Assumptions!$B74)*ER74*BA74,"")</f>
        <v>0</v>
      </c>
      <c r="CY74" s="39">
        <f ca="1" t="shared" si="86"/>
        <v>1</v>
      </c>
      <c r="CZ74" s="39">
        <f ca="1" t="shared" si="87"/>
        <v>1</v>
      </c>
      <c r="DA74" s="39">
        <f ca="1" t="shared" si="88"/>
        <v>1</v>
      </c>
      <c r="DB74" s="39">
        <f ca="1" t="shared" si="89"/>
        <v>1</v>
      </c>
      <c r="DC74" s="39">
        <f ca="1" t="shared" si="90"/>
        <v>1</v>
      </c>
      <c r="DD74" s="39">
        <f ca="1" t="shared" si="91"/>
        <v>1</v>
      </c>
      <c r="DE74" s="39">
        <f ca="1" t="shared" si="92"/>
        <v>1</v>
      </c>
      <c r="DF74" s="39">
        <f ca="1" t="shared" si="93"/>
        <v>1</v>
      </c>
      <c r="DG74" s="39">
        <f ca="1" t="shared" si="94"/>
        <v>1</v>
      </c>
      <c r="DH74" s="39">
        <f ca="1" t="shared" si="95"/>
        <v>1</v>
      </c>
      <c r="DI74" s="39">
        <f ca="1" t="shared" si="96"/>
        <v>1</v>
      </c>
      <c r="DJ74" s="39">
        <f ca="1" t="shared" si="97"/>
        <v>1</v>
      </c>
      <c r="DK74" s="39">
        <f ca="1" t="shared" si="98"/>
        <v>1</v>
      </c>
      <c r="DL74" s="39">
        <f ca="1" t="shared" si="99"/>
        <v>1</v>
      </c>
      <c r="DM74" s="39">
        <f ca="1" t="shared" si="100"/>
        <v>1</v>
      </c>
      <c r="DN74" s="39">
        <f ca="1" t="shared" si="101"/>
        <v>1</v>
      </c>
      <c r="DO74" s="39">
        <f ca="1" t="shared" si="102"/>
        <v>1</v>
      </c>
      <c r="DP74" s="39">
        <f ca="1" t="shared" si="103"/>
        <v>1</v>
      </c>
      <c r="DQ74" s="39">
        <f ca="1" t="shared" si="104"/>
        <v>1</v>
      </c>
      <c r="DR74" s="39">
        <f ca="1" t="shared" si="105"/>
        <v>1</v>
      </c>
      <c r="DS74" s="39">
        <f ca="1" t="shared" si="106"/>
        <v>1</v>
      </c>
      <c r="DT74" s="39">
        <f ca="1" t="shared" si="107"/>
        <v>1</v>
      </c>
      <c r="DU74" s="39">
        <f ca="1" t="shared" si="108"/>
        <v>1</v>
      </c>
      <c r="DV74" s="39">
        <f ca="1" t="shared" si="109"/>
        <v>1</v>
      </c>
      <c r="DW74" s="39">
        <f ca="1" t="shared" si="110"/>
        <v>1</v>
      </c>
      <c r="DX74" s="39">
        <f ca="1" t="shared" si="111"/>
        <v>1</v>
      </c>
      <c r="DY74" s="39">
        <f ca="1" t="shared" si="112"/>
        <v>1</v>
      </c>
      <c r="DZ74" s="39">
        <f ca="1" t="shared" si="113"/>
        <v>1</v>
      </c>
      <c r="EA74" s="39">
        <f ca="1" t="shared" si="114"/>
        <v>1</v>
      </c>
      <c r="EB74" s="39">
        <f ca="1" t="shared" si="115"/>
        <v>1</v>
      </c>
      <c r="EC74" s="39">
        <f ca="1" t="shared" si="116"/>
        <v>1</v>
      </c>
      <c r="ED74" s="39">
        <f ca="1" t="shared" si="117"/>
        <v>1</v>
      </c>
      <c r="EE74" s="39">
        <f ca="1" t="shared" si="118"/>
        <v>1</v>
      </c>
      <c r="EF74" s="39">
        <f ca="1" t="shared" si="119"/>
        <v>1</v>
      </c>
      <c r="EG74" s="39">
        <f ca="1" t="shared" si="120"/>
        <v>1</v>
      </c>
      <c r="EH74" s="39">
        <f ca="1" t="shared" si="121"/>
        <v>1</v>
      </c>
      <c r="EI74" s="39">
        <f ca="1" t="shared" si="122"/>
        <v>1</v>
      </c>
      <c r="EJ74" s="39">
        <f ca="1" t="shared" si="123"/>
        <v>1</v>
      </c>
      <c r="EK74" s="39">
        <f ca="1" t="shared" si="124"/>
        <v>1</v>
      </c>
      <c r="EL74" s="39">
        <f ca="1" t="shared" si="125"/>
        <v>1</v>
      </c>
      <c r="EM74" s="39">
        <f ca="1" t="shared" si="126"/>
        <v>1</v>
      </c>
      <c r="EN74" s="39">
        <f ca="1" t="shared" si="127"/>
        <v>1</v>
      </c>
      <c r="EO74" s="39">
        <f ca="1" t="shared" si="128"/>
        <v>1</v>
      </c>
      <c r="EP74" s="39">
        <f ca="1" t="shared" si="129"/>
        <v>1</v>
      </c>
      <c r="EQ74" s="39">
        <f ca="1" t="shared" si="130"/>
        <v>1</v>
      </c>
      <c r="ER74" s="39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4" t="str">
        <f t="shared" si="133"/>
        <v>TT</v>
      </c>
      <c r="D75" s="55" t="s">
        <v>192</v>
      </c>
      <c r="E75" s="55" t="s">
        <v>197</v>
      </c>
      <c r="F75" s="56" t="str">
        <f t="shared" si="134"/>
        <v>Bio Diesel</v>
      </c>
      <c r="G75" s="54" t="s">
        <v>198</v>
      </c>
      <c r="H75" s="57">
        <f ca="1">OFFSET(TIAM15_assumptions!$G75,0,MATCH(VLOOKUP(Assumptions!H$2,TIAM15_assumptions!$Y$3:$Z$87,2,FALSE),TIAM15_assumptions!$H$2:$V$2,0))</f>
        <v>0.3</v>
      </c>
      <c r="I75" s="57">
        <f ca="1">OFFSET(TIAM15_assumptions!$G75,0,MATCH(VLOOKUP(Assumptions!I$2,TIAM15_assumptions!$Y$3:$Z$87,2,FALSE),TIAM15_assumptions!$H$2:$V$2,0))</f>
        <v>0.3</v>
      </c>
      <c r="J75" s="57">
        <f ca="1">OFFSET(TIAM15_assumptions!$G75,0,MATCH(VLOOKUP(Assumptions!J$2,TIAM15_assumptions!$Y$3:$Z$87,2,FALSE),TIAM15_assumptions!$H$2:$V$2,0))</f>
        <v>0.3</v>
      </c>
      <c r="K75" s="57">
        <f ca="1">OFFSET(TIAM15_assumptions!$G75,0,MATCH(VLOOKUP(Assumptions!K$2,TIAM15_assumptions!$Y$3:$Z$87,2,FALSE),TIAM15_assumptions!$H$2:$V$2,0))</f>
        <v>0.1</v>
      </c>
      <c r="L75" s="57">
        <f ca="1">OFFSET(TIAM15_assumptions!$G75,0,MATCH(VLOOKUP(Assumptions!L$2,TIAM15_assumptions!$Y$3:$Z$87,2,FALSE),TIAM15_assumptions!$H$2:$V$2,0))</f>
        <v>0.1</v>
      </c>
      <c r="M75" s="57">
        <f ca="1">OFFSET(TIAM15_assumptions!$G75,0,MATCH(VLOOKUP(Assumptions!M$2,TIAM15_assumptions!$Y$3:$Z$87,2,FALSE),TIAM15_assumptions!$H$2:$V$2,0))</f>
        <v>0.1</v>
      </c>
      <c r="N75" s="57">
        <f ca="1">OFFSET(TIAM15_assumptions!$G75,0,MATCH(VLOOKUP(Assumptions!N$2,TIAM15_assumptions!$Y$3:$Z$87,2,FALSE),TIAM15_assumptions!$H$2:$V$2,0))</f>
        <v>0.2</v>
      </c>
      <c r="O75" s="57">
        <f ca="1">OFFSET(TIAM15_assumptions!$G75,0,MATCH(VLOOKUP(Assumptions!O$2,TIAM15_assumptions!$Y$3:$Z$87,2,FALSE),TIAM15_assumptions!$H$2:$V$2,0))</f>
        <v>0.4</v>
      </c>
      <c r="P75" s="57">
        <f ca="1">OFFSET(TIAM15_assumptions!$G75,0,MATCH(VLOOKUP(Assumptions!P$2,TIAM15_assumptions!$Y$3:$Z$87,2,FALSE),TIAM15_assumptions!$H$2:$V$2,0))</f>
        <v>0.1</v>
      </c>
      <c r="Q75" s="57">
        <f ca="1">OFFSET(TIAM15_assumptions!$G75,0,MATCH(VLOOKUP(Assumptions!Q$2,TIAM15_assumptions!$Y$3:$Z$87,2,FALSE),TIAM15_assumptions!$H$2:$V$2,0))</f>
        <v>0.1</v>
      </c>
      <c r="R75" s="57">
        <f ca="1">OFFSET(TIAM15_assumptions!$G75,0,MATCH(VLOOKUP(Assumptions!R$2,TIAM15_assumptions!$Y$3:$Z$87,2,FALSE),TIAM15_assumptions!$H$2:$V$2,0))</f>
        <v>0.1</v>
      </c>
      <c r="S75" s="57">
        <f ca="1">OFFSET(TIAM15_assumptions!$G75,0,MATCH(VLOOKUP(Assumptions!S$2,TIAM15_assumptions!$Y$3:$Z$87,2,FALSE),TIAM15_assumptions!$H$2:$V$2,0))</f>
        <v>0.1</v>
      </c>
      <c r="T75" s="57">
        <f ca="1">OFFSET(TIAM15_assumptions!$G75,0,MATCH(VLOOKUP(Assumptions!T$2,TIAM15_assumptions!$Y$3:$Z$87,2,FALSE),TIAM15_assumptions!$H$2:$V$2,0))</f>
        <v>0.1</v>
      </c>
      <c r="U75" s="57">
        <f ca="1">OFFSET(TIAM15_assumptions!$G75,0,MATCH(VLOOKUP(Assumptions!U$2,TIAM15_assumptions!$Y$3:$Z$87,2,FALSE),TIAM15_assumptions!$H$2:$V$2,0))</f>
        <v>0.1</v>
      </c>
      <c r="V75" s="57">
        <f ca="1">OFFSET(TIAM15_assumptions!$G75,0,MATCH(VLOOKUP(Assumptions!V$2,TIAM15_assumptions!$Y$3:$Z$87,2,FALSE),TIAM15_assumptions!$H$2:$V$2,0))</f>
        <v>0.1</v>
      </c>
      <c r="W75" s="57">
        <f ca="1">OFFSET(TIAM15_assumptions!$G75,0,MATCH(VLOOKUP(Assumptions!W$2,TIAM15_assumptions!$Y$3:$Z$87,2,FALSE),TIAM15_assumptions!$H$2:$V$2,0))</f>
        <v>0.5</v>
      </c>
      <c r="X75" s="57">
        <f ca="1">OFFSET(TIAM15_assumptions!$G75,0,MATCH(VLOOKUP(Assumptions!X$2,TIAM15_assumptions!$Y$3:$Z$87,2,FALSE),TIAM15_assumptions!$H$2:$V$2,0))</f>
        <v>0.1</v>
      </c>
      <c r="Y75" s="57">
        <f ca="1">OFFSET(TIAM15_assumptions!$G75,0,MATCH(VLOOKUP(Assumptions!Y$2,TIAM15_assumptions!$Y$3:$Z$87,2,FALSE),TIAM15_assumptions!$H$2:$V$2,0))</f>
        <v>0.1</v>
      </c>
      <c r="Z75" s="57">
        <f ca="1">OFFSET(TIAM15_assumptions!$G75,0,MATCH(VLOOKUP(Assumptions!Z$2,TIAM15_assumptions!$Y$3:$Z$87,2,FALSE),TIAM15_assumptions!$H$2:$V$2,0))</f>
        <v>0.7</v>
      </c>
      <c r="AA75" s="57">
        <f ca="1">OFFSET(TIAM15_assumptions!$G75,0,MATCH(VLOOKUP(Assumptions!AA$2,TIAM15_assumptions!$Y$3:$Z$87,2,FALSE),TIAM15_assumptions!$H$2:$V$2,0))</f>
        <v>0.2</v>
      </c>
      <c r="AB75" s="57">
        <f ca="1">OFFSET(TIAM15_assumptions!$G75,0,MATCH(VLOOKUP(Assumptions!AB$2,TIAM15_assumptions!$Y$3:$Z$87,2,FALSE),TIAM15_assumptions!$H$2:$V$2,0))</f>
        <v>0.3</v>
      </c>
      <c r="AC75" s="57">
        <f ca="1">OFFSET(TIAM15_assumptions!$G75,0,MATCH(VLOOKUP(Assumptions!AC$2,TIAM15_assumptions!$Y$3:$Z$87,2,FALSE),TIAM15_assumptions!$H$2:$V$2,0))</f>
        <v>0.0396787690826272</v>
      </c>
      <c r="AD75" s="57">
        <f ca="1">OFFSET(TIAM15_assumptions!$G75,0,MATCH(VLOOKUP(Assumptions!AD$2,TIAM15_assumptions!$Y$3:$Z$87,2,FALSE),TIAM15_assumptions!$H$2:$V$2,0))</f>
        <v>0.1</v>
      </c>
      <c r="AE75" s="57">
        <f ca="1">OFFSET(TIAM15_assumptions!$G75,0,MATCH(VLOOKUP(Assumptions!AE$2,TIAM15_assumptions!$Y$3:$Z$87,2,FALSE),TIAM15_assumptions!$H$2:$V$2,0))</f>
        <v>0.1</v>
      </c>
      <c r="AF75" s="57">
        <f ca="1">OFFSET(TIAM15_assumptions!$G75,0,MATCH(VLOOKUP(Assumptions!AF$2,TIAM15_assumptions!$Y$3:$Z$87,2,FALSE),TIAM15_assumptions!$H$2:$V$2,0))</f>
        <v>0.2</v>
      </c>
      <c r="AG75" s="57">
        <f ca="1">OFFSET(TIAM15_assumptions!$G75,0,MATCH(VLOOKUP(Assumptions!AG$2,TIAM15_assumptions!$Y$3:$Z$87,2,FALSE),TIAM15_assumptions!$H$2:$V$2,0))</f>
        <v>0.1</v>
      </c>
      <c r="AH75" s="57">
        <f ca="1">OFFSET(TIAM15_assumptions!$G75,0,MATCH(VLOOKUP(Assumptions!AH$2,TIAM15_assumptions!$Y$3:$Z$87,2,FALSE),TIAM15_assumptions!$H$2:$V$2,0))</f>
        <v>0.3</v>
      </c>
      <c r="AI75" s="57">
        <f ca="1">OFFSET(TIAM15_assumptions!$G75,0,MATCH(VLOOKUP(Assumptions!AI$2,TIAM15_assumptions!$Y$3:$Z$87,2,FALSE),TIAM15_assumptions!$H$2:$V$2,0))</f>
        <v>0.3</v>
      </c>
      <c r="AJ75" s="57">
        <f ca="1">OFFSET(TIAM15_assumptions!$G75,0,MATCH(VLOOKUP(Assumptions!AJ$2,TIAM15_assumptions!$Y$3:$Z$87,2,FALSE),TIAM15_assumptions!$H$2:$V$2,0))</f>
        <v>0.1</v>
      </c>
      <c r="AK75" s="57">
        <f ca="1">OFFSET(TIAM15_assumptions!$G75,0,MATCH(VLOOKUP(Assumptions!AK$2,TIAM15_assumptions!$Y$3:$Z$87,2,FALSE),TIAM15_assumptions!$H$2:$V$2,0))</f>
        <v>0.1</v>
      </c>
      <c r="AL75" s="57">
        <f ca="1">OFFSET(TIAM15_assumptions!$G75,0,MATCH(VLOOKUP(Assumptions!AL$2,TIAM15_assumptions!$Y$3:$Z$87,2,FALSE),TIAM15_assumptions!$H$2:$V$2,0))</f>
        <v>0.1</v>
      </c>
      <c r="AM75" s="57">
        <f ca="1">OFFSET(TIAM15_assumptions!$G75,0,MATCH(VLOOKUP(Assumptions!AM$2,TIAM15_assumptions!$Y$3:$Z$87,2,FALSE),TIAM15_assumptions!$H$2:$V$2,0))</f>
        <v>0.3</v>
      </c>
      <c r="AN75" s="57">
        <f ca="1">OFFSET(TIAM15_assumptions!$G75,0,MATCH(VLOOKUP(Assumptions!AN$2,TIAM15_assumptions!$Y$3:$Z$87,2,FALSE),TIAM15_assumptions!$H$2:$V$2,0))</f>
        <v>0.1</v>
      </c>
      <c r="AO75" s="57">
        <f ca="1">OFFSET(TIAM15_assumptions!$G75,0,MATCH(VLOOKUP(Assumptions!AO$2,TIAM15_assumptions!$Y$3:$Z$87,2,FALSE),TIAM15_assumptions!$H$2:$V$2,0))</f>
        <v>0.1</v>
      </c>
      <c r="AP75" s="57">
        <f ca="1">OFFSET(TIAM15_assumptions!$G75,0,MATCH(VLOOKUP(Assumptions!AP$2,TIAM15_assumptions!$Y$3:$Z$87,2,FALSE),TIAM15_assumptions!$H$2:$V$2,0))</f>
        <v>0.1</v>
      </c>
      <c r="AQ75" s="57">
        <f ca="1">OFFSET(TIAM15_assumptions!$G75,0,MATCH(VLOOKUP(Assumptions!AQ$2,TIAM15_assumptions!$Y$3:$Z$87,2,FALSE),TIAM15_assumptions!$H$2:$V$2,0))</f>
        <v>0.0396787690826272</v>
      </c>
      <c r="AR75" s="57">
        <f ca="1">OFFSET(TIAM15_assumptions!$G75,0,MATCH(VLOOKUP(Assumptions!AR$2,TIAM15_assumptions!$Y$3:$Z$87,2,FALSE),TIAM15_assumptions!$H$2:$V$2,0))</f>
        <v>0.0396787690826272</v>
      </c>
      <c r="AS75" s="57">
        <f ca="1">OFFSET(TIAM15_assumptions!$G75,0,MATCH(VLOOKUP(Assumptions!AS$2,TIAM15_assumptions!$Y$3:$Z$87,2,FALSE),TIAM15_assumptions!$H$2:$V$2,0))</f>
        <v>0.0396787690826272</v>
      </c>
      <c r="AT75" s="57">
        <f ca="1">OFFSET(TIAM15_assumptions!$G75,0,MATCH(VLOOKUP(Assumptions!AT$2,TIAM15_assumptions!$Y$3:$Z$87,2,FALSE),TIAM15_assumptions!$H$2:$V$2,0))</f>
        <v>0.0396787690826272</v>
      </c>
      <c r="AU75" s="57">
        <f ca="1">OFFSET(TIAM15_assumptions!$G75,0,MATCH(VLOOKUP(Assumptions!AU$2,TIAM15_assumptions!$Y$3:$Z$87,2,FALSE),TIAM15_assumptions!$H$2:$V$2,0))</f>
        <v>0.0396787690826272</v>
      </c>
      <c r="AV75" s="57">
        <f ca="1">OFFSET(TIAM15_assumptions!$G75,0,MATCH(VLOOKUP(Assumptions!AV$2,TIAM15_assumptions!$Y$3:$Z$87,2,FALSE),TIAM15_assumptions!$H$2:$V$2,0))</f>
        <v>0.0396787690826272</v>
      </c>
      <c r="AW75" s="57">
        <f ca="1">OFFSET(TIAM15_assumptions!$G75,0,MATCH(VLOOKUP(Assumptions!AW$2,TIAM15_assumptions!$Y$3:$Z$87,2,FALSE),TIAM15_assumptions!$H$2:$V$2,0))</f>
        <v>0.0396787690826272</v>
      </c>
      <c r="AX75" s="57">
        <f ca="1">OFFSET(TIAM15_assumptions!$G75,0,MATCH(VLOOKUP(Assumptions!AX$2,TIAM15_assumptions!$Y$3:$Z$87,2,FALSE),TIAM15_assumptions!$H$2:$V$2,0))</f>
        <v>0.0396787690826272</v>
      </c>
      <c r="AY75" s="57">
        <f ca="1">OFFSET(TIAM15_assumptions!$G75,0,MATCH(VLOOKUP(Assumptions!AY$2,TIAM15_assumptions!$Y$3:$Z$87,2,FALSE),TIAM15_assumptions!$H$2:$V$2,0))</f>
        <v>0.0396787690826272</v>
      </c>
      <c r="AZ75" s="57">
        <f ca="1">OFFSET(TIAM15_assumptions!$G75,0,MATCH(VLOOKUP(Assumptions!AZ$2,TIAM15_assumptions!$Y$3:$Z$87,2,FALSE),TIAM15_assumptions!$H$2:$V$2,0))</f>
        <v>0.0396787690826272</v>
      </c>
      <c r="BA75" s="57">
        <f ca="1">OFFSET(TIAM15_assumptions!$G75,0,MATCH(VLOOKUP(Assumptions!BA$2,TIAM15_assumptions!$Y$3:$Z$87,2,FALSE),TIAM15_assumptions!$H$2:$V$2,0))</f>
        <v>0.0396787690826272</v>
      </c>
      <c r="BD75" s="40">
        <f ca="1">IFERROR(SUMIFS('TRA balance'!E$5:E$40,'TRA balance'!$C$5:$C$40,Assumptions!$C75,'TRA balance'!$D$5:$D$40,Assumptions!$B75)*CY75*H75,"")</f>
        <v>0</v>
      </c>
      <c r="BE75" s="40">
        <f ca="1">IFERROR(SUMIFS('TRA balance'!F$5:F$40,'TRA balance'!$C$5:$C$40,Assumptions!$C75,'TRA balance'!$D$5:$D$40,Assumptions!$B75)*CZ75*I75,"")</f>
        <v>0</v>
      </c>
      <c r="BF75" s="40">
        <f ca="1">IFERROR(SUMIFS('TRA balance'!G$5:G$40,'TRA balance'!$C$5:$C$40,Assumptions!$C75,'TRA balance'!$D$5:$D$40,Assumptions!$B75)*DA75*J75,"")</f>
        <v>0</v>
      </c>
      <c r="BG75" s="40">
        <f ca="1">IFERROR(SUMIFS('TRA balance'!H$5:H$40,'TRA balance'!$C$5:$C$40,Assumptions!$C75,'TRA balance'!$D$5:$D$40,Assumptions!$B75)*DB75*K75,"")</f>
        <v>0.00770119992</v>
      </c>
      <c r="BH75" s="40">
        <f ca="1">IFERROR(SUMIFS('TRA balance'!I$5:I$40,'TRA balance'!$C$5:$C$40,Assumptions!$C75,'TRA balance'!$D$5:$D$40,Assumptions!$B75)*DC75*L75,"")</f>
        <v>0.0128388222</v>
      </c>
      <c r="BI75" s="40">
        <f ca="1">IFERROR(SUMIFS('TRA balance'!J$5:J$40,'TRA balance'!$C$5:$C$40,Assumptions!$C75,'TRA balance'!$D$5:$D$40,Assumptions!$B75)*DD75*M75,"")</f>
        <v>0.00693459684</v>
      </c>
      <c r="BJ75" s="40">
        <f ca="1">IFERROR(SUMIFS('TRA balance'!K$5:K$40,'TRA balance'!$C$5:$C$40,Assumptions!$C75,'TRA balance'!$D$5:$D$40,Assumptions!$B75)*DE75*N75,"")</f>
        <v>0.87845679144</v>
      </c>
      <c r="BK75" s="40">
        <f ca="1">IFERROR(SUMIFS('TRA balance'!L$5:L$40,'TRA balance'!$C$5:$C$40,Assumptions!$C75,'TRA balance'!$D$5:$D$40,Assumptions!$B75)*DF75*O75,"")</f>
        <v>0</v>
      </c>
      <c r="BL75" s="40">
        <f ca="1">IFERROR(SUMIFS('TRA balance'!M$5:M$40,'TRA balance'!$C$5:$C$40,Assumptions!$C75,'TRA balance'!$D$5:$D$40,Assumptions!$B75)*DG75*P75,"")</f>
        <v>0</v>
      </c>
      <c r="BM75" s="40">
        <f ca="1">IFERROR(SUMIFS('TRA balance'!N$5:N$40,'TRA balance'!$C$5:$C$40,Assumptions!$C75,'TRA balance'!$D$5:$D$40,Assumptions!$B75)*DH75*Q75,"")</f>
        <v>0.01849979448</v>
      </c>
      <c r="BN75" s="40">
        <f ca="1">IFERROR(SUMIFS('TRA balance'!O$5:O$40,'TRA balance'!$C$5:$C$40,Assumptions!$C75,'TRA balance'!$D$5:$D$40,Assumptions!$B75)*DI75*R75,"")</f>
        <v>0.03419317692</v>
      </c>
      <c r="BO75" s="40">
        <f ca="1">IFERROR(SUMIFS('TRA balance'!P$5:P$40,'TRA balance'!$C$5:$C$40,Assumptions!$C75,'TRA balance'!$D$5:$D$40,Assumptions!$B75)*DJ75*S75,"")</f>
        <v>0.05937259212</v>
      </c>
      <c r="BP75" s="40">
        <f ca="1">IFERROR(SUMIFS('TRA balance'!Q$5:Q$40,'TRA balance'!$C$5:$C$40,Assumptions!$C75,'TRA balance'!$D$5:$D$40,Assumptions!$B75)*DK75*T75,"")</f>
        <v>0</v>
      </c>
      <c r="BQ75" s="40">
        <f ca="1">IFERROR(SUMIFS('TRA balance'!R$5:R$40,'TRA balance'!$C$5:$C$40,Assumptions!$C75,'TRA balance'!$D$5:$D$40,Assumptions!$B75)*DL75*U75,"")</f>
        <v>0</v>
      </c>
      <c r="BR75" s="40">
        <f ca="1">IFERROR(SUMIFS('TRA balance'!S$5:S$40,'TRA balance'!$C$5:$C$40,Assumptions!$C75,'TRA balance'!$D$5:$D$40,Assumptions!$B75)*DM75*V75,"")</f>
        <v>0</v>
      </c>
      <c r="BS75" s="40">
        <f ca="1">IFERROR(SUMIFS('TRA balance'!T$5:T$40,'TRA balance'!$C$5:$C$40,Assumptions!$C75,'TRA balance'!$D$5:$D$40,Assumptions!$B75)*DN75*W75,"")</f>
        <v>0</v>
      </c>
      <c r="BT75" s="40">
        <f ca="1">IFERROR(SUMIFS('TRA balance'!U$5:U$40,'TRA balance'!$C$5:$C$40,Assumptions!$C75,'TRA balance'!$D$5:$D$40,Assumptions!$B75)*DO75*X75,"")</f>
        <v>0</v>
      </c>
      <c r="BU75" s="40">
        <f ca="1">IFERROR(SUMIFS('TRA balance'!V$5:V$40,'TRA balance'!$C$5:$C$40,Assumptions!$C75,'TRA balance'!$D$5:$D$40,Assumptions!$B75)*DP75*Y75,"")</f>
        <v>0</v>
      </c>
      <c r="BV75" s="40">
        <f ca="1">IFERROR(SUMIFS('TRA balance'!W$5:W$40,'TRA balance'!$C$5:$C$40,Assumptions!$C75,'TRA balance'!$D$5:$D$40,Assumptions!$B75)*DQ75*Z75,"")</f>
        <v>0</v>
      </c>
      <c r="BW75" s="40">
        <f ca="1">IFERROR(SUMIFS('TRA balance'!X$5:X$40,'TRA balance'!$C$5:$C$40,Assumptions!$C75,'TRA balance'!$D$5:$D$40,Assumptions!$B75)*DR75*AA75,"")</f>
        <v>0</v>
      </c>
      <c r="BX75" s="40">
        <f ca="1">IFERROR(SUMIFS('TRA balance'!Y$5:Y$40,'TRA balance'!$C$5:$C$40,Assumptions!$C75,'TRA balance'!$D$5:$D$40,Assumptions!$B75)*DS75*AB75,"")</f>
        <v>0</v>
      </c>
      <c r="BY75" s="40">
        <f ca="1">IFERROR(SUMIFS('TRA balance'!Z$5:Z$40,'TRA balance'!$C$5:$C$40,Assumptions!$C75,'TRA balance'!$D$5:$D$40,Assumptions!$B75)*DT75*AC75,"")</f>
        <v>0.682833260334651</v>
      </c>
      <c r="BZ75" s="40">
        <f ca="1">IFERROR(SUMIFS('TRA balance'!AA$5:AA$40,'TRA balance'!$C$5:$C$40,Assumptions!$C75,'TRA balance'!$D$5:$D$40,Assumptions!$B75)*DU75*AD75,"")</f>
        <v>0</v>
      </c>
      <c r="CA75" s="40">
        <f ca="1">IFERROR(SUMIFS('TRA balance'!AB$5:AB$40,'TRA balance'!$C$5:$C$40,Assumptions!$C75,'TRA balance'!$D$5:$D$40,Assumptions!$B75)*DV75*AE75,"")</f>
        <v>0</v>
      </c>
      <c r="CB75" s="40">
        <f ca="1">IFERROR(SUMIFS('TRA balance'!AC$5:AC$40,'TRA balance'!$C$5:$C$40,Assumptions!$C75,'TRA balance'!$D$5:$D$40,Assumptions!$B75)*DW75*AF75,"")</f>
        <v>0.00025204536</v>
      </c>
      <c r="CC75" s="40">
        <f ca="1">IFERROR(SUMIFS('TRA balance'!AD$5:AD$40,'TRA balance'!$C$5:$C$40,Assumptions!$C75,'TRA balance'!$D$5:$D$40,Assumptions!$B75)*DX75*AG75,"")</f>
        <v>0</v>
      </c>
      <c r="CD75" s="40">
        <f ca="1">IFERROR(SUMIFS('TRA balance'!AE$5:AE$40,'TRA balance'!$C$5:$C$40,Assumptions!$C75,'TRA balance'!$D$5:$D$40,Assumptions!$B75)*DY75*AH75,"")</f>
        <v>0</v>
      </c>
      <c r="CE75" s="40">
        <f ca="1">IFERROR(SUMIFS('TRA balance'!AF$5:AF$40,'TRA balance'!$C$5:$C$40,Assumptions!$C75,'TRA balance'!$D$5:$D$40,Assumptions!$B75)*DZ75*AI75,"")</f>
        <v>0</v>
      </c>
      <c r="CF75" s="40">
        <f ca="1">IFERROR(SUMIFS('TRA balance'!AG$5:AG$40,'TRA balance'!$C$5:$C$40,Assumptions!$C75,'TRA balance'!$D$5:$D$40,Assumptions!$B75)*EA75*AJ75,"")</f>
        <v>0</v>
      </c>
      <c r="CG75" s="40">
        <f ca="1">IFERROR(SUMIFS('TRA balance'!AH$5:AH$40,'TRA balance'!$C$5:$C$40,Assumptions!$C75,'TRA balance'!$D$5:$D$40,Assumptions!$B75)*EB75*AK75,"")</f>
        <v>0</v>
      </c>
      <c r="CH75" s="40">
        <f ca="1">IFERROR(SUMIFS('TRA balance'!AI$5:AI$40,'TRA balance'!$C$5:$C$40,Assumptions!$C75,'TRA balance'!$D$5:$D$40,Assumptions!$B75)*EC75*AL75,"")</f>
        <v>0.00129832668</v>
      </c>
      <c r="CI75" s="40">
        <f ca="1">IFERROR(SUMIFS('TRA balance'!AJ$5:AJ$40,'TRA balance'!$C$5:$C$40,Assumptions!$C75,'TRA balance'!$D$5:$D$40,Assumptions!$B75)*ED75*AM75,"")</f>
        <v>0</v>
      </c>
      <c r="CJ75" s="40">
        <f ca="1">IFERROR(SUMIFS('TRA balance'!AK$5:AK$40,'TRA balance'!$C$5:$C$40,Assumptions!$C75,'TRA balance'!$D$5:$D$40,Assumptions!$B75)*EE75*AN75,"")</f>
        <v>0</v>
      </c>
      <c r="CK75" s="40">
        <f ca="1">IFERROR(SUMIFS('TRA balance'!AL$5:AL$40,'TRA balance'!$C$5:$C$40,Assumptions!$C75,'TRA balance'!$D$5:$D$40,Assumptions!$B75)*EF75*AO75,"")</f>
        <v>0</v>
      </c>
      <c r="CL75" s="40">
        <f ca="1">IFERROR(SUMIFS('TRA balance'!AM$5:AM$40,'TRA balance'!$C$5:$C$40,Assumptions!$C75,'TRA balance'!$D$5:$D$40,Assumptions!$B75)*EG75*AP75,"")</f>
        <v>0</v>
      </c>
      <c r="CM75" s="40">
        <f ca="1">IFERROR(SUMIFS('TRA balance'!AN$5:AN$40,'TRA balance'!$C$5:$C$40,Assumptions!$C75,'TRA balance'!$D$5:$D$40,Assumptions!$B75)*EH75*AQ75,"")</f>
        <v>0</v>
      </c>
      <c r="CN75" s="40">
        <f ca="1">IFERROR(SUMIFS('TRA balance'!AO$5:AO$40,'TRA balance'!$C$5:$C$40,Assumptions!$C75,'TRA balance'!$D$5:$D$40,Assumptions!$B75)*EI75*AR75,"")</f>
        <v>0</v>
      </c>
      <c r="CO75" s="40">
        <f ca="1">IFERROR(SUMIFS('TRA balance'!AP$5:AP$40,'TRA balance'!$C$5:$C$40,Assumptions!$C75,'TRA balance'!$D$5:$D$40,Assumptions!$B75)*EJ75*AS75,"")</f>
        <v>0</v>
      </c>
      <c r="CP75" s="40">
        <f ca="1">IFERROR(SUMIFS('TRA balance'!AQ$5:AQ$40,'TRA balance'!$C$5:$C$40,Assumptions!$C75,'TRA balance'!$D$5:$D$40,Assumptions!$B75)*EK75*AT75,"")</f>
        <v>0</v>
      </c>
      <c r="CQ75" s="40">
        <f ca="1">IFERROR(SUMIFS('TRA balance'!AR$5:AR$40,'TRA balance'!$C$5:$C$40,Assumptions!$C75,'TRA balance'!$D$5:$D$40,Assumptions!$B75)*EL75*AU75,"")</f>
        <v>0</v>
      </c>
      <c r="CR75" s="40">
        <f ca="1">IFERROR(SUMIFS('TRA balance'!AS$5:AS$40,'TRA balance'!$C$5:$C$40,Assumptions!$C75,'TRA balance'!$D$5:$D$40,Assumptions!$B75)*EM75*AV75,"")</f>
        <v>0</v>
      </c>
      <c r="CS75" s="40">
        <f ca="1">IFERROR(SUMIFS('TRA balance'!AT$5:AT$40,'TRA balance'!$C$5:$C$40,Assumptions!$C75,'TRA balance'!$D$5:$D$40,Assumptions!$B75)*EN75*AW75,"")</f>
        <v>0</v>
      </c>
      <c r="CT75" s="40">
        <f ca="1">IFERROR(SUMIFS('TRA balance'!AU$5:AU$40,'TRA balance'!$C$5:$C$40,Assumptions!$C75,'TRA balance'!$D$5:$D$40,Assumptions!$B75)*EO75*AX75,"")</f>
        <v>0</v>
      </c>
      <c r="CU75" s="40">
        <f ca="1">IFERROR(SUMIFS('TRA balance'!AV$5:AV$40,'TRA balance'!$C$5:$C$40,Assumptions!$C75,'TRA balance'!$D$5:$D$40,Assumptions!$B75)*EP75*AY75,"")</f>
        <v>0</v>
      </c>
      <c r="CV75" s="40">
        <f ca="1">IFERROR(SUMIFS('TRA balance'!AW$5:AW$40,'TRA balance'!$C$5:$C$40,Assumptions!$C75,'TRA balance'!$D$5:$D$40,Assumptions!$B75)*EQ75*AZ75,"")</f>
        <v>0</v>
      </c>
      <c r="CW75" s="40">
        <f ca="1">IFERROR(SUMIFS('TRA balance'!AX$5:AX$40,'TRA balance'!$C$5:$C$40,Assumptions!$C75,'TRA balance'!$D$5:$D$40,Assumptions!$B75)*ER75*BA75,"")</f>
        <v>0</v>
      </c>
      <c r="CY75" s="39">
        <f ca="1" t="shared" si="86"/>
        <v>1</v>
      </c>
      <c r="CZ75" s="39">
        <f ca="1" t="shared" si="87"/>
        <v>1</v>
      </c>
      <c r="DA75" s="39">
        <f ca="1" t="shared" si="88"/>
        <v>1</v>
      </c>
      <c r="DB75" s="39">
        <f ca="1" t="shared" si="89"/>
        <v>1</v>
      </c>
      <c r="DC75" s="39">
        <f ca="1" t="shared" si="90"/>
        <v>1</v>
      </c>
      <c r="DD75" s="39">
        <f ca="1" t="shared" si="91"/>
        <v>1</v>
      </c>
      <c r="DE75" s="39">
        <f ca="1" t="shared" si="92"/>
        <v>1</v>
      </c>
      <c r="DF75" s="39">
        <f ca="1" t="shared" si="93"/>
        <v>1</v>
      </c>
      <c r="DG75" s="39">
        <f ca="1" t="shared" si="94"/>
        <v>1</v>
      </c>
      <c r="DH75" s="39">
        <f ca="1" t="shared" si="95"/>
        <v>1</v>
      </c>
      <c r="DI75" s="39">
        <f ca="1" t="shared" si="96"/>
        <v>1</v>
      </c>
      <c r="DJ75" s="39">
        <f ca="1" t="shared" si="97"/>
        <v>1</v>
      </c>
      <c r="DK75" s="39">
        <f ca="1" t="shared" si="98"/>
        <v>1</v>
      </c>
      <c r="DL75" s="39">
        <f ca="1" t="shared" si="99"/>
        <v>1</v>
      </c>
      <c r="DM75" s="39">
        <f ca="1" t="shared" si="100"/>
        <v>1</v>
      </c>
      <c r="DN75" s="39">
        <f ca="1" t="shared" si="101"/>
        <v>1</v>
      </c>
      <c r="DO75" s="39">
        <f ca="1" t="shared" si="102"/>
        <v>1</v>
      </c>
      <c r="DP75" s="39">
        <f ca="1" t="shared" si="103"/>
        <v>1</v>
      </c>
      <c r="DQ75" s="39">
        <f ca="1" t="shared" si="104"/>
        <v>1</v>
      </c>
      <c r="DR75" s="39">
        <f ca="1" t="shared" si="105"/>
        <v>1</v>
      </c>
      <c r="DS75" s="39">
        <f ca="1" t="shared" si="106"/>
        <v>1</v>
      </c>
      <c r="DT75" s="39">
        <f ca="1" t="shared" si="107"/>
        <v>1</v>
      </c>
      <c r="DU75" s="39">
        <f ca="1" t="shared" si="108"/>
        <v>1</v>
      </c>
      <c r="DV75" s="39">
        <f ca="1" t="shared" si="109"/>
        <v>1</v>
      </c>
      <c r="DW75" s="39">
        <f ca="1" t="shared" si="110"/>
        <v>1</v>
      </c>
      <c r="DX75" s="39">
        <f ca="1" t="shared" si="111"/>
        <v>1</v>
      </c>
      <c r="DY75" s="39">
        <f ca="1" t="shared" si="112"/>
        <v>1</v>
      </c>
      <c r="DZ75" s="39">
        <f ca="1" t="shared" si="113"/>
        <v>1</v>
      </c>
      <c r="EA75" s="39">
        <f ca="1" t="shared" si="114"/>
        <v>1</v>
      </c>
      <c r="EB75" s="39">
        <f ca="1" t="shared" si="115"/>
        <v>1</v>
      </c>
      <c r="EC75" s="39">
        <f ca="1" t="shared" si="116"/>
        <v>1</v>
      </c>
      <c r="ED75" s="39">
        <f ca="1" t="shared" si="117"/>
        <v>1</v>
      </c>
      <c r="EE75" s="39">
        <f ca="1" t="shared" si="118"/>
        <v>1</v>
      </c>
      <c r="EF75" s="39">
        <f ca="1" t="shared" si="119"/>
        <v>1</v>
      </c>
      <c r="EG75" s="39">
        <f ca="1" t="shared" si="120"/>
        <v>1</v>
      </c>
      <c r="EH75" s="39">
        <f ca="1" t="shared" si="121"/>
        <v>1</v>
      </c>
      <c r="EI75" s="39">
        <f ca="1" t="shared" si="122"/>
        <v>1</v>
      </c>
      <c r="EJ75" s="39">
        <f ca="1" t="shared" si="123"/>
        <v>1</v>
      </c>
      <c r="EK75" s="39">
        <f ca="1" t="shared" si="124"/>
        <v>1</v>
      </c>
      <c r="EL75" s="39">
        <f ca="1" t="shared" si="125"/>
        <v>1</v>
      </c>
      <c r="EM75" s="39">
        <f ca="1" t="shared" si="126"/>
        <v>1</v>
      </c>
      <c r="EN75" s="39">
        <f ca="1" t="shared" si="127"/>
        <v>1</v>
      </c>
      <c r="EO75" s="39">
        <f ca="1" t="shared" si="128"/>
        <v>1</v>
      </c>
      <c r="EP75" s="39">
        <f ca="1" t="shared" si="129"/>
        <v>1</v>
      </c>
      <c r="EQ75" s="39">
        <f ca="1" t="shared" si="130"/>
        <v>1</v>
      </c>
      <c r="ER75" s="39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8"/>
      <c r="D76" s="58"/>
      <c r="E76" s="59" t="s">
        <v>199</v>
      </c>
      <c r="F76" s="60" t="str">
        <f t="shared" si="134"/>
        <v>Bio Diesel</v>
      </c>
      <c r="G76" s="58"/>
      <c r="H76" s="59" t="str">
        <f ca="1" t="shared" ref="H76" si="136">IF(SUM(H74:H75)=1,"-","&lt;&gt;1!!")</f>
        <v>-</v>
      </c>
      <c r="I76" s="59" t="str">
        <f ca="1" t="shared" ref="I76:BA76" si="137">IF(SUM(I74:I75)=1,"-","&lt;&gt;1!!")</f>
        <v>-</v>
      </c>
      <c r="J76" s="59" t="str">
        <f ca="1" t="shared" si="137"/>
        <v>-</v>
      </c>
      <c r="K76" s="59" t="str">
        <f ca="1" t="shared" si="137"/>
        <v>-</v>
      </c>
      <c r="L76" s="59" t="str">
        <f ca="1" t="shared" si="137"/>
        <v>-</v>
      </c>
      <c r="M76" s="59" t="str">
        <f ca="1" t="shared" si="137"/>
        <v>-</v>
      </c>
      <c r="N76" s="59" t="str">
        <f ca="1" t="shared" si="137"/>
        <v>-</v>
      </c>
      <c r="O76" s="59" t="str">
        <f ca="1" t="shared" si="137"/>
        <v>-</v>
      </c>
      <c r="P76" s="59" t="str">
        <f ca="1" t="shared" si="137"/>
        <v>-</v>
      </c>
      <c r="Q76" s="59" t="str">
        <f ca="1" t="shared" si="137"/>
        <v>-</v>
      </c>
      <c r="R76" s="59" t="str">
        <f ca="1" t="shared" si="137"/>
        <v>-</v>
      </c>
      <c r="S76" s="59" t="str">
        <f ca="1" t="shared" si="137"/>
        <v>-</v>
      </c>
      <c r="T76" s="59" t="str">
        <f ca="1" t="shared" si="137"/>
        <v>-</v>
      </c>
      <c r="U76" s="59" t="str">
        <f ca="1" t="shared" si="137"/>
        <v>-</v>
      </c>
      <c r="V76" s="59" t="str">
        <f ca="1" t="shared" si="137"/>
        <v>-</v>
      </c>
      <c r="W76" s="59" t="str">
        <f ca="1" t="shared" si="137"/>
        <v>-</v>
      </c>
      <c r="X76" s="59" t="str">
        <f ca="1" t="shared" si="137"/>
        <v>-</v>
      </c>
      <c r="Y76" s="59" t="str">
        <f ca="1" t="shared" si="137"/>
        <v>-</v>
      </c>
      <c r="Z76" s="59" t="str">
        <f ca="1" t="shared" si="137"/>
        <v>-</v>
      </c>
      <c r="AA76" s="59" t="str">
        <f ca="1" t="shared" si="137"/>
        <v>-</v>
      </c>
      <c r="AB76" s="59" t="str">
        <f ca="1" t="shared" si="137"/>
        <v>-</v>
      </c>
      <c r="AC76" s="59" t="str">
        <f ca="1" t="shared" si="137"/>
        <v>-</v>
      </c>
      <c r="AD76" s="59" t="str">
        <f ca="1" t="shared" si="137"/>
        <v>-</v>
      </c>
      <c r="AE76" s="59" t="str">
        <f ca="1" t="shared" si="137"/>
        <v>-</v>
      </c>
      <c r="AF76" s="59" t="str">
        <f ca="1" t="shared" si="137"/>
        <v>-</v>
      </c>
      <c r="AG76" s="59" t="str">
        <f ca="1" t="shared" si="137"/>
        <v>-</v>
      </c>
      <c r="AH76" s="59" t="str">
        <f ca="1" t="shared" si="137"/>
        <v>-</v>
      </c>
      <c r="AI76" s="59" t="str">
        <f ca="1" t="shared" si="137"/>
        <v>-</v>
      </c>
      <c r="AJ76" s="59" t="str">
        <f ca="1" t="shared" si="137"/>
        <v>-</v>
      </c>
      <c r="AK76" s="59" t="str">
        <f ca="1" t="shared" si="137"/>
        <v>-</v>
      </c>
      <c r="AL76" s="59" t="str">
        <f ca="1" t="shared" si="137"/>
        <v>-</v>
      </c>
      <c r="AM76" s="59" t="str">
        <f ca="1" t="shared" si="137"/>
        <v>-</v>
      </c>
      <c r="AN76" s="59" t="str">
        <f ca="1" t="shared" si="137"/>
        <v>-</v>
      </c>
      <c r="AO76" s="59" t="str">
        <f ca="1" t="shared" si="137"/>
        <v>-</v>
      </c>
      <c r="AP76" s="59" t="str">
        <f ca="1" t="shared" si="137"/>
        <v>-</v>
      </c>
      <c r="AQ76" s="59" t="str">
        <f ca="1" t="shared" si="137"/>
        <v>-</v>
      </c>
      <c r="AR76" s="59" t="str">
        <f ca="1" t="shared" si="137"/>
        <v>-</v>
      </c>
      <c r="AS76" s="59" t="str">
        <f ca="1" t="shared" si="137"/>
        <v>-</v>
      </c>
      <c r="AT76" s="59" t="str">
        <f ca="1" t="shared" si="137"/>
        <v>-</v>
      </c>
      <c r="AU76" s="59" t="str">
        <f ca="1" t="shared" si="137"/>
        <v>-</v>
      </c>
      <c r="AV76" s="59" t="str">
        <f ca="1" t="shared" si="137"/>
        <v>-</v>
      </c>
      <c r="AW76" s="59" t="str">
        <f ca="1" t="shared" si="137"/>
        <v>-</v>
      </c>
      <c r="AX76" s="59" t="str">
        <f ca="1" t="shared" si="137"/>
        <v>-</v>
      </c>
      <c r="AY76" s="59" t="str">
        <f ca="1" t="shared" si="137"/>
        <v>-</v>
      </c>
      <c r="AZ76" s="59" t="str">
        <f ca="1" t="shared" si="137"/>
        <v>-</v>
      </c>
      <c r="BA76" s="59" t="str">
        <f ca="1" t="shared" si="137"/>
        <v>-</v>
      </c>
      <c r="BD76" s="40" t="str">
        <f ca="1">IFERROR(SUMIFS('TRA balance'!E$5:E$40,'TRA balance'!$C$5:$C$40,Assumptions!$C76,'TRA balance'!$D$5:$D$40,Assumptions!$B76)*CY76*H76,"")</f>
        <v/>
      </c>
      <c r="BE76" s="40" t="str">
        <f ca="1">IFERROR(SUMIFS('TRA balance'!F$5:F$40,'TRA balance'!$C$5:$C$40,Assumptions!$C76,'TRA balance'!$D$5:$D$40,Assumptions!$B76)*CZ76*I76,"")</f>
        <v/>
      </c>
      <c r="BF76" s="40" t="str">
        <f ca="1">IFERROR(SUMIFS('TRA balance'!G$5:G$40,'TRA balance'!$C$5:$C$40,Assumptions!$C76,'TRA balance'!$D$5:$D$40,Assumptions!$B76)*DA76*J76,"")</f>
        <v/>
      </c>
      <c r="BG76" s="40" t="str">
        <f ca="1">IFERROR(SUMIFS('TRA balance'!H$5:H$40,'TRA balance'!$C$5:$C$40,Assumptions!$C76,'TRA balance'!$D$5:$D$40,Assumptions!$B76)*DB76*K76,"")</f>
        <v/>
      </c>
      <c r="BH76" s="40" t="str">
        <f ca="1">IFERROR(SUMIFS('TRA balance'!I$5:I$40,'TRA balance'!$C$5:$C$40,Assumptions!$C76,'TRA balance'!$D$5:$D$40,Assumptions!$B76)*DC76*L76,"")</f>
        <v/>
      </c>
      <c r="BI76" s="40" t="str">
        <f ca="1">IFERROR(SUMIFS('TRA balance'!J$5:J$40,'TRA balance'!$C$5:$C$40,Assumptions!$C76,'TRA balance'!$D$5:$D$40,Assumptions!$B76)*DD76*M76,"")</f>
        <v/>
      </c>
      <c r="BJ76" s="40" t="str">
        <f ca="1">IFERROR(SUMIFS('TRA balance'!K$5:K$40,'TRA balance'!$C$5:$C$40,Assumptions!$C76,'TRA balance'!$D$5:$D$40,Assumptions!$B76)*DE76*N76,"")</f>
        <v/>
      </c>
      <c r="BK76" s="40" t="str">
        <f ca="1">IFERROR(SUMIFS('TRA balance'!L$5:L$40,'TRA balance'!$C$5:$C$40,Assumptions!$C76,'TRA balance'!$D$5:$D$40,Assumptions!$B76)*DF76*O76,"")</f>
        <v/>
      </c>
      <c r="BL76" s="40" t="str">
        <f ca="1">IFERROR(SUMIFS('TRA balance'!M$5:M$40,'TRA balance'!$C$5:$C$40,Assumptions!$C76,'TRA balance'!$D$5:$D$40,Assumptions!$B76)*DG76*P76,"")</f>
        <v/>
      </c>
      <c r="BM76" s="40" t="str">
        <f ca="1">IFERROR(SUMIFS('TRA balance'!N$5:N$40,'TRA balance'!$C$5:$C$40,Assumptions!$C76,'TRA balance'!$D$5:$D$40,Assumptions!$B76)*DH76*Q76,"")</f>
        <v/>
      </c>
      <c r="BN76" s="40" t="str">
        <f ca="1">IFERROR(SUMIFS('TRA balance'!O$5:O$40,'TRA balance'!$C$5:$C$40,Assumptions!$C76,'TRA balance'!$D$5:$D$40,Assumptions!$B76)*DI76*R76,"")</f>
        <v/>
      </c>
      <c r="BO76" s="40" t="str">
        <f ca="1">IFERROR(SUMIFS('TRA balance'!P$5:P$40,'TRA balance'!$C$5:$C$40,Assumptions!$C76,'TRA balance'!$D$5:$D$40,Assumptions!$B76)*DJ76*S76,"")</f>
        <v/>
      </c>
      <c r="BP76" s="40" t="str">
        <f ca="1">IFERROR(SUMIFS('TRA balance'!Q$5:Q$40,'TRA balance'!$C$5:$C$40,Assumptions!$C76,'TRA balance'!$D$5:$D$40,Assumptions!$B76)*DK76*T76,"")</f>
        <v/>
      </c>
      <c r="BQ76" s="40" t="str">
        <f ca="1">IFERROR(SUMIFS('TRA balance'!R$5:R$40,'TRA balance'!$C$5:$C$40,Assumptions!$C76,'TRA balance'!$D$5:$D$40,Assumptions!$B76)*DL76*U76,"")</f>
        <v/>
      </c>
      <c r="BR76" s="40" t="str">
        <f ca="1">IFERROR(SUMIFS('TRA balance'!S$5:S$40,'TRA balance'!$C$5:$C$40,Assumptions!$C76,'TRA balance'!$D$5:$D$40,Assumptions!$B76)*DM76*V76,"")</f>
        <v/>
      </c>
      <c r="BS76" s="40" t="str">
        <f ca="1">IFERROR(SUMIFS('TRA balance'!T$5:T$40,'TRA balance'!$C$5:$C$40,Assumptions!$C76,'TRA balance'!$D$5:$D$40,Assumptions!$B76)*DN76*W76,"")</f>
        <v/>
      </c>
      <c r="BT76" s="40" t="str">
        <f ca="1">IFERROR(SUMIFS('TRA balance'!U$5:U$40,'TRA balance'!$C$5:$C$40,Assumptions!$C76,'TRA balance'!$D$5:$D$40,Assumptions!$B76)*DO76*X76,"")</f>
        <v/>
      </c>
      <c r="BU76" s="40" t="str">
        <f ca="1">IFERROR(SUMIFS('TRA balance'!V$5:V$40,'TRA balance'!$C$5:$C$40,Assumptions!$C76,'TRA balance'!$D$5:$D$40,Assumptions!$B76)*DP76*Y76,"")</f>
        <v/>
      </c>
      <c r="BV76" s="40" t="str">
        <f ca="1">IFERROR(SUMIFS('TRA balance'!W$5:W$40,'TRA balance'!$C$5:$C$40,Assumptions!$C76,'TRA balance'!$D$5:$D$40,Assumptions!$B76)*DQ76*Z76,"")</f>
        <v/>
      </c>
      <c r="BW76" s="40" t="str">
        <f ca="1">IFERROR(SUMIFS('TRA balance'!X$5:X$40,'TRA balance'!$C$5:$C$40,Assumptions!$C76,'TRA balance'!$D$5:$D$40,Assumptions!$B76)*DR76*AA76,"")</f>
        <v/>
      </c>
      <c r="BX76" s="40" t="str">
        <f ca="1">IFERROR(SUMIFS('TRA balance'!Y$5:Y$40,'TRA balance'!$C$5:$C$40,Assumptions!$C76,'TRA balance'!$D$5:$D$40,Assumptions!$B76)*DS76*AB76,"")</f>
        <v/>
      </c>
      <c r="BY76" s="40" t="str">
        <f ca="1">IFERROR(SUMIFS('TRA balance'!Z$5:Z$40,'TRA balance'!$C$5:$C$40,Assumptions!$C76,'TRA balance'!$D$5:$D$40,Assumptions!$B76)*DT76*AC76,"")</f>
        <v/>
      </c>
      <c r="BZ76" s="40" t="str">
        <f ca="1">IFERROR(SUMIFS('TRA balance'!AA$5:AA$40,'TRA balance'!$C$5:$C$40,Assumptions!$C76,'TRA balance'!$D$5:$D$40,Assumptions!$B76)*DU76*AD76,"")</f>
        <v/>
      </c>
      <c r="CA76" s="40" t="str">
        <f ca="1">IFERROR(SUMIFS('TRA balance'!AB$5:AB$40,'TRA balance'!$C$5:$C$40,Assumptions!$C76,'TRA balance'!$D$5:$D$40,Assumptions!$B76)*DV76*AE76,"")</f>
        <v/>
      </c>
      <c r="CB76" s="40" t="str">
        <f ca="1">IFERROR(SUMIFS('TRA balance'!AC$5:AC$40,'TRA balance'!$C$5:$C$40,Assumptions!$C76,'TRA balance'!$D$5:$D$40,Assumptions!$B76)*DW76*AF76,"")</f>
        <v/>
      </c>
      <c r="CC76" s="40" t="str">
        <f ca="1">IFERROR(SUMIFS('TRA balance'!AD$5:AD$40,'TRA balance'!$C$5:$C$40,Assumptions!$C76,'TRA balance'!$D$5:$D$40,Assumptions!$B76)*DX76*AG76,"")</f>
        <v/>
      </c>
      <c r="CD76" s="40" t="str">
        <f ca="1">IFERROR(SUMIFS('TRA balance'!AE$5:AE$40,'TRA balance'!$C$5:$C$40,Assumptions!$C76,'TRA balance'!$D$5:$D$40,Assumptions!$B76)*DY76*AH76,"")</f>
        <v/>
      </c>
      <c r="CE76" s="40" t="str">
        <f ca="1">IFERROR(SUMIFS('TRA balance'!AF$5:AF$40,'TRA balance'!$C$5:$C$40,Assumptions!$C76,'TRA balance'!$D$5:$D$40,Assumptions!$B76)*DZ76*AI76,"")</f>
        <v/>
      </c>
      <c r="CF76" s="40" t="str">
        <f ca="1">IFERROR(SUMIFS('TRA balance'!AG$5:AG$40,'TRA balance'!$C$5:$C$40,Assumptions!$C76,'TRA balance'!$D$5:$D$40,Assumptions!$B76)*EA76*AJ76,"")</f>
        <v/>
      </c>
      <c r="CG76" s="40" t="str">
        <f ca="1">IFERROR(SUMIFS('TRA balance'!AH$5:AH$40,'TRA balance'!$C$5:$C$40,Assumptions!$C76,'TRA balance'!$D$5:$D$40,Assumptions!$B76)*EB76*AK76,"")</f>
        <v/>
      </c>
      <c r="CH76" s="40" t="str">
        <f ca="1">IFERROR(SUMIFS('TRA balance'!AI$5:AI$40,'TRA balance'!$C$5:$C$40,Assumptions!$C76,'TRA balance'!$D$5:$D$40,Assumptions!$B76)*EC76*AL76,"")</f>
        <v/>
      </c>
      <c r="CI76" s="40" t="str">
        <f ca="1">IFERROR(SUMIFS('TRA balance'!AJ$5:AJ$40,'TRA balance'!$C$5:$C$40,Assumptions!$C76,'TRA balance'!$D$5:$D$40,Assumptions!$B76)*ED76*AM76,"")</f>
        <v/>
      </c>
      <c r="CJ76" s="40" t="str">
        <f ca="1">IFERROR(SUMIFS('TRA balance'!AK$5:AK$40,'TRA balance'!$C$5:$C$40,Assumptions!$C76,'TRA balance'!$D$5:$D$40,Assumptions!$B76)*EE76*AN76,"")</f>
        <v/>
      </c>
      <c r="CK76" s="40" t="str">
        <f ca="1">IFERROR(SUMIFS('TRA balance'!AL$5:AL$40,'TRA balance'!$C$5:$C$40,Assumptions!$C76,'TRA balance'!$D$5:$D$40,Assumptions!$B76)*EF76*AO76,"")</f>
        <v/>
      </c>
      <c r="CL76" s="40" t="str">
        <f ca="1">IFERROR(SUMIFS('TRA balance'!AM$5:AM$40,'TRA balance'!$C$5:$C$40,Assumptions!$C76,'TRA balance'!$D$5:$D$40,Assumptions!$B76)*EG76*AP76,"")</f>
        <v/>
      </c>
      <c r="CM76" s="40" t="str">
        <f ca="1">IFERROR(SUMIFS('TRA balance'!AN$5:AN$40,'TRA balance'!$C$5:$C$40,Assumptions!$C76,'TRA balance'!$D$5:$D$40,Assumptions!$B76)*EH76*AQ76,"")</f>
        <v/>
      </c>
      <c r="CN76" s="40" t="str">
        <f ca="1">IFERROR(SUMIFS('TRA balance'!AO$5:AO$40,'TRA balance'!$C$5:$C$40,Assumptions!$C76,'TRA balance'!$D$5:$D$40,Assumptions!$B76)*EI76*AR76,"")</f>
        <v/>
      </c>
      <c r="CO76" s="40" t="str">
        <f ca="1">IFERROR(SUMIFS('TRA balance'!AP$5:AP$40,'TRA balance'!$C$5:$C$40,Assumptions!$C76,'TRA balance'!$D$5:$D$40,Assumptions!$B76)*EJ76*AS76,"")</f>
        <v/>
      </c>
      <c r="CP76" s="40" t="str">
        <f ca="1">IFERROR(SUMIFS('TRA balance'!AQ$5:AQ$40,'TRA balance'!$C$5:$C$40,Assumptions!$C76,'TRA balance'!$D$5:$D$40,Assumptions!$B76)*EK76*AT76,"")</f>
        <v/>
      </c>
      <c r="CQ76" s="40" t="str">
        <f ca="1">IFERROR(SUMIFS('TRA balance'!AR$5:AR$40,'TRA balance'!$C$5:$C$40,Assumptions!$C76,'TRA balance'!$D$5:$D$40,Assumptions!$B76)*EL76*AU76,"")</f>
        <v/>
      </c>
      <c r="CR76" s="40" t="str">
        <f ca="1">IFERROR(SUMIFS('TRA balance'!AS$5:AS$40,'TRA balance'!$C$5:$C$40,Assumptions!$C76,'TRA balance'!$D$5:$D$40,Assumptions!$B76)*EM76*AV76,"")</f>
        <v/>
      </c>
      <c r="CS76" s="40" t="str">
        <f ca="1">IFERROR(SUMIFS('TRA balance'!AT$5:AT$40,'TRA balance'!$C$5:$C$40,Assumptions!$C76,'TRA balance'!$D$5:$D$40,Assumptions!$B76)*EN76*AW76,"")</f>
        <v/>
      </c>
      <c r="CT76" s="40" t="str">
        <f ca="1">IFERROR(SUMIFS('TRA balance'!AU$5:AU$40,'TRA balance'!$C$5:$C$40,Assumptions!$C76,'TRA balance'!$D$5:$D$40,Assumptions!$B76)*EO76*AX76,"")</f>
        <v/>
      </c>
      <c r="CU76" s="40" t="str">
        <f ca="1">IFERROR(SUMIFS('TRA balance'!AV$5:AV$40,'TRA balance'!$C$5:$C$40,Assumptions!$C76,'TRA balance'!$D$5:$D$40,Assumptions!$B76)*EP76*AY76,"")</f>
        <v/>
      </c>
      <c r="CV76" s="40" t="str">
        <f ca="1">IFERROR(SUMIFS('TRA balance'!AW$5:AW$40,'TRA balance'!$C$5:$C$40,Assumptions!$C76,'TRA balance'!$D$5:$D$40,Assumptions!$B76)*EQ76*AZ76,"")</f>
        <v/>
      </c>
      <c r="CW76" s="40" t="str">
        <f ca="1">IFERROR(SUMIFS('TRA balance'!AX$5:AX$40,'TRA balance'!$C$5:$C$40,Assumptions!$C76,'TRA balance'!$D$5:$D$40,Assumptions!$B76)*ER76*BA76,"")</f>
        <v/>
      </c>
      <c r="CY76" s="39">
        <f ca="1" t="shared" si="86"/>
        <v>1</v>
      </c>
      <c r="CZ76" s="39">
        <f ca="1" t="shared" si="87"/>
        <v>1</v>
      </c>
      <c r="DA76" s="39">
        <f ca="1" t="shared" si="88"/>
        <v>1</v>
      </c>
      <c r="DB76" s="39">
        <f ca="1" t="shared" si="89"/>
        <v>1</v>
      </c>
      <c r="DC76" s="39">
        <f ca="1" t="shared" si="90"/>
        <v>1</v>
      </c>
      <c r="DD76" s="39">
        <f ca="1" t="shared" si="91"/>
        <v>1</v>
      </c>
      <c r="DE76" s="39">
        <f ca="1" t="shared" si="92"/>
        <v>1</v>
      </c>
      <c r="DF76" s="39">
        <f ca="1" t="shared" si="93"/>
        <v>1</v>
      </c>
      <c r="DG76" s="39">
        <f ca="1" t="shared" si="94"/>
        <v>1</v>
      </c>
      <c r="DH76" s="39">
        <f ca="1" t="shared" si="95"/>
        <v>1</v>
      </c>
      <c r="DI76" s="39">
        <f ca="1" t="shared" si="96"/>
        <v>1</v>
      </c>
      <c r="DJ76" s="39">
        <f ca="1" t="shared" si="97"/>
        <v>1</v>
      </c>
      <c r="DK76" s="39">
        <f ca="1" t="shared" si="98"/>
        <v>1</v>
      </c>
      <c r="DL76" s="39">
        <f ca="1" t="shared" si="99"/>
        <v>1</v>
      </c>
      <c r="DM76" s="39">
        <f ca="1" t="shared" si="100"/>
        <v>1</v>
      </c>
      <c r="DN76" s="39">
        <f ca="1" t="shared" si="101"/>
        <v>1</v>
      </c>
      <c r="DO76" s="39">
        <f ca="1" t="shared" si="102"/>
        <v>1</v>
      </c>
      <c r="DP76" s="39">
        <f ca="1" t="shared" si="103"/>
        <v>1</v>
      </c>
      <c r="DQ76" s="39">
        <f ca="1" t="shared" si="104"/>
        <v>1</v>
      </c>
      <c r="DR76" s="39">
        <f ca="1" t="shared" si="105"/>
        <v>1</v>
      </c>
      <c r="DS76" s="39">
        <f ca="1" t="shared" si="106"/>
        <v>1</v>
      </c>
      <c r="DT76" s="39">
        <f ca="1" t="shared" si="107"/>
        <v>1</v>
      </c>
      <c r="DU76" s="39">
        <f ca="1" t="shared" si="108"/>
        <v>1</v>
      </c>
      <c r="DV76" s="39">
        <f ca="1" t="shared" si="109"/>
        <v>1</v>
      </c>
      <c r="DW76" s="39">
        <f ca="1" t="shared" si="110"/>
        <v>1</v>
      </c>
      <c r="DX76" s="39">
        <f ca="1" t="shared" si="111"/>
        <v>1</v>
      </c>
      <c r="DY76" s="39">
        <f ca="1" t="shared" si="112"/>
        <v>1</v>
      </c>
      <c r="DZ76" s="39">
        <f ca="1" t="shared" si="113"/>
        <v>1</v>
      </c>
      <c r="EA76" s="39">
        <f ca="1" t="shared" si="114"/>
        <v>1</v>
      </c>
      <c r="EB76" s="39">
        <f ca="1" t="shared" si="115"/>
        <v>1</v>
      </c>
      <c r="EC76" s="39">
        <f ca="1" t="shared" si="116"/>
        <v>1</v>
      </c>
      <c r="ED76" s="39">
        <f ca="1" t="shared" si="117"/>
        <v>1</v>
      </c>
      <c r="EE76" s="39">
        <f ca="1" t="shared" si="118"/>
        <v>1</v>
      </c>
      <c r="EF76" s="39">
        <f ca="1" t="shared" si="119"/>
        <v>1</v>
      </c>
      <c r="EG76" s="39">
        <f ca="1" t="shared" si="120"/>
        <v>1</v>
      </c>
      <c r="EH76" s="39">
        <f ca="1" t="shared" si="121"/>
        <v>1</v>
      </c>
      <c r="EI76" s="39">
        <f ca="1" t="shared" si="122"/>
        <v>1</v>
      </c>
      <c r="EJ76" s="39">
        <f ca="1" t="shared" si="123"/>
        <v>1</v>
      </c>
      <c r="EK76" s="39">
        <f ca="1" t="shared" si="124"/>
        <v>1</v>
      </c>
      <c r="EL76" s="39">
        <f ca="1" t="shared" si="125"/>
        <v>1</v>
      </c>
      <c r="EM76" s="39">
        <f ca="1" t="shared" si="126"/>
        <v>1</v>
      </c>
      <c r="EN76" s="39">
        <f ca="1" t="shared" si="127"/>
        <v>1</v>
      </c>
      <c r="EO76" s="39">
        <f ca="1" t="shared" si="128"/>
        <v>1</v>
      </c>
      <c r="EP76" s="39">
        <f ca="1" t="shared" si="129"/>
        <v>1</v>
      </c>
      <c r="EQ76" s="39">
        <f ca="1" t="shared" si="130"/>
        <v>1</v>
      </c>
      <c r="ER76" s="39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2">
        <v>1</v>
      </c>
      <c r="D77" s="63" t="s">
        <v>200</v>
      </c>
      <c r="E77" s="63" t="s">
        <v>201</v>
      </c>
      <c r="F77" s="64" t="s">
        <v>47</v>
      </c>
      <c r="G77" s="62"/>
      <c r="H77" s="57">
        <f ca="1">OFFSET(TIAM15_assumptions!$G77,0,MATCH(VLOOKUP(Assumptions!H$2,TIAM15_assumptions!$Y$3:$Z$87,2,FALSE),TIAM15_assumptions!$H$2:$V$2,0))</f>
        <v>0</v>
      </c>
      <c r="I77" s="57">
        <f ca="1">OFFSET(TIAM15_assumptions!$G77,0,MATCH(VLOOKUP(Assumptions!I$2,TIAM15_assumptions!$Y$3:$Z$87,2,FALSE),TIAM15_assumptions!$H$2:$V$2,0))</f>
        <v>0</v>
      </c>
      <c r="J77" s="57">
        <f ca="1">OFFSET(TIAM15_assumptions!$G77,0,MATCH(VLOOKUP(Assumptions!J$2,TIAM15_assumptions!$Y$3:$Z$87,2,FALSE),TIAM15_assumptions!$H$2:$V$2,0))</f>
        <v>0</v>
      </c>
      <c r="K77" s="57">
        <f ca="1">OFFSET(TIAM15_assumptions!$G77,0,MATCH(VLOOKUP(Assumptions!K$2,TIAM15_assumptions!$Y$3:$Z$87,2,FALSE),TIAM15_assumptions!$H$2:$V$2,0))</f>
        <v>0</v>
      </c>
      <c r="L77" s="57">
        <f ca="1">OFFSET(TIAM15_assumptions!$G77,0,MATCH(VLOOKUP(Assumptions!L$2,TIAM15_assumptions!$Y$3:$Z$87,2,FALSE),TIAM15_assumptions!$H$2:$V$2,0))</f>
        <v>0</v>
      </c>
      <c r="M77" s="57">
        <f ca="1">OFFSET(TIAM15_assumptions!$G77,0,MATCH(VLOOKUP(Assumptions!M$2,TIAM15_assumptions!$Y$3:$Z$87,2,FALSE),TIAM15_assumptions!$H$2:$V$2,0))</f>
        <v>0</v>
      </c>
      <c r="N77" s="57">
        <f ca="1">OFFSET(TIAM15_assumptions!$G77,0,MATCH(VLOOKUP(Assumptions!N$2,TIAM15_assumptions!$Y$3:$Z$87,2,FALSE),TIAM15_assumptions!$H$2:$V$2,0))</f>
        <v>0</v>
      </c>
      <c r="O77" s="57">
        <f ca="1">OFFSET(TIAM15_assumptions!$G77,0,MATCH(VLOOKUP(Assumptions!O$2,TIAM15_assumptions!$Y$3:$Z$87,2,FALSE),TIAM15_assumptions!$H$2:$V$2,0))</f>
        <v>0</v>
      </c>
      <c r="P77" s="57">
        <f ca="1">OFFSET(TIAM15_assumptions!$G77,0,MATCH(VLOOKUP(Assumptions!P$2,TIAM15_assumptions!$Y$3:$Z$87,2,FALSE),TIAM15_assumptions!$H$2:$V$2,0))</f>
        <v>0</v>
      </c>
      <c r="Q77" s="57">
        <f ca="1">OFFSET(TIAM15_assumptions!$G77,0,MATCH(VLOOKUP(Assumptions!Q$2,TIAM15_assumptions!$Y$3:$Z$87,2,FALSE),TIAM15_assumptions!$H$2:$V$2,0))</f>
        <v>0</v>
      </c>
      <c r="R77" s="57">
        <f ca="1">OFFSET(TIAM15_assumptions!$G77,0,MATCH(VLOOKUP(Assumptions!R$2,TIAM15_assumptions!$Y$3:$Z$87,2,FALSE),TIAM15_assumptions!$H$2:$V$2,0))</f>
        <v>0</v>
      </c>
      <c r="S77" s="57">
        <f ca="1">OFFSET(TIAM15_assumptions!$G77,0,MATCH(VLOOKUP(Assumptions!S$2,TIAM15_assumptions!$Y$3:$Z$87,2,FALSE),TIAM15_assumptions!$H$2:$V$2,0))</f>
        <v>0</v>
      </c>
      <c r="T77" s="57">
        <f ca="1">OFFSET(TIAM15_assumptions!$G77,0,MATCH(VLOOKUP(Assumptions!T$2,TIAM15_assumptions!$Y$3:$Z$87,2,FALSE),TIAM15_assumptions!$H$2:$V$2,0))</f>
        <v>0</v>
      </c>
      <c r="U77" s="57">
        <f ca="1">OFFSET(TIAM15_assumptions!$G77,0,MATCH(VLOOKUP(Assumptions!U$2,TIAM15_assumptions!$Y$3:$Z$87,2,FALSE),TIAM15_assumptions!$H$2:$V$2,0))</f>
        <v>0</v>
      </c>
      <c r="V77" s="57">
        <f ca="1">OFFSET(TIAM15_assumptions!$G77,0,MATCH(VLOOKUP(Assumptions!V$2,TIAM15_assumptions!$Y$3:$Z$87,2,FALSE),TIAM15_assumptions!$H$2:$V$2,0))</f>
        <v>0</v>
      </c>
      <c r="W77" s="57">
        <f ca="1">OFFSET(TIAM15_assumptions!$G77,0,MATCH(VLOOKUP(Assumptions!W$2,TIAM15_assumptions!$Y$3:$Z$87,2,FALSE),TIAM15_assumptions!$H$2:$V$2,0))</f>
        <v>0</v>
      </c>
      <c r="X77" s="57">
        <f ca="1">OFFSET(TIAM15_assumptions!$G77,0,MATCH(VLOOKUP(Assumptions!X$2,TIAM15_assumptions!$Y$3:$Z$87,2,FALSE),TIAM15_assumptions!$H$2:$V$2,0))</f>
        <v>0</v>
      </c>
      <c r="Y77" s="57">
        <f ca="1">OFFSET(TIAM15_assumptions!$G77,0,MATCH(VLOOKUP(Assumptions!Y$2,TIAM15_assumptions!$Y$3:$Z$87,2,FALSE),TIAM15_assumptions!$H$2:$V$2,0))</f>
        <v>0</v>
      </c>
      <c r="Z77" s="57">
        <f ca="1">OFFSET(TIAM15_assumptions!$G77,0,MATCH(VLOOKUP(Assumptions!Z$2,TIAM15_assumptions!$Y$3:$Z$87,2,FALSE),TIAM15_assumptions!$H$2:$V$2,0))</f>
        <v>0</v>
      </c>
      <c r="AA77" s="57">
        <f ca="1">OFFSET(TIAM15_assumptions!$G77,0,MATCH(VLOOKUP(Assumptions!AA$2,TIAM15_assumptions!$Y$3:$Z$87,2,FALSE),TIAM15_assumptions!$H$2:$V$2,0))</f>
        <v>0</v>
      </c>
      <c r="AB77" s="57">
        <f ca="1">OFFSET(TIAM15_assumptions!$G77,0,MATCH(VLOOKUP(Assumptions!AB$2,TIAM15_assumptions!$Y$3:$Z$87,2,FALSE),TIAM15_assumptions!$H$2:$V$2,0))</f>
        <v>0</v>
      </c>
      <c r="AC77" s="57">
        <f ca="1">OFFSET(TIAM15_assumptions!$G77,0,MATCH(VLOOKUP(Assumptions!AC$2,TIAM15_assumptions!$Y$3:$Z$87,2,FALSE),TIAM15_assumptions!$H$2:$V$2,0))</f>
        <v>0</v>
      </c>
      <c r="AD77" s="57">
        <f ca="1">OFFSET(TIAM15_assumptions!$G77,0,MATCH(VLOOKUP(Assumptions!AD$2,TIAM15_assumptions!$Y$3:$Z$87,2,FALSE),TIAM15_assumptions!$H$2:$V$2,0))</f>
        <v>0</v>
      </c>
      <c r="AE77" s="57">
        <f ca="1">OFFSET(TIAM15_assumptions!$G77,0,MATCH(VLOOKUP(Assumptions!AE$2,TIAM15_assumptions!$Y$3:$Z$87,2,FALSE),TIAM15_assumptions!$H$2:$V$2,0))</f>
        <v>0</v>
      </c>
      <c r="AF77" s="57">
        <f ca="1">OFFSET(TIAM15_assumptions!$G77,0,MATCH(VLOOKUP(Assumptions!AF$2,TIAM15_assumptions!$Y$3:$Z$87,2,FALSE),TIAM15_assumptions!$H$2:$V$2,0))</f>
        <v>0</v>
      </c>
      <c r="AG77" s="57">
        <f ca="1">OFFSET(TIAM15_assumptions!$G77,0,MATCH(VLOOKUP(Assumptions!AG$2,TIAM15_assumptions!$Y$3:$Z$87,2,FALSE),TIAM15_assumptions!$H$2:$V$2,0))</f>
        <v>0</v>
      </c>
      <c r="AH77" s="57">
        <f ca="1">OFFSET(TIAM15_assumptions!$G77,0,MATCH(VLOOKUP(Assumptions!AH$2,TIAM15_assumptions!$Y$3:$Z$87,2,FALSE),TIAM15_assumptions!$H$2:$V$2,0))</f>
        <v>0</v>
      </c>
      <c r="AI77" s="57">
        <f ca="1">OFFSET(TIAM15_assumptions!$G77,0,MATCH(VLOOKUP(Assumptions!AI$2,TIAM15_assumptions!$Y$3:$Z$87,2,FALSE),TIAM15_assumptions!$H$2:$V$2,0))</f>
        <v>0</v>
      </c>
      <c r="AJ77" s="57">
        <f ca="1">OFFSET(TIAM15_assumptions!$G77,0,MATCH(VLOOKUP(Assumptions!AJ$2,TIAM15_assumptions!$Y$3:$Z$87,2,FALSE),TIAM15_assumptions!$H$2:$V$2,0))</f>
        <v>0</v>
      </c>
      <c r="AK77" s="57">
        <f ca="1">OFFSET(TIAM15_assumptions!$G77,0,MATCH(VLOOKUP(Assumptions!AK$2,TIAM15_assumptions!$Y$3:$Z$87,2,FALSE),TIAM15_assumptions!$H$2:$V$2,0))</f>
        <v>0</v>
      </c>
      <c r="AL77" s="57">
        <f ca="1">OFFSET(TIAM15_assumptions!$G77,0,MATCH(VLOOKUP(Assumptions!AL$2,TIAM15_assumptions!$Y$3:$Z$87,2,FALSE),TIAM15_assumptions!$H$2:$V$2,0))</f>
        <v>0</v>
      </c>
      <c r="AM77" s="57">
        <f ca="1">OFFSET(TIAM15_assumptions!$G77,0,MATCH(VLOOKUP(Assumptions!AM$2,TIAM15_assumptions!$Y$3:$Z$87,2,FALSE),TIAM15_assumptions!$H$2:$V$2,0))</f>
        <v>0</v>
      </c>
      <c r="AN77" s="57">
        <f ca="1">OFFSET(TIAM15_assumptions!$G77,0,MATCH(VLOOKUP(Assumptions!AN$2,TIAM15_assumptions!$Y$3:$Z$87,2,FALSE),TIAM15_assumptions!$H$2:$V$2,0))</f>
        <v>0</v>
      </c>
      <c r="AO77" s="57">
        <f ca="1">OFFSET(TIAM15_assumptions!$G77,0,MATCH(VLOOKUP(Assumptions!AO$2,TIAM15_assumptions!$Y$3:$Z$87,2,FALSE),TIAM15_assumptions!$H$2:$V$2,0))</f>
        <v>0</v>
      </c>
      <c r="AP77" s="57">
        <f ca="1">OFFSET(TIAM15_assumptions!$G77,0,MATCH(VLOOKUP(Assumptions!AP$2,TIAM15_assumptions!$Y$3:$Z$87,2,FALSE),TIAM15_assumptions!$H$2:$V$2,0))</f>
        <v>0</v>
      </c>
      <c r="AQ77" s="57">
        <f ca="1">OFFSET(TIAM15_assumptions!$G77,0,MATCH(VLOOKUP(Assumptions!AQ$2,TIAM15_assumptions!$Y$3:$Z$87,2,FALSE),TIAM15_assumptions!$H$2:$V$2,0))</f>
        <v>0</v>
      </c>
      <c r="AR77" s="57">
        <f ca="1">OFFSET(TIAM15_assumptions!$G77,0,MATCH(VLOOKUP(Assumptions!AR$2,TIAM15_assumptions!$Y$3:$Z$87,2,FALSE),TIAM15_assumptions!$H$2:$V$2,0))</f>
        <v>0</v>
      </c>
      <c r="AS77" s="57">
        <f ca="1">OFFSET(TIAM15_assumptions!$G77,0,MATCH(VLOOKUP(Assumptions!AS$2,TIAM15_assumptions!$Y$3:$Z$87,2,FALSE),TIAM15_assumptions!$H$2:$V$2,0))</f>
        <v>0</v>
      </c>
      <c r="AT77" s="57">
        <f ca="1">OFFSET(TIAM15_assumptions!$G77,0,MATCH(VLOOKUP(Assumptions!AT$2,TIAM15_assumptions!$Y$3:$Z$87,2,FALSE),TIAM15_assumptions!$H$2:$V$2,0))</f>
        <v>0</v>
      </c>
      <c r="AU77" s="57">
        <f ca="1">OFFSET(TIAM15_assumptions!$G77,0,MATCH(VLOOKUP(Assumptions!AU$2,TIAM15_assumptions!$Y$3:$Z$87,2,FALSE),TIAM15_assumptions!$H$2:$V$2,0))</f>
        <v>0</v>
      </c>
      <c r="AV77" s="57">
        <f ca="1">OFFSET(TIAM15_assumptions!$G77,0,MATCH(VLOOKUP(Assumptions!AV$2,TIAM15_assumptions!$Y$3:$Z$87,2,FALSE),TIAM15_assumptions!$H$2:$V$2,0))</f>
        <v>0</v>
      </c>
      <c r="AW77" s="57">
        <f ca="1">OFFSET(TIAM15_assumptions!$G77,0,MATCH(VLOOKUP(Assumptions!AW$2,TIAM15_assumptions!$Y$3:$Z$87,2,FALSE),TIAM15_assumptions!$H$2:$V$2,0))</f>
        <v>0</v>
      </c>
      <c r="AX77" s="57">
        <f ca="1">OFFSET(TIAM15_assumptions!$G77,0,MATCH(VLOOKUP(Assumptions!AX$2,TIAM15_assumptions!$Y$3:$Z$87,2,FALSE),TIAM15_assumptions!$H$2:$V$2,0))</f>
        <v>0</v>
      </c>
      <c r="AY77" s="57">
        <f ca="1">OFFSET(TIAM15_assumptions!$G77,0,MATCH(VLOOKUP(Assumptions!AY$2,TIAM15_assumptions!$Y$3:$Z$87,2,FALSE),TIAM15_assumptions!$H$2:$V$2,0))</f>
        <v>0</v>
      </c>
      <c r="AZ77" s="57">
        <f ca="1">OFFSET(TIAM15_assumptions!$G77,0,MATCH(VLOOKUP(Assumptions!AZ$2,TIAM15_assumptions!$Y$3:$Z$87,2,FALSE),TIAM15_assumptions!$H$2:$V$2,0))</f>
        <v>0</v>
      </c>
      <c r="BA77" s="57">
        <f ca="1">OFFSET(TIAM15_assumptions!$G77,0,MATCH(VLOOKUP(Assumptions!BA$2,TIAM15_assumptions!$Y$3:$Z$87,2,FALSE),TIAM15_assumptions!$H$2:$V$2,0))</f>
        <v>0</v>
      </c>
      <c r="BD77" s="40">
        <f ca="1">IFERROR(SUMIFS('TRA balance'!E$5:E$40,'TRA balance'!$C$5:$C$40,Assumptions!$C77,'TRA balance'!$D$5:$D$40,Assumptions!$B77)*CY77*H77,"")</f>
        <v>0</v>
      </c>
      <c r="BE77" s="40">
        <f ca="1">IFERROR(SUMIFS('TRA balance'!F$5:F$40,'TRA balance'!$C$5:$C$40,Assumptions!$C77,'TRA balance'!$D$5:$D$40,Assumptions!$B77)*CZ77*I77,"")</f>
        <v>0</v>
      </c>
      <c r="BF77" s="40">
        <f ca="1">IFERROR(SUMIFS('TRA balance'!G$5:G$40,'TRA balance'!$C$5:$C$40,Assumptions!$C77,'TRA balance'!$D$5:$D$40,Assumptions!$B77)*DA77*J77,"")</f>
        <v>0</v>
      </c>
      <c r="BG77" s="40">
        <f ca="1">IFERROR(SUMIFS('TRA balance'!H$5:H$40,'TRA balance'!$C$5:$C$40,Assumptions!$C77,'TRA balance'!$D$5:$D$40,Assumptions!$B77)*DB77*K77,"")</f>
        <v>0</v>
      </c>
      <c r="BH77" s="40">
        <f ca="1">IFERROR(SUMIFS('TRA balance'!I$5:I$40,'TRA balance'!$C$5:$C$40,Assumptions!$C77,'TRA balance'!$D$5:$D$40,Assumptions!$B77)*DC77*L77,"")</f>
        <v>0</v>
      </c>
      <c r="BI77" s="40">
        <f ca="1">IFERROR(SUMIFS('TRA balance'!J$5:J$40,'TRA balance'!$C$5:$C$40,Assumptions!$C77,'TRA balance'!$D$5:$D$40,Assumptions!$B77)*DD77*M77,"")</f>
        <v>0</v>
      </c>
      <c r="BJ77" s="40">
        <f ca="1">IFERROR(SUMIFS('TRA balance'!K$5:K$40,'TRA balance'!$C$5:$C$40,Assumptions!$C77,'TRA balance'!$D$5:$D$40,Assumptions!$B77)*DE77*N77,"")</f>
        <v>0</v>
      </c>
      <c r="BK77" s="40">
        <f ca="1">IFERROR(SUMIFS('TRA balance'!L$5:L$40,'TRA balance'!$C$5:$C$40,Assumptions!$C77,'TRA balance'!$D$5:$D$40,Assumptions!$B77)*DF77*O77,"")</f>
        <v>0</v>
      </c>
      <c r="BL77" s="40">
        <f ca="1">IFERROR(SUMIFS('TRA balance'!M$5:M$40,'TRA balance'!$C$5:$C$40,Assumptions!$C77,'TRA balance'!$D$5:$D$40,Assumptions!$B77)*DG77*P77,"")</f>
        <v>0</v>
      </c>
      <c r="BM77" s="40">
        <f ca="1">IFERROR(SUMIFS('TRA balance'!N$5:N$40,'TRA balance'!$C$5:$C$40,Assumptions!$C77,'TRA balance'!$D$5:$D$40,Assumptions!$B77)*DH77*Q77,"")</f>
        <v>0</v>
      </c>
      <c r="BN77" s="40">
        <f ca="1">IFERROR(SUMIFS('TRA balance'!O$5:O$40,'TRA balance'!$C$5:$C$40,Assumptions!$C77,'TRA balance'!$D$5:$D$40,Assumptions!$B77)*DI77*R77,"")</f>
        <v>0</v>
      </c>
      <c r="BO77" s="40">
        <f ca="1">IFERROR(SUMIFS('TRA balance'!P$5:P$40,'TRA balance'!$C$5:$C$40,Assumptions!$C77,'TRA balance'!$D$5:$D$40,Assumptions!$B77)*DJ77*S77,"")</f>
        <v>0</v>
      </c>
      <c r="BP77" s="40">
        <f ca="1">IFERROR(SUMIFS('TRA balance'!Q$5:Q$40,'TRA balance'!$C$5:$C$40,Assumptions!$C77,'TRA balance'!$D$5:$D$40,Assumptions!$B77)*DK77*T77,"")</f>
        <v>0</v>
      </c>
      <c r="BQ77" s="40">
        <f ca="1">IFERROR(SUMIFS('TRA balance'!R$5:R$40,'TRA balance'!$C$5:$C$40,Assumptions!$C77,'TRA balance'!$D$5:$D$40,Assumptions!$B77)*DL77*U77,"")</f>
        <v>0</v>
      </c>
      <c r="BR77" s="40">
        <f ca="1">IFERROR(SUMIFS('TRA balance'!S$5:S$40,'TRA balance'!$C$5:$C$40,Assumptions!$C77,'TRA balance'!$D$5:$D$40,Assumptions!$B77)*DM77*V77,"")</f>
        <v>0</v>
      </c>
      <c r="BS77" s="40">
        <f ca="1">IFERROR(SUMIFS('TRA balance'!T$5:T$40,'TRA balance'!$C$5:$C$40,Assumptions!$C77,'TRA balance'!$D$5:$D$40,Assumptions!$B77)*DN77*W77,"")</f>
        <v>0</v>
      </c>
      <c r="BT77" s="40">
        <f ca="1">IFERROR(SUMIFS('TRA balance'!U$5:U$40,'TRA balance'!$C$5:$C$40,Assumptions!$C77,'TRA balance'!$D$5:$D$40,Assumptions!$B77)*DO77*X77,"")</f>
        <v>0</v>
      </c>
      <c r="BU77" s="40">
        <f ca="1">IFERROR(SUMIFS('TRA balance'!V$5:V$40,'TRA balance'!$C$5:$C$40,Assumptions!$C77,'TRA balance'!$D$5:$D$40,Assumptions!$B77)*DP77*Y77,"")</f>
        <v>0</v>
      </c>
      <c r="BV77" s="40">
        <f ca="1">IFERROR(SUMIFS('TRA balance'!W$5:W$40,'TRA balance'!$C$5:$C$40,Assumptions!$C77,'TRA balance'!$D$5:$D$40,Assumptions!$B77)*DQ77*Z77,"")</f>
        <v>0</v>
      </c>
      <c r="BW77" s="40">
        <f ca="1">IFERROR(SUMIFS('TRA balance'!X$5:X$40,'TRA balance'!$C$5:$C$40,Assumptions!$C77,'TRA balance'!$D$5:$D$40,Assumptions!$B77)*DR77*AA77,"")</f>
        <v>0</v>
      </c>
      <c r="BX77" s="40">
        <f ca="1">IFERROR(SUMIFS('TRA balance'!Y$5:Y$40,'TRA balance'!$C$5:$C$40,Assumptions!$C77,'TRA balance'!$D$5:$D$40,Assumptions!$B77)*DS77*AB77,"")</f>
        <v>0</v>
      </c>
      <c r="BY77" s="40">
        <f ca="1">IFERROR(SUMIFS('TRA balance'!Z$5:Z$40,'TRA balance'!$C$5:$C$40,Assumptions!$C77,'TRA balance'!$D$5:$D$40,Assumptions!$B77)*DT77*AC77,"")</f>
        <v>0</v>
      </c>
      <c r="BZ77" s="40">
        <f ca="1">IFERROR(SUMIFS('TRA balance'!AA$5:AA$40,'TRA balance'!$C$5:$C$40,Assumptions!$C77,'TRA balance'!$D$5:$D$40,Assumptions!$B77)*DU77*AD77,"")</f>
        <v>0</v>
      </c>
      <c r="CA77" s="40">
        <f ca="1">IFERROR(SUMIFS('TRA balance'!AB$5:AB$40,'TRA balance'!$C$5:$C$40,Assumptions!$C77,'TRA balance'!$D$5:$D$40,Assumptions!$B77)*DV77*AE77,"")</f>
        <v>0</v>
      </c>
      <c r="CB77" s="40">
        <f ca="1">IFERROR(SUMIFS('TRA balance'!AC$5:AC$40,'TRA balance'!$C$5:$C$40,Assumptions!$C77,'TRA balance'!$D$5:$D$40,Assumptions!$B77)*DW77*AF77,"")</f>
        <v>0</v>
      </c>
      <c r="CC77" s="40">
        <f ca="1">IFERROR(SUMIFS('TRA balance'!AD$5:AD$40,'TRA balance'!$C$5:$C$40,Assumptions!$C77,'TRA balance'!$D$5:$D$40,Assumptions!$B77)*DX77*AG77,"")</f>
        <v>0</v>
      </c>
      <c r="CD77" s="40">
        <f ca="1">IFERROR(SUMIFS('TRA balance'!AE$5:AE$40,'TRA balance'!$C$5:$C$40,Assumptions!$C77,'TRA balance'!$D$5:$D$40,Assumptions!$B77)*DY77*AH77,"")</f>
        <v>0</v>
      </c>
      <c r="CE77" s="40">
        <f ca="1">IFERROR(SUMIFS('TRA balance'!AF$5:AF$40,'TRA balance'!$C$5:$C$40,Assumptions!$C77,'TRA balance'!$D$5:$D$40,Assumptions!$B77)*DZ77*AI77,"")</f>
        <v>0</v>
      </c>
      <c r="CF77" s="40">
        <f ca="1">IFERROR(SUMIFS('TRA balance'!AG$5:AG$40,'TRA balance'!$C$5:$C$40,Assumptions!$C77,'TRA balance'!$D$5:$D$40,Assumptions!$B77)*EA77*AJ77,"")</f>
        <v>0</v>
      </c>
      <c r="CG77" s="40">
        <f ca="1">IFERROR(SUMIFS('TRA balance'!AH$5:AH$40,'TRA balance'!$C$5:$C$40,Assumptions!$C77,'TRA balance'!$D$5:$D$40,Assumptions!$B77)*EB77*AK77,"")</f>
        <v>0</v>
      </c>
      <c r="CH77" s="40">
        <f ca="1">IFERROR(SUMIFS('TRA balance'!AI$5:AI$40,'TRA balance'!$C$5:$C$40,Assumptions!$C77,'TRA balance'!$D$5:$D$40,Assumptions!$B77)*EC77*AL77,"")</f>
        <v>0</v>
      </c>
      <c r="CI77" s="40">
        <f ca="1">IFERROR(SUMIFS('TRA balance'!AJ$5:AJ$40,'TRA balance'!$C$5:$C$40,Assumptions!$C77,'TRA balance'!$D$5:$D$40,Assumptions!$B77)*ED77*AM77,"")</f>
        <v>0</v>
      </c>
      <c r="CJ77" s="40">
        <f ca="1">IFERROR(SUMIFS('TRA balance'!AK$5:AK$40,'TRA balance'!$C$5:$C$40,Assumptions!$C77,'TRA balance'!$D$5:$D$40,Assumptions!$B77)*EE77*AN77,"")</f>
        <v>0</v>
      </c>
      <c r="CK77" s="40">
        <f ca="1">IFERROR(SUMIFS('TRA balance'!AL$5:AL$40,'TRA balance'!$C$5:$C$40,Assumptions!$C77,'TRA balance'!$D$5:$D$40,Assumptions!$B77)*EF77*AO77,"")</f>
        <v>0</v>
      </c>
      <c r="CL77" s="40">
        <f ca="1">IFERROR(SUMIFS('TRA balance'!AM$5:AM$40,'TRA balance'!$C$5:$C$40,Assumptions!$C77,'TRA balance'!$D$5:$D$40,Assumptions!$B77)*EG77*AP77,"")</f>
        <v>0</v>
      </c>
      <c r="CM77" s="40">
        <f ca="1">IFERROR(SUMIFS('TRA balance'!AN$5:AN$40,'TRA balance'!$C$5:$C$40,Assumptions!$C77,'TRA balance'!$D$5:$D$40,Assumptions!$B77)*EH77*AQ77,"")</f>
        <v>0</v>
      </c>
      <c r="CN77" s="40">
        <f ca="1">IFERROR(SUMIFS('TRA balance'!AO$5:AO$40,'TRA balance'!$C$5:$C$40,Assumptions!$C77,'TRA balance'!$D$5:$D$40,Assumptions!$B77)*EI77*AR77,"")</f>
        <v>0</v>
      </c>
      <c r="CO77" s="40">
        <f ca="1">IFERROR(SUMIFS('TRA balance'!AP$5:AP$40,'TRA balance'!$C$5:$C$40,Assumptions!$C77,'TRA balance'!$D$5:$D$40,Assumptions!$B77)*EJ77*AS77,"")</f>
        <v>0</v>
      </c>
      <c r="CP77" s="40">
        <f ca="1">IFERROR(SUMIFS('TRA balance'!AQ$5:AQ$40,'TRA balance'!$C$5:$C$40,Assumptions!$C77,'TRA balance'!$D$5:$D$40,Assumptions!$B77)*EK77*AT77,"")</f>
        <v>0</v>
      </c>
      <c r="CQ77" s="40">
        <f ca="1">IFERROR(SUMIFS('TRA balance'!AR$5:AR$40,'TRA balance'!$C$5:$C$40,Assumptions!$C77,'TRA balance'!$D$5:$D$40,Assumptions!$B77)*EL77*AU77,"")</f>
        <v>0</v>
      </c>
      <c r="CR77" s="40">
        <f ca="1">IFERROR(SUMIFS('TRA balance'!AS$5:AS$40,'TRA balance'!$C$5:$C$40,Assumptions!$C77,'TRA balance'!$D$5:$D$40,Assumptions!$B77)*EM77*AV77,"")</f>
        <v>0</v>
      </c>
      <c r="CS77" s="40">
        <f ca="1">IFERROR(SUMIFS('TRA balance'!AT$5:AT$40,'TRA balance'!$C$5:$C$40,Assumptions!$C77,'TRA balance'!$D$5:$D$40,Assumptions!$B77)*EN77*AW77,"")</f>
        <v>0</v>
      </c>
      <c r="CT77" s="40">
        <f ca="1">IFERROR(SUMIFS('TRA balance'!AU$5:AU$40,'TRA balance'!$C$5:$C$40,Assumptions!$C77,'TRA balance'!$D$5:$D$40,Assumptions!$B77)*EO77*AX77,"")</f>
        <v>0</v>
      </c>
      <c r="CU77" s="40">
        <f ca="1">IFERROR(SUMIFS('TRA balance'!AV$5:AV$40,'TRA balance'!$C$5:$C$40,Assumptions!$C77,'TRA balance'!$D$5:$D$40,Assumptions!$B77)*EP77*AY77,"")</f>
        <v>0</v>
      </c>
      <c r="CV77" s="40">
        <f ca="1">IFERROR(SUMIFS('TRA balance'!AW$5:AW$40,'TRA balance'!$C$5:$C$40,Assumptions!$C77,'TRA balance'!$D$5:$D$40,Assumptions!$B77)*EQ77*AZ77,"")</f>
        <v>0</v>
      </c>
      <c r="CW77" s="40">
        <f ca="1">IFERROR(SUMIFS('TRA balance'!AX$5:AX$40,'TRA balance'!$C$5:$C$40,Assumptions!$C77,'TRA balance'!$D$5:$D$40,Assumptions!$B77)*ER77*BA77,"")</f>
        <v>0</v>
      </c>
      <c r="CY77" s="39">
        <f ca="1" t="shared" si="86"/>
        <v>1</v>
      </c>
      <c r="CZ77" s="39">
        <f ca="1" t="shared" si="87"/>
        <v>1</v>
      </c>
      <c r="DA77" s="39">
        <f ca="1" t="shared" si="88"/>
        <v>1</v>
      </c>
      <c r="DB77" s="39">
        <f ca="1" t="shared" si="89"/>
        <v>1</v>
      </c>
      <c r="DC77" s="39">
        <f ca="1" t="shared" si="90"/>
        <v>1</v>
      </c>
      <c r="DD77" s="39">
        <f ca="1" t="shared" si="91"/>
        <v>1</v>
      </c>
      <c r="DE77" s="39">
        <f ca="1" t="shared" si="92"/>
        <v>1</v>
      </c>
      <c r="DF77" s="39">
        <f ca="1" t="shared" si="93"/>
        <v>1</v>
      </c>
      <c r="DG77" s="39">
        <f ca="1" t="shared" si="94"/>
        <v>1</v>
      </c>
      <c r="DH77" s="39">
        <f ca="1" t="shared" si="95"/>
        <v>1</v>
      </c>
      <c r="DI77" s="39">
        <f ca="1" t="shared" si="96"/>
        <v>1</v>
      </c>
      <c r="DJ77" s="39">
        <f ca="1" t="shared" si="97"/>
        <v>1</v>
      </c>
      <c r="DK77" s="39">
        <f ca="1" t="shared" si="98"/>
        <v>1</v>
      </c>
      <c r="DL77" s="39">
        <f ca="1" t="shared" si="99"/>
        <v>1</v>
      </c>
      <c r="DM77" s="39">
        <f ca="1" t="shared" si="100"/>
        <v>1</v>
      </c>
      <c r="DN77" s="39">
        <f ca="1" t="shared" si="101"/>
        <v>1</v>
      </c>
      <c r="DO77" s="39">
        <f ca="1" t="shared" si="102"/>
        <v>1</v>
      </c>
      <c r="DP77" s="39">
        <f ca="1" t="shared" si="103"/>
        <v>1</v>
      </c>
      <c r="DQ77" s="39">
        <f ca="1" t="shared" si="104"/>
        <v>1</v>
      </c>
      <c r="DR77" s="39">
        <f ca="1" t="shared" si="105"/>
        <v>1</v>
      </c>
      <c r="DS77" s="39">
        <f ca="1" t="shared" si="106"/>
        <v>1</v>
      </c>
      <c r="DT77" s="39">
        <f ca="1" t="shared" si="107"/>
        <v>1</v>
      </c>
      <c r="DU77" s="39">
        <f ca="1" t="shared" si="108"/>
        <v>1</v>
      </c>
      <c r="DV77" s="39">
        <f ca="1" t="shared" si="109"/>
        <v>1</v>
      </c>
      <c r="DW77" s="39">
        <f ca="1" t="shared" si="110"/>
        <v>1</v>
      </c>
      <c r="DX77" s="39">
        <f ca="1" t="shared" si="111"/>
        <v>1</v>
      </c>
      <c r="DY77" s="39">
        <f ca="1" t="shared" si="112"/>
        <v>1</v>
      </c>
      <c r="DZ77" s="39">
        <f ca="1" t="shared" si="113"/>
        <v>1</v>
      </c>
      <c r="EA77" s="39">
        <f ca="1" t="shared" si="114"/>
        <v>1</v>
      </c>
      <c r="EB77" s="39">
        <f ca="1" t="shared" si="115"/>
        <v>1</v>
      </c>
      <c r="EC77" s="39">
        <f ca="1" t="shared" si="116"/>
        <v>1</v>
      </c>
      <c r="ED77" s="39">
        <f ca="1" t="shared" si="117"/>
        <v>1</v>
      </c>
      <c r="EE77" s="39">
        <f ca="1" t="shared" si="118"/>
        <v>1</v>
      </c>
      <c r="EF77" s="39">
        <f ca="1" t="shared" si="119"/>
        <v>1</v>
      </c>
      <c r="EG77" s="39">
        <f ca="1" t="shared" si="120"/>
        <v>1</v>
      </c>
      <c r="EH77" s="39">
        <f ca="1" t="shared" si="121"/>
        <v>1</v>
      </c>
      <c r="EI77" s="39">
        <f ca="1" t="shared" si="122"/>
        <v>1</v>
      </c>
      <c r="EJ77" s="39">
        <f ca="1" t="shared" si="123"/>
        <v>1</v>
      </c>
      <c r="EK77" s="39">
        <f ca="1" t="shared" si="124"/>
        <v>1</v>
      </c>
      <c r="EL77" s="39">
        <f ca="1" t="shared" si="125"/>
        <v>1</v>
      </c>
      <c r="EM77" s="39">
        <f ca="1" t="shared" si="126"/>
        <v>1</v>
      </c>
      <c r="EN77" s="39">
        <f ca="1" t="shared" si="127"/>
        <v>1</v>
      </c>
      <c r="EO77" s="39">
        <f ca="1" t="shared" si="128"/>
        <v>1</v>
      </c>
      <c r="EP77" s="39">
        <f ca="1" t="shared" si="129"/>
        <v>1</v>
      </c>
      <c r="EQ77" s="39">
        <f ca="1" t="shared" si="130"/>
        <v>1</v>
      </c>
      <c r="ER77" s="39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4" t="str">
        <f t="shared" si="133"/>
        <v>TR</v>
      </c>
      <c r="D78" s="55" t="s">
        <v>200</v>
      </c>
      <c r="E78" s="66" t="s">
        <v>202</v>
      </c>
      <c r="F78" s="56" t="str">
        <f>F77</f>
        <v>Bio Gasoline</v>
      </c>
      <c r="G78" s="54" t="s">
        <v>203</v>
      </c>
      <c r="H78" s="57">
        <f ca="1">OFFSET(TIAM15_assumptions!$G78,0,MATCH(VLOOKUP(Assumptions!H$2,TIAM15_assumptions!$Y$3:$Z$87,2,FALSE),TIAM15_assumptions!$H$2:$V$2,0))</f>
        <v>1</v>
      </c>
      <c r="I78" s="57">
        <f ca="1">OFFSET(TIAM15_assumptions!$G78,0,MATCH(VLOOKUP(Assumptions!I$2,TIAM15_assumptions!$Y$3:$Z$87,2,FALSE),TIAM15_assumptions!$H$2:$V$2,0))</f>
        <v>1</v>
      </c>
      <c r="J78" s="57">
        <f ca="1">OFFSET(TIAM15_assumptions!$G78,0,MATCH(VLOOKUP(Assumptions!J$2,TIAM15_assumptions!$Y$3:$Z$87,2,FALSE),TIAM15_assumptions!$H$2:$V$2,0))</f>
        <v>1</v>
      </c>
      <c r="K78" s="57">
        <f ca="1">OFFSET(TIAM15_assumptions!$G78,0,MATCH(VLOOKUP(Assumptions!K$2,TIAM15_assumptions!$Y$3:$Z$87,2,FALSE),TIAM15_assumptions!$H$2:$V$2,0))</f>
        <v>1</v>
      </c>
      <c r="L78" s="57">
        <f ca="1">OFFSET(TIAM15_assumptions!$G78,0,MATCH(VLOOKUP(Assumptions!L$2,TIAM15_assumptions!$Y$3:$Z$87,2,FALSE),TIAM15_assumptions!$H$2:$V$2,0))</f>
        <v>1</v>
      </c>
      <c r="M78" s="57">
        <f ca="1">OFFSET(TIAM15_assumptions!$G78,0,MATCH(VLOOKUP(Assumptions!M$2,TIAM15_assumptions!$Y$3:$Z$87,2,FALSE),TIAM15_assumptions!$H$2:$V$2,0))</f>
        <v>1</v>
      </c>
      <c r="N78" s="57">
        <f ca="1">OFFSET(TIAM15_assumptions!$G78,0,MATCH(VLOOKUP(Assumptions!N$2,TIAM15_assumptions!$Y$3:$Z$87,2,FALSE),TIAM15_assumptions!$H$2:$V$2,0))</f>
        <v>1</v>
      </c>
      <c r="O78" s="57">
        <f ca="1">OFFSET(TIAM15_assumptions!$G78,0,MATCH(VLOOKUP(Assumptions!O$2,TIAM15_assumptions!$Y$3:$Z$87,2,FALSE),TIAM15_assumptions!$H$2:$V$2,0))</f>
        <v>1</v>
      </c>
      <c r="P78" s="57">
        <f ca="1">OFFSET(TIAM15_assumptions!$G78,0,MATCH(VLOOKUP(Assumptions!P$2,TIAM15_assumptions!$Y$3:$Z$87,2,FALSE),TIAM15_assumptions!$H$2:$V$2,0))</f>
        <v>1</v>
      </c>
      <c r="Q78" s="57">
        <f ca="1">OFFSET(TIAM15_assumptions!$G78,0,MATCH(VLOOKUP(Assumptions!Q$2,TIAM15_assumptions!$Y$3:$Z$87,2,FALSE),TIAM15_assumptions!$H$2:$V$2,0))</f>
        <v>1</v>
      </c>
      <c r="R78" s="57">
        <f ca="1">OFFSET(TIAM15_assumptions!$G78,0,MATCH(VLOOKUP(Assumptions!R$2,TIAM15_assumptions!$Y$3:$Z$87,2,FALSE),TIAM15_assumptions!$H$2:$V$2,0))</f>
        <v>1</v>
      </c>
      <c r="S78" s="57">
        <f ca="1">OFFSET(TIAM15_assumptions!$G78,0,MATCH(VLOOKUP(Assumptions!S$2,TIAM15_assumptions!$Y$3:$Z$87,2,FALSE),TIAM15_assumptions!$H$2:$V$2,0))</f>
        <v>1</v>
      </c>
      <c r="T78" s="57">
        <f ca="1">OFFSET(TIAM15_assumptions!$G78,0,MATCH(VLOOKUP(Assumptions!T$2,TIAM15_assumptions!$Y$3:$Z$87,2,FALSE),TIAM15_assumptions!$H$2:$V$2,0))</f>
        <v>1</v>
      </c>
      <c r="U78" s="57">
        <f ca="1">OFFSET(TIAM15_assumptions!$G78,0,MATCH(VLOOKUP(Assumptions!U$2,TIAM15_assumptions!$Y$3:$Z$87,2,FALSE),TIAM15_assumptions!$H$2:$V$2,0))</f>
        <v>1</v>
      </c>
      <c r="V78" s="57">
        <f ca="1">OFFSET(TIAM15_assumptions!$G78,0,MATCH(VLOOKUP(Assumptions!V$2,TIAM15_assumptions!$Y$3:$Z$87,2,FALSE),TIAM15_assumptions!$H$2:$V$2,0))</f>
        <v>1</v>
      </c>
      <c r="W78" s="57">
        <f ca="1">OFFSET(TIAM15_assumptions!$G78,0,MATCH(VLOOKUP(Assumptions!W$2,TIAM15_assumptions!$Y$3:$Z$87,2,FALSE),TIAM15_assumptions!$H$2:$V$2,0))</f>
        <v>1</v>
      </c>
      <c r="X78" s="57">
        <f ca="1">OFFSET(TIAM15_assumptions!$G78,0,MATCH(VLOOKUP(Assumptions!X$2,TIAM15_assumptions!$Y$3:$Z$87,2,FALSE),TIAM15_assumptions!$H$2:$V$2,0))</f>
        <v>1</v>
      </c>
      <c r="Y78" s="57">
        <f ca="1">OFFSET(TIAM15_assumptions!$G78,0,MATCH(VLOOKUP(Assumptions!Y$2,TIAM15_assumptions!$Y$3:$Z$87,2,FALSE),TIAM15_assumptions!$H$2:$V$2,0))</f>
        <v>1</v>
      </c>
      <c r="Z78" s="57">
        <f ca="1">OFFSET(TIAM15_assumptions!$G78,0,MATCH(VLOOKUP(Assumptions!Z$2,TIAM15_assumptions!$Y$3:$Z$87,2,FALSE),TIAM15_assumptions!$H$2:$V$2,0))</f>
        <v>1</v>
      </c>
      <c r="AA78" s="57">
        <f ca="1">OFFSET(TIAM15_assumptions!$G78,0,MATCH(VLOOKUP(Assumptions!AA$2,TIAM15_assumptions!$Y$3:$Z$87,2,FALSE),TIAM15_assumptions!$H$2:$V$2,0))</f>
        <v>1</v>
      </c>
      <c r="AB78" s="57">
        <f ca="1">OFFSET(TIAM15_assumptions!$G78,0,MATCH(VLOOKUP(Assumptions!AB$2,TIAM15_assumptions!$Y$3:$Z$87,2,FALSE),TIAM15_assumptions!$H$2:$V$2,0))</f>
        <v>1</v>
      </c>
      <c r="AC78" s="57">
        <f ca="1">OFFSET(TIAM15_assumptions!$G78,0,MATCH(VLOOKUP(Assumptions!AC$2,TIAM15_assumptions!$Y$3:$Z$87,2,FALSE),TIAM15_assumptions!$H$2:$V$2,0))</f>
        <v>1</v>
      </c>
      <c r="AD78" s="57">
        <f ca="1">OFFSET(TIAM15_assumptions!$G78,0,MATCH(VLOOKUP(Assumptions!AD$2,TIAM15_assumptions!$Y$3:$Z$87,2,FALSE),TIAM15_assumptions!$H$2:$V$2,0))</f>
        <v>1</v>
      </c>
      <c r="AE78" s="57">
        <f ca="1">OFFSET(TIAM15_assumptions!$G78,0,MATCH(VLOOKUP(Assumptions!AE$2,TIAM15_assumptions!$Y$3:$Z$87,2,FALSE),TIAM15_assumptions!$H$2:$V$2,0))</f>
        <v>1</v>
      </c>
      <c r="AF78" s="57">
        <f ca="1">OFFSET(TIAM15_assumptions!$G78,0,MATCH(VLOOKUP(Assumptions!AF$2,TIAM15_assumptions!$Y$3:$Z$87,2,FALSE),TIAM15_assumptions!$H$2:$V$2,0))</f>
        <v>1</v>
      </c>
      <c r="AG78" s="57">
        <f ca="1">OFFSET(TIAM15_assumptions!$G78,0,MATCH(VLOOKUP(Assumptions!AG$2,TIAM15_assumptions!$Y$3:$Z$87,2,FALSE),TIAM15_assumptions!$H$2:$V$2,0))</f>
        <v>1</v>
      </c>
      <c r="AH78" s="57">
        <f ca="1">OFFSET(TIAM15_assumptions!$G78,0,MATCH(VLOOKUP(Assumptions!AH$2,TIAM15_assumptions!$Y$3:$Z$87,2,FALSE),TIAM15_assumptions!$H$2:$V$2,0))</f>
        <v>1</v>
      </c>
      <c r="AI78" s="57">
        <f ca="1">OFFSET(TIAM15_assumptions!$G78,0,MATCH(VLOOKUP(Assumptions!AI$2,TIAM15_assumptions!$Y$3:$Z$87,2,FALSE),TIAM15_assumptions!$H$2:$V$2,0))</f>
        <v>1</v>
      </c>
      <c r="AJ78" s="57">
        <f ca="1">OFFSET(TIAM15_assumptions!$G78,0,MATCH(VLOOKUP(Assumptions!AJ$2,TIAM15_assumptions!$Y$3:$Z$87,2,FALSE),TIAM15_assumptions!$H$2:$V$2,0))</f>
        <v>1</v>
      </c>
      <c r="AK78" s="57">
        <f ca="1">OFFSET(TIAM15_assumptions!$G78,0,MATCH(VLOOKUP(Assumptions!AK$2,TIAM15_assumptions!$Y$3:$Z$87,2,FALSE),TIAM15_assumptions!$H$2:$V$2,0))</f>
        <v>1</v>
      </c>
      <c r="AL78" s="57">
        <f ca="1">OFFSET(TIAM15_assumptions!$G78,0,MATCH(VLOOKUP(Assumptions!AL$2,TIAM15_assumptions!$Y$3:$Z$87,2,FALSE),TIAM15_assumptions!$H$2:$V$2,0))</f>
        <v>1</v>
      </c>
      <c r="AM78" s="57">
        <f ca="1">OFFSET(TIAM15_assumptions!$G78,0,MATCH(VLOOKUP(Assumptions!AM$2,TIAM15_assumptions!$Y$3:$Z$87,2,FALSE),TIAM15_assumptions!$H$2:$V$2,0))</f>
        <v>1</v>
      </c>
      <c r="AN78" s="57">
        <f ca="1">OFFSET(TIAM15_assumptions!$G78,0,MATCH(VLOOKUP(Assumptions!AN$2,TIAM15_assumptions!$Y$3:$Z$87,2,FALSE),TIAM15_assumptions!$H$2:$V$2,0))</f>
        <v>1</v>
      </c>
      <c r="AO78" s="57">
        <f ca="1">OFFSET(TIAM15_assumptions!$G78,0,MATCH(VLOOKUP(Assumptions!AO$2,TIAM15_assumptions!$Y$3:$Z$87,2,FALSE),TIAM15_assumptions!$H$2:$V$2,0))</f>
        <v>1</v>
      </c>
      <c r="AP78" s="57">
        <f ca="1">OFFSET(TIAM15_assumptions!$G78,0,MATCH(VLOOKUP(Assumptions!AP$2,TIAM15_assumptions!$Y$3:$Z$87,2,FALSE),TIAM15_assumptions!$H$2:$V$2,0))</f>
        <v>1</v>
      </c>
      <c r="AQ78" s="57">
        <f ca="1">OFFSET(TIAM15_assumptions!$G78,0,MATCH(VLOOKUP(Assumptions!AQ$2,TIAM15_assumptions!$Y$3:$Z$87,2,FALSE),TIAM15_assumptions!$H$2:$V$2,0))</f>
        <v>1</v>
      </c>
      <c r="AR78" s="57">
        <f ca="1">OFFSET(TIAM15_assumptions!$G78,0,MATCH(VLOOKUP(Assumptions!AR$2,TIAM15_assumptions!$Y$3:$Z$87,2,FALSE),TIAM15_assumptions!$H$2:$V$2,0))</f>
        <v>1</v>
      </c>
      <c r="AS78" s="57">
        <f ca="1">OFFSET(TIAM15_assumptions!$G78,0,MATCH(VLOOKUP(Assumptions!AS$2,TIAM15_assumptions!$Y$3:$Z$87,2,FALSE),TIAM15_assumptions!$H$2:$V$2,0))</f>
        <v>1</v>
      </c>
      <c r="AT78" s="57">
        <f ca="1">OFFSET(TIAM15_assumptions!$G78,0,MATCH(VLOOKUP(Assumptions!AT$2,TIAM15_assumptions!$Y$3:$Z$87,2,FALSE),TIAM15_assumptions!$H$2:$V$2,0))</f>
        <v>1</v>
      </c>
      <c r="AU78" s="57">
        <f ca="1">OFFSET(TIAM15_assumptions!$G78,0,MATCH(VLOOKUP(Assumptions!AU$2,TIAM15_assumptions!$Y$3:$Z$87,2,FALSE),TIAM15_assumptions!$H$2:$V$2,0))</f>
        <v>1</v>
      </c>
      <c r="AV78" s="57">
        <f ca="1">OFFSET(TIAM15_assumptions!$G78,0,MATCH(VLOOKUP(Assumptions!AV$2,TIAM15_assumptions!$Y$3:$Z$87,2,FALSE),TIAM15_assumptions!$H$2:$V$2,0))</f>
        <v>1</v>
      </c>
      <c r="AW78" s="57">
        <f ca="1">OFFSET(TIAM15_assumptions!$G78,0,MATCH(VLOOKUP(Assumptions!AW$2,TIAM15_assumptions!$Y$3:$Z$87,2,FALSE),TIAM15_assumptions!$H$2:$V$2,0))</f>
        <v>1</v>
      </c>
      <c r="AX78" s="57">
        <f ca="1">OFFSET(TIAM15_assumptions!$G78,0,MATCH(VLOOKUP(Assumptions!AX$2,TIAM15_assumptions!$Y$3:$Z$87,2,FALSE),TIAM15_assumptions!$H$2:$V$2,0))</f>
        <v>1</v>
      </c>
      <c r="AY78" s="57">
        <f ca="1">OFFSET(TIAM15_assumptions!$G78,0,MATCH(VLOOKUP(Assumptions!AY$2,TIAM15_assumptions!$Y$3:$Z$87,2,FALSE),TIAM15_assumptions!$H$2:$V$2,0))</f>
        <v>1</v>
      </c>
      <c r="AZ78" s="57">
        <f ca="1">OFFSET(TIAM15_assumptions!$G78,0,MATCH(VLOOKUP(Assumptions!AZ$2,TIAM15_assumptions!$Y$3:$Z$87,2,FALSE),TIAM15_assumptions!$H$2:$V$2,0))</f>
        <v>1</v>
      </c>
      <c r="BA78" s="57">
        <f ca="1">OFFSET(TIAM15_assumptions!$G78,0,MATCH(VLOOKUP(Assumptions!BA$2,TIAM15_assumptions!$Y$3:$Z$87,2,FALSE),TIAM15_assumptions!$H$2:$V$2,0))</f>
        <v>1</v>
      </c>
      <c r="BD78" s="40">
        <f ca="1">IFERROR(SUMIFS('TRA balance'!E$5:E$40,'TRA balance'!$C$5:$C$40,Assumptions!$C78,'TRA balance'!$D$5:$D$40,Assumptions!$B78)*CY78*H78,"")</f>
        <v>0</v>
      </c>
      <c r="BE78" s="40">
        <f ca="1">IFERROR(SUMIFS('TRA balance'!F$5:F$40,'TRA balance'!$C$5:$C$40,Assumptions!$C78,'TRA balance'!$D$5:$D$40,Assumptions!$B78)*CZ78*I78,"")</f>
        <v>0</v>
      </c>
      <c r="BF78" s="40">
        <f ca="1">IFERROR(SUMIFS('TRA balance'!G$5:G$40,'TRA balance'!$C$5:$C$40,Assumptions!$C78,'TRA balance'!$D$5:$D$40,Assumptions!$B78)*DA78*J78,"")</f>
        <v>0</v>
      </c>
      <c r="BG78" s="40">
        <f ca="1">IFERROR(SUMIFS('TRA balance'!H$5:H$40,'TRA balance'!$C$5:$C$40,Assumptions!$C78,'TRA balance'!$D$5:$D$40,Assumptions!$B78)*DB78*K78,"")</f>
        <v>0</v>
      </c>
      <c r="BH78" s="40">
        <f ca="1">IFERROR(SUMIFS('TRA balance'!I$5:I$40,'TRA balance'!$C$5:$C$40,Assumptions!$C78,'TRA balance'!$D$5:$D$40,Assumptions!$B78)*DC78*L78,"")</f>
        <v>0</v>
      </c>
      <c r="BI78" s="40">
        <f ca="1">IFERROR(SUMIFS('TRA balance'!J$5:J$40,'TRA balance'!$C$5:$C$40,Assumptions!$C78,'TRA balance'!$D$5:$D$40,Assumptions!$B78)*DD78*M78,"")</f>
        <v>0</v>
      </c>
      <c r="BJ78" s="40">
        <f ca="1">IFERROR(SUMIFS('TRA balance'!K$5:K$40,'TRA balance'!$C$5:$C$40,Assumptions!$C78,'TRA balance'!$D$5:$D$40,Assumptions!$B78)*DE78*N78,"")</f>
        <v>0</v>
      </c>
      <c r="BK78" s="40">
        <f ca="1">IFERROR(SUMIFS('TRA balance'!L$5:L$40,'TRA balance'!$C$5:$C$40,Assumptions!$C78,'TRA balance'!$D$5:$D$40,Assumptions!$B78)*DF78*O78,"")</f>
        <v>0</v>
      </c>
      <c r="BL78" s="40">
        <f ca="1">IFERROR(SUMIFS('TRA balance'!M$5:M$40,'TRA balance'!$C$5:$C$40,Assumptions!$C78,'TRA balance'!$D$5:$D$40,Assumptions!$B78)*DG78*P78,"")</f>
        <v>0</v>
      </c>
      <c r="BM78" s="40">
        <f ca="1">IFERROR(SUMIFS('TRA balance'!N$5:N$40,'TRA balance'!$C$5:$C$40,Assumptions!$C78,'TRA balance'!$D$5:$D$40,Assumptions!$B78)*DH78*Q78,"")</f>
        <v>0</v>
      </c>
      <c r="BN78" s="40">
        <f ca="1">IFERROR(SUMIFS('TRA balance'!O$5:O$40,'TRA balance'!$C$5:$C$40,Assumptions!$C78,'TRA balance'!$D$5:$D$40,Assumptions!$B78)*DI78*R78,"")</f>
        <v>0</v>
      </c>
      <c r="BO78" s="40">
        <f ca="1">IFERROR(SUMIFS('TRA balance'!P$5:P$40,'TRA balance'!$C$5:$C$40,Assumptions!$C78,'TRA balance'!$D$5:$D$40,Assumptions!$B78)*DJ78*S78,"")</f>
        <v>0</v>
      </c>
      <c r="BP78" s="40">
        <f ca="1">IFERROR(SUMIFS('TRA balance'!Q$5:Q$40,'TRA balance'!$C$5:$C$40,Assumptions!$C78,'TRA balance'!$D$5:$D$40,Assumptions!$B78)*DK78*T78,"")</f>
        <v>0</v>
      </c>
      <c r="BQ78" s="40">
        <f ca="1">IFERROR(SUMIFS('TRA balance'!R$5:R$40,'TRA balance'!$C$5:$C$40,Assumptions!$C78,'TRA balance'!$D$5:$D$40,Assumptions!$B78)*DL78*U78,"")</f>
        <v>0</v>
      </c>
      <c r="BR78" s="40">
        <f ca="1">IFERROR(SUMIFS('TRA balance'!S$5:S$40,'TRA balance'!$C$5:$C$40,Assumptions!$C78,'TRA balance'!$D$5:$D$40,Assumptions!$B78)*DM78*V78,"")</f>
        <v>0</v>
      </c>
      <c r="BS78" s="40">
        <f ca="1">IFERROR(SUMIFS('TRA balance'!T$5:T$40,'TRA balance'!$C$5:$C$40,Assumptions!$C78,'TRA balance'!$D$5:$D$40,Assumptions!$B78)*DN78*W78,"")</f>
        <v>0</v>
      </c>
      <c r="BT78" s="40">
        <f ca="1">IFERROR(SUMIFS('TRA balance'!U$5:U$40,'TRA balance'!$C$5:$C$40,Assumptions!$C78,'TRA balance'!$D$5:$D$40,Assumptions!$B78)*DO78*X78,"")</f>
        <v>0</v>
      </c>
      <c r="BU78" s="40">
        <f ca="1">IFERROR(SUMIFS('TRA balance'!V$5:V$40,'TRA balance'!$C$5:$C$40,Assumptions!$C78,'TRA balance'!$D$5:$D$40,Assumptions!$B78)*DP78*Y78,"")</f>
        <v>0</v>
      </c>
      <c r="BV78" s="40">
        <f ca="1">IFERROR(SUMIFS('TRA balance'!W$5:W$40,'TRA balance'!$C$5:$C$40,Assumptions!$C78,'TRA balance'!$D$5:$D$40,Assumptions!$B78)*DQ78*Z78,"")</f>
        <v>0</v>
      </c>
      <c r="BW78" s="40">
        <f ca="1">IFERROR(SUMIFS('TRA balance'!X$5:X$40,'TRA balance'!$C$5:$C$40,Assumptions!$C78,'TRA balance'!$D$5:$D$40,Assumptions!$B78)*DR78*AA78,"")</f>
        <v>0</v>
      </c>
      <c r="BX78" s="40">
        <f ca="1">IFERROR(SUMIFS('TRA balance'!Y$5:Y$40,'TRA balance'!$C$5:$C$40,Assumptions!$C78,'TRA balance'!$D$5:$D$40,Assumptions!$B78)*DS78*AB78,"")</f>
        <v>0</v>
      </c>
      <c r="BY78" s="40">
        <f ca="1">IFERROR(SUMIFS('TRA balance'!Z$5:Z$40,'TRA balance'!$C$5:$C$40,Assumptions!$C78,'TRA balance'!$D$5:$D$40,Assumptions!$B78)*DT78*AC78,"")</f>
        <v>0</v>
      </c>
      <c r="BZ78" s="40">
        <f ca="1">IFERROR(SUMIFS('TRA balance'!AA$5:AA$40,'TRA balance'!$C$5:$C$40,Assumptions!$C78,'TRA balance'!$D$5:$D$40,Assumptions!$B78)*DU78*AD78,"")</f>
        <v>0</v>
      </c>
      <c r="CA78" s="40">
        <f ca="1">IFERROR(SUMIFS('TRA balance'!AB$5:AB$40,'TRA balance'!$C$5:$C$40,Assumptions!$C78,'TRA balance'!$D$5:$D$40,Assumptions!$B78)*DV78*AE78,"")</f>
        <v>0</v>
      </c>
      <c r="CB78" s="40">
        <f ca="1">IFERROR(SUMIFS('TRA balance'!AC$5:AC$40,'TRA balance'!$C$5:$C$40,Assumptions!$C78,'TRA balance'!$D$5:$D$40,Assumptions!$B78)*DW78*AF78,"")</f>
        <v>0</v>
      </c>
      <c r="CC78" s="40">
        <f ca="1">IFERROR(SUMIFS('TRA balance'!AD$5:AD$40,'TRA balance'!$C$5:$C$40,Assumptions!$C78,'TRA balance'!$D$5:$D$40,Assumptions!$B78)*DX78*AG78,"")</f>
        <v>0</v>
      </c>
      <c r="CD78" s="40">
        <f ca="1">IFERROR(SUMIFS('TRA balance'!AE$5:AE$40,'TRA balance'!$C$5:$C$40,Assumptions!$C78,'TRA balance'!$D$5:$D$40,Assumptions!$B78)*DY78*AH78,"")</f>
        <v>0</v>
      </c>
      <c r="CE78" s="40">
        <f ca="1">IFERROR(SUMIFS('TRA balance'!AF$5:AF$40,'TRA balance'!$C$5:$C$40,Assumptions!$C78,'TRA balance'!$D$5:$D$40,Assumptions!$B78)*DZ78*AI78,"")</f>
        <v>0</v>
      </c>
      <c r="CF78" s="40">
        <f ca="1">IFERROR(SUMIFS('TRA balance'!AG$5:AG$40,'TRA balance'!$C$5:$C$40,Assumptions!$C78,'TRA balance'!$D$5:$D$40,Assumptions!$B78)*EA78*AJ78,"")</f>
        <v>0</v>
      </c>
      <c r="CG78" s="40">
        <f ca="1">IFERROR(SUMIFS('TRA balance'!AH$5:AH$40,'TRA balance'!$C$5:$C$40,Assumptions!$C78,'TRA balance'!$D$5:$D$40,Assumptions!$B78)*EB78*AK78,"")</f>
        <v>0</v>
      </c>
      <c r="CH78" s="40">
        <f ca="1">IFERROR(SUMIFS('TRA balance'!AI$5:AI$40,'TRA balance'!$C$5:$C$40,Assumptions!$C78,'TRA balance'!$D$5:$D$40,Assumptions!$B78)*EC78*AL78,"")</f>
        <v>0</v>
      </c>
      <c r="CI78" s="40">
        <f ca="1">IFERROR(SUMIFS('TRA balance'!AJ$5:AJ$40,'TRA balance'!$C$5:$C$40,Assumptions!$C78,'TRA balance'!$D$5:$D$40,Assumptions!$B78)*ED78*AM78,"")</f>
        <v>0</v>
      </c>
      <c r="CJ78" s="40">
        <f ca="1">IFERROR(SUMIFS('TRA balance'!AK$5:AK$40,'TRA balance'!$C$5:$C$40,Assumptions!$C78,'TRA balance'!$D$5:$D$40,Assumptions!$B78)*EE78*AN78,"")</f>
        <v>0</v>
      </c>
      <c r="CK78" s="40">
        <f ca="1">IFERROR(SUMIFS('TRA balance'!AL$5:AL$40,'TRA balance'!$C$5:$C$40,Assumptions!$C78,'TRA balance'!$D$5:$D$40,Assumptions!$B78)*EF78*AO78,"")</f>
        <v>0</v>
      </c>
      <c r="CL78" s="40">
        <f ca="1">IFERROR(SUMIFS('TRA balance'!AM$5:AM$40,'TRA balance'!$C$5:$C$40,Assumptions!$C78,'TRA balance'!$D$5:$D$40,Assumptions!$B78)*EG78*AP78,"")</f>
        <v>0</v>
      </c>
      <c r="CM78" s="40">
        <f ca="1">IFERROR(SUMIFS('TRA balance'!AN$5:AN$40,'TRA balance'!$C$5:$C$40,Assumptions!$C78,'TRA balance'!$D$5:$D$40,Assumptions!$B78)*EH78*AQ78,"")</f>
        <v>0</v>
      </c>
      <c r="CN78" s="40">
        <f ca="1">IFERROR(SUMIFS('TRA balance'!AO$5:AO$40,'TRA balance'!$C$5:$C$40,Assumptions!$C78,'TRA balance'!$D$5:$D$40,Assumptions!$B78)*EI78*AR78,"")</f>
        <v>0</v>
      </c>
      <c r="CO78" s="40">
        <f ca="1">IFERROR(SUMIFS('TRA balance'!AP$5:AP$40,'TRA balance'!$C$5:$C$40,Assumptions!$C78,'TRA balance'!$D$5:$D$40,Assumptions!$B78)*EJ78*AS78,"")</f>
        <v>0</v>
      </c>
      <c r="CP78" s="40">
        <f ca="1">IFERROR(SUMIFS('TRA balance'!AQ$5:AQ$40,'TRA balance'!$C$5:$C$40,Assumptions!$C78,'TRA balance'!$D$5:$D$40,Assumptions!$B78)*EK78*AT78,"")</f>
        <v>0</v>
      </c>
      <c r="CQ78" s="40">
        <f ca="1">IFERROR(SUMIFS('TRA balance'!AR$5:AR$40,'TRA balance'!$C$5:$C$40,Assumptions!$C78,'TRA balance'!$D$5:$D$40,Assumptions!$B78)*EL78*AU78,"")</f>
        <v>0</v>
      </c>
      <c r="CR78" s="40">
        <f ca="1">IFERROR(SUMIFS('TRA balance'!AS$5:AS$40,'TRA balance'!$C$5:$C$40,Assumptions!$C78,'TRA balance'!$D$5:$D$40,Assumptions!$B78)*EM78*AV78,"")</f>
        <v>0</v>
      </c>
      <c r="CS78" s="40">
        <f ca="1">IFERROR(SUMIFS('TRA balance'!AT$5:AT$40,'TRA balance'!$C$5:$C$40,Assumptions!$C78,'TRA balance'!$D$5:$D$40,Assumptions!$B78)*EN78*AW78,"")</f>
        <v>0</v>
      </c>
      <c r="CT78" s="40">
        <f ca="1">IFERROR(SUMIFS('TRA balance'!AU$5:AU$40,'TRA balance'!$C$5:$C$40,Assumptions!$C78,'TRA balance'!$D$5:$D$40,Assumptions!$B78)*EO78*AX78,"")</f>
        <v>0</v>
      </c>
      <c r="CU78" s="40">
        <f ca="1">IFERROR(SUMIFS('TRA balance'!AV$5:AV$40,'TRA balance'!$C$5:$C$40,Assumptions!$C78,'TRA balance'!$D$5:$D$40,Assumptions!$B78)*EP78*AY78,"")</f>
        <v>0</v>
      </c>
      <c r="CV78" s="40">
        <f ca="1">IFERROR(SUMIFS('TRA balance'!AW$5:AW$40,'TRA balance'!$C$5:$C$40,Assumptions!$C78,'TRA balance'!$D$5:$D$40,Assumptions!$B78)*EQ78*AZ78,"")</f>
        <v>0</v>
      </c>
      <c r="CW78" s="40">
        <f ca="1">IFERROR(SUMIFS('TRA balance'!AX$5:AX$40,'TRA balance'!$C$5:$C$40,Assumptions!$C78,'TRA balance'!$D$5:$D$40,Assumptions!$B78)*ER78*BA78,"")</f>
        <v>0</v>
      </c>
      <c r="CY78" s="39">
        <f ca="1" t="shared" si="86"/>
        <v>0</v>
      </c>
      <c r="CZ78" s="39">
        <f ca="1" t="shared" si="87"/>
        <v>0</v>
      </c>
      <c r="DA78" s="39">
        <f ca="1" t="shared" si="88"/>
        <v>0</v>
      </c>
      <c r="DB78" s="39">
        <f ca="1" t="shared" si="89"/>
        <v>0</v>
      </c>
      <c r="DC78" s="39">
        <f ca="1" t="shared" si="90"/>
        <v>0</v>
      </c>
      <c r="DD78" s="39">
        <f ca="1" t="shared" si="91"/>
        <v>0</v>
      </c>
      <c r="DE78" s="39">
        <f ca="1" t="shared" si="92"/>
        <v>0</v>
      </c>
      <c r="DF78" s="39">
        <f ca="1" t="shared" si="93"/>
        <v>0</v>
      </c>
      <c r="DG78" s="39">
        <f ca="1" t="shared" si="94"/>
        <v>0</v>
      </c>
      <c r="DH78" s="39">
        <f ca="1" t="shared" si="95"/>
        <v>0</v>
      </c>
      <c r="DI78" s="39">
        <f ca="1" t="shared" si="96"/>
        <v>0</v>
      </c>
      <c r="DJ78" s="39">
        <f ca="1" t="shared" si="97"/>
        <v>0</v>
      </c>
      <c r="DK78" s="39">
        <f ca="1" t="shared" si="98"/>
        <v>0</v>
      </c>
      <c r="DL78" s="39">
        <f ca="1" t="shared" si="99"/>
        <v>0</v>
      </c>
      <c r="DM78" s="39">
        <f ca="1" t="shared" si="100"/>
        <v>0</v>
      </c>
      <c r="DN78" s="39">
        <f ca="1" t="shared" si="101"/>
        <v>0</v>
      </c>
      <c r="DO78" s="39">
        <f ca="1" t="shared" si="102"/>
        <v>0</v>
      </c>
      <c r="DP78" s="39">
        <f ca="1" t="shared" si="103"/>
        <v>0</v>
      </c>
      <c r="DQ78" s="39">
        <f ca="1" t="shared" si="104"/>
        <v>0</v>
      </c>
      <c r="DR78" s="39">
        <f ca="1" t="shared" si="105"/>
        <v>0</v>
      </c>
      <c r="DS78" s="39">
        <f ca="1" t="shared" si="106"/>
        <v>0</v>
      </c>
      <c r="DT78" s="39">
        <f ca="1" t="shared" si="107"/>
        <v>0</v>
      </c>
      <c r="DU78" s="39">
        <f ca="1" t="shared" si="108"/>
        <v>0</v>
      </c>
      <c r="DV78" s="39">
        <f ca="1" t="shared" si="109"/>
        <v>0</v>
      </c>
      <c r="DW78" s="39">
        <f ca="1" t="shared" si="110"/>
        <v>0</v>
      </c>
      <c r="DX78" s="39">
        <f ca="1" t="shared" si="111"/>
        <v>0</v>
      </c>
      <c r="DY78" s="39">
        <f ca="1" t="shared" si="112"/>
        <v>0</v>
      </c>
      <c r="DZ78" s="39">
        <f ca="1" t="shared" si="113"/>
        <v>0</v>
      </c>
      <c r="EA78" s="39">
        <f ca="1" t="shared" si="114"/>
        <v>0</v>
      </c>
      <c r="EB78" s="39">
        <f ca="1" t="shared" si="115"/>
        <v>0</v>
      </c>
      <c r="EC78" s="39">
        <f ca="1" t="shared" si="116"/>
        <v>0</v>
      </c>
      <c r="ED78" s="39">
        <f ca="1" t="shared" si="117"/>
        <v>0</v>
      </c>
      <c r="EE78" s="39">
        <f ca="1" t="shared" si="118"/>
        <v>0</v>
      </c>
      <c r="EF78" s="39">
        <f ca="1" t="shared" si="119"/>
        <v>0</v>
      </c>
      <c r="EG78" s="39">
        <f ca="1" t="shared" si="120"/>
        <v>0</v>
      </c>
      <c r="EH78" s="39">
        <f ca="1" t="shared" si="121"/>
        <v>0</v>
      </c>
      <c r="EI78" s="39">
        <f ca="1" t="shared" si="122"/>
        <v>0</v>
      </c>
      <c r="EJ78" s="39">
        <f ca="1" t="shared" si="123"/>
        <v>0</v>
      </c>
      <c r="EK78" s="39">
        <f ca="1" t="shared" si="124"/>
        <v>0</v>
      </c>
      <c r="EL78" s="39">
        <f ca="1" t="shared" si="125"/>
        <v>0</v>
      </c>
      <c r="EM78" s="39">
        <f ca="1" t="shared" si="126"/>
        <v>0</v>
      </c>
      <c r="EN78" s="39">
        <f ca="1" t="shared" si="127"/>
        <v>0</v>
      </c>
      <c r="EO78" s="39">
        <f ca="1" t="shared" si="128"/>
        <v>0</v>
      </c>
      <c r="EP78" s="39">
        <f ca="1" t="shared" si="129"/>
        <v>0</v>
      </c>
      <c r="EQ78" s="39">
        <f ca="1" t="shared" si="130"/>
        <v>0</v>
      </c>
      <c r="ER78" s="39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4" t="str">
        <f t="shared" si="133"/>
        <v>TR</v>
      </c>
      <c r="D79" s="55" t="s">
        <v>200</v>
      </c>
      <c r="E79" s="66" t="s">
        <v>204</v>
      </c>
      <c r="F79" s="56" t="str">
        <f t="shared" ref="F79:F84" si="138">F78</f>
        <v>Bio Gasoline</v>
      </c>
      <c r="G79" s="54" t="s">
        <v>205</v>
      </c>
      <c r="H79" s="57">
        <f ca="1">OFFSET(TIAM15_assumptions!$G79,0,MATCH(VLOOKUP(Assumptions!H$2,TIAM15_assumptions!$Y$3:$Z$87,2,FALSE),TIAM15_assumptions!$H$2:$V$2,0))</f>
        <v>0</v>
      </c>
      <c r="I79" s="57">
        <f ca="1">OFFSET(TIAM15_assumptions!$G79,0,MATCH(VLOOKUP(Assumptions!I$2,TIAM15_assumptions!$Y$3:$Z$87,2,FALSE),TIAM15_assumptions!$H$2:$V$2,0))</f>
        <v>0</v>
      </c>
      <c r="J79" s="57">
        <f ca="1">OFFSET(TIAM15_assumptions!$G79,0,MATCH(VLOOKUP(Assumptions!J$2,TIAM15_assumptions!$Y$3:$Z$87,2,FALSE),TIAM15_assumptions!$H$2:$V$2,0))</f>
        <v>0</v>
      </c>
      <c r="K79" s="57">
        <f ca="1">OFFSET(TIAM15_assumptions!$G79,0,MATCH(VLOOKUP(Assumptions!K$2,TIAM15_assumptions!$Y$3:$Z$87,2,FALSE),TIAM15_assumptions!$H$2:$V$2,0))</f>
        <v>0</v>
      </c>
      <c r="L79" s="57">
        <f ca="1">OFFSET(TIAM15_assumptions!$G79,0,MATCH(VLOOKUP(Assumptions!L$2,TIAM15_assumptions!$Y$3:$Z$87,2,FALSE),TIAM15_assumptions!$H$2:$V$2,0))</f>
        <v>0</v>
      </c>
      <c r="M79" s="57">
        <f ca="1">OFFSET(TIAM15_assumptions!$G79,0,MATCH(VLOOKUP(Assumptions!M$2,TIAM15_assumptions!$Y$3:$Z$87,2,FALSE),TIAM15_assumptions!$H$2:$V$2,0))</f>
        <v>0</v>
      </c>
      <c r="N79" s="57">
        <f ca="1">OFFSET(TIAM15_assumptions!$G79,0,MATCH(VLOOKUP(Assumptions!N$2,TIAM15_assumptions!$Y$3:$Z$87,2,FALSE),TIAM15_assumptions!$H$2:$V$2,0))</f>
        <v>0</v>
      </c>
      <c r="O79" s="57">
        <f ca="1">OFFSET(TIAM15_assumptions!$G79,0,MATCH(VLOOKUP(Assumptions!O$2,TIAM15_assumptions!$Y$3:$Z$87,2,FALSE),TIAM15_assumptions!$H$2:$V$2,0))</f>
        <v>0</v>
      </c>
      <c r="P79" s="57">
        <f ca="1">OFFSET(TIAM15_assumptions!$G79,0,MATCH(VLOOKUP(Assumptions!P$2,TIAM15_assumptions!$Y$3:$Z$87,2,FALSE),TIAM15_assumptions!$H$2:$V$2,0))</f>
        <v>0</v>
      </c>
      <c r="Q79" s="57">
        <f ca="1">OFFSET(TIAM15_assumptions!$G79,0,MATCH(VLOOKUP(Assumptions!Q$2,TIAM15_assumptions!$Y$3:$Z$87,2,FALSE),TIAM15_assumptions!$H$2:$V$2,0))</f>
        <v>0</v>
      </c>
      <c r="R79" s="57">
        <f ca="1">OFFSET(TIAM15_assumptions!$G79,0,MATCH(VLOOKUP(Assumptions!R$2,TIAM15_assumptions!$Y$3:$Z$87,2,FALSE),TIAM15_assumptions!$H$2:$V$2,0))</f>
        <v>0</v>
      </c>
      <c r="S79" s="57">
        <f ca="1">OFFSET(TIAM15_assumptions!$G79,0,MATCH(VLOOKUP(Assumptions!S$2,TIAM15_assumptions!$Y$3:$Z$87,2,FALSE),TIAM15_assumptions!$H$2:$V$2,0))</f>
        <v>0</v>
      </c>
      <c r="T79" s="57">
        <f ca="1">OFFSET(TIAM15_assumptions!$G79,0,MATCH(VLOOKUP(Assumptions!T$2,TIAM15_assumptions!$Y$3:$Z$87,2,FALSE),TIAM15_assumptions!$H$2:$V$2,0))</f>
        <v>0</v>
      </c>
      <c r="U79" s="57">
        <f ca="1">OFFSET(TIAM15_assumptions!$G79,0,MATCH(VLOOKUP(Assumptions!U$2,TIAM15_assumptions!$Y$3:$Z$87,2,FALSE),TIAM15_assumptions!$H$2:$V$2,0))</f>
        <v>0</v>
      </c>
      <c r="V79" s="57">
        <f ca="1">OFFSET(TIAM15_assumptions!$G79,0,MATCH(VLOOKUP(Assumptions!V$2,TIAM15_assumptions!$Y$3:$Z$87,2,FALSE),TIAM15_assumptions!$H$2:$V$2,0))</f>
        <v>0</v>
      </c>
      <c r="W79" s="57">
        <f ca="1">OFFSET(TIAM15_assumptions!$G79,0,MATCH(VLOOKUP(Assumptions!W$2,TIAM15_assumptions!$Y$3:$Z$87,2,FALSE),TIAM15_assumptions!$H$2:$V$2,0))</f>
        <v>0</v>
      </c>
      <c r="X79" s="57">
        <f ca="1">OFFSET(TIAM15_assumptions!$G79,0,MATCH(VLOOKUP(Assumptions!X$2,TIAM15_assumptions!$Y$3:$Z$87,2,FALSE),TIAM15_assumptions!$H$2:$V$2,0))</f>
        <v>0</v>
      </c>
      <c r="Y79" s="57">
        <f ca="1">OFFSET(TIAM15_assumptions!$G79,0,MATCH(VLOOKUP(Assumptions!Y$2,TIAM15_assumptions!$Y$3:$Z$87,2,FALSE),TIAM15_assumptions!$H$2:$V$2,0))</f>
        <v>0</v>
      </c>
      <c r="Z79" s="57">
        <f ca="1">OFFSET(TIAM15_assumptions!$G79,0,MATCH(VLOOKUP(Assumptions!Z$2,TIAM15_assumptions!$Y$3:$Z$87,2,FALSE),TIAM15_assumptions!$H$2:$V$2,0))</f>
        <v>0</v>
      </c>
      <c r="AA79" s="57">
        <f ca="1">OFFSET(TIAM15_assumptions!$G79,0,MATCH(VLOOKUP(Assumptions!AA$2,TIAM15_assumptions!$Y$3:$Z$87,2,FALSE),TIAM15_assumptions!$H$2:$V$2,0))</f>
        <v>0</v>
      </c>
      <c r="AB79" s="57">
        <f ca="1">OFFSET(TIAM15_assumptions!$G79,0,MATCH(VLOOKUP(Assumptions!AB$2,TIAM15_assumptions!$Y$3:$Z$87,2,FALSE),TIAM15_assumptions!$H$2:$V$2,0))</f>
        <v>0</v>
      </c>
      <c r="AC79" s="57">
        <f ca="1">OFFSET(TIAM15_assumptions!$G79,0,MATCH(VLOOKUP(Assumptions!AC$2,TIAM15_assumptions!$Y$3:$Z$87,2,FALSE),TIAM15_assumptions!$H$2:$V$2,0))</f>
        <v>0</v>
      </c>
      <c r="AD79" s="57">
        <f ca="1">OFFSET(TIAM15_assumptions!$G79,0,MATCH(VLOOKUP(Assumptions!AD$2,TIAM15_assumptions!$Y$3:$Z$87,2,FALSE),TIAM15_assumptions!$H$2:$V$2,0))</f>
        <v>0</v>
      </c>
      <c r="AE79" s="57">
        <f ca="1">OFFSET(TIAM15_assumptions!$G79,0,MATCH(VLOOKUP(Assumptions!AE$2,TIAM15_assumptions!$Y$3:$Z$87,2,FALSE),TIAM15_assumptions!$H$2:$V$2,0))</f>
        <v>0</v>
      </c>
      <c r="AF79" s="57">
        <f ca="1">OFFSET(TIAM15_assumptions!$G79,0,MATCH(VLOOKUP(Assumptions!AF$2,TIAM15_assumptions!$Y$3:$Z$87,2,FALSE),TIAM15_assumptions!$H$2:$V$2,0))</f>
        <v>0</v>
      </c>
      <c r="AG79" s="57">
        <f ca="1">OFFSET(TIAM15_assumptions!$G79,0,MATCH(VLOOKUP(Assumptions!AG$2,TIAM15_assumptions!$Y$3:$Z$87,2,FALSE),TIAM15_assumptions!$H$2:$V$2,0))</f>
        <v>0</v>
      </c>
      <c r="AH79" s="57">
        <f ca="1">OFFSET(TIAM15_assumptions!$G79,0,MATCH(VLOOKUP(Assumptions!AH$2,TIAM15_assumptions!$Y$3:$Z$87,2,FALSE),TIAM15_assumptions!$H$2:$V$2,0))</f>
        <v>0</v>
      </c>
      <c r="AI79" s="57">
        <f ca="1">OFFSET(TIAM15_assumptions!$G79,0,MATCH(VLOOKUP(Assumptions!AI$2,TIAM15_assumptions!$Y$3:$Z$87,2,FALSE),TIAM15_assumptions!$H$2:$V$2,0))</f>
        <v>0</v>
      </c>
      <c r="AJ79" s="57">
        <f ca="1">OFFSET(TIAM15_assumptions!$G79,0,MATCH(VLOOKUP(Assumptions!AJ$2,TIAM15_assumptions!$Y$3:$Z$87,2,FALSE),TIAM15_assumptions!$H$2:$V$2,0))</f>
        <v>0</v>
      </c>
      <c r="AK79" s="57">
        <f ca="1">OFFSET(TIAM15_assumptions!$G79,0,MATCH(VLOOKUP(Assumptions!AK$2,TIAM15_assumptions!$Y$3:$Z$87,2,FALSE),TIAM15_assumptions!$H$2:$V$2,0))</f>
        <v>0</v>
      </c>
      <c r="AL79" s="57">
        <f ca="1">OFFSET(TIAM15_assumptions!$G79,0,MATCH(VLOOKUP(Assumptions!AL$2,TIAM15_assumptions!$Y$3:$Z$87,2,FALSE),TIAM15_assumptions!$H$2:$V$2,0))</f>
        <v>0</v>
      </c>
      <c r="AM79" s="57">
        <f ca="1">OFFSET(TIAM15_assumptions!$G79,0,MATCH(VLOOKUP(Assumptions!AM$2,TIAM15_assumptions!$Y$3:$Z$87,2,FALSE),TIAM15_assumptions!$H$2:$V$2,0))</f>
        <v>0</v>
      </c>
      <c r="AN79" s="57">
        <f ca="1">OFFSET(TIAM15_assumptions!$G79,0,MATCH(VLOOKUP(Assumptions!AN$2,TIAM15_assumptions!$Y$3:$Z$87,2,FALSE),TIAM15_assumptions!$H$2:$V$2,0))</f>
        <v>0</v>
      </c>
      <c r="AO79" s="57">
        <f ca="1">OFFSET(TIAM15_assumptions!$G79,0,MATCH(VLOOKUP(Assumptions!AO$2,TIAM15_assumptions!$Y$3:$Z$87,2,FALSE),TIAM15_assumptions!$H$2:$V$2,0))</f>
        <v>0</v>
      </c>
      <c r="AP79" s="57">
        <f ca="1">OFFSET(TIAM15_assumptions!$G79,0,MATCH(VLOOKUP(Assumptions!AP$2,TIAM15_assumptions!$Y$3:$Z$87,2,FALSE),TIAM15_assumptions!$H$2:$V$2,0))</f>
        <v>0</v>
      </c>
      <c r="AQ79" s="57">
        <f ca="1">OFFSET(TIAM15_assumptions!$G79,0,MATCH(VLOOKUP(Assumptions!AQ$2,TIAM15_assumptions!$Y$3:$Z$87,2,FALSE),TIAM15_assumptions!$H$2:$V$2,0))</f>
        <v>0</v>
      </c>
      <c r="AR79" s="57">
        <f ca="1">OFFSET(TIAM15_assumptions!$G79,0,MATCH(VLOOKUP(Assumptions!AR$2,TIAM15_assumptions!$Y$3:$Z$87,2,FALSE),TIAM15_assumptions!$H$2:$V$2,0))</f>
        <v>0</v>
      </c>
      <c r="AS79" s="57">
        <f ca="1">OFFSET(TIAM15_assumptions!$G79,0,MATCH(VLOOKUP(Assumptions!AS$2,TIAM15_assumptions!$Y$3:$Z$87,2,FALSE),TIAM15_assumptions!$H$2:$V$2,0))</f>
        <v>0</v>
      </c>
      <c r="AT79" s="57">
        <f ca="1">OFFSET(TIAM15_assumptions!$G79,0,MATCH(VLOOKUP(Assumptions!AT$2,TIAM15_assumptions!$Y$3:$Z$87,2,FALSE),TIAM15_assumptions!$H$2:$V$2,0))</f>
        <v>0</v>
      </c>
      <c r="AU79" s="57">
        <f ca="1">OFFSET(TIAM15_assumptions!$G79,0,MATCH(VLOOKUP(Assumptions!AU$2,TIAM15_assumptions!$Y$3:$Z$87,2,FALSE),TIAM15_assumptions!$H$2:$V$2,0))</f>
        <v>0</v>
      </c>
      <c r="AV79" s="57">
        <f ca="1">OFFSET(TIAM15_assumptions!$G79,0,MATCH(VLOOKUP(Assumptions!AV$2,TIAM15_assumptions!$Y$3:$Z$87,2,FALSE),TIAM15_assumptions!$H$2:$V$2,0))</f>
        <v>0</v>
      </c>
      <c r="AW79" s="57">
        <f ca="1">OFFSET(TIAM15_assumptions!$G79,0,MATCH(VLOOKUP(Assumptions!AW$2,TIAM15_assumptions!$Y$3:$Z$87,2,FALSE),TIAM15_assumptions!$H$2:$V$2,0))</f>
        <v>0</v>
      </c>
      <c r="AX79" s="57">
        <f ca="1">OFFSET(TIAM15_assumptions!$G79,0,MATCH(VLOOKUP(Assumptions!AX$2,TIAM15_assumptions!$Y$3:$Z$87,2,FALSE),TIAM15_assumptions!$H$2:$V$2,0))</f>
        <v>0</v>
      </c>
      <c r="AY79" s="57">
        <f ca="1">OFFSET(TIAM15_assumptions!$G79,0,MATCH(VLOOKUP(Assumptions!AY$2,TIAM15_assumptions!$Y$3:$Z$87,2,FALSE),TIAM15_assumptions!$H$2:$V$2,0))</f>
        <v>0</v>
      </c>
      <c r="AZ79" s="57">
        <f ca="1">OFFSET(TIAM15_assumptions!$G79,0,MATCH(VLOOKUP(Assumptions!AZ$2,TIAM15_assumptions!$Y$3:$Z$87,2,FALSE),TIAM15_assumptions!$H$2:$V$2,0))</f>
        <v>0</v>
      </c>
      <c r="BA79" s="57">
        <f ca="1">OFFSET(TIAM15_assumptions!$G79,0,MATCH(VLOOKUP(Assumptions!BA$2,TIAM15_assumptions!$Y$3:$Z$87,2,FALSE),TIAM15_assumptions!$H$2:$V$2,0))</f>
        <v>0</v>
      </c>
      <c r="BD79" s="40">
        <f ca="1">IFERROR(SUMIFS('TRA balance'!E$5:E$40,'TRA balance'!$C$5:$C$40,Assumptions!$C79,'TRA balance'!$D$5:$D$40,Assumptions!$B79)*CY79*H79,"")</f>
        <v>0</v>
      </c>
      <c r="BE79" s="40">
        <f ca="1">IFERROR(SUMIFS('TRA balance'!F$5:F$40,'TRA balance'!$C$5:$C$40,Assumptions!$C79,'TRA balance'!$D$5:$D$40,Assumptions!$B79)*CZ79*I79,"")</f>
        <v>0</v>
      </c>
      <c r="BF79" s="40">
        <f ca="1">IFERROR(SUMIFS('TRA balance'!G$5:G$40,'TRA balance'!$C$5:$C$40,Assumptions!$C79,'TRA balance'!$D$5:$D$40,Assumptions!$B79)*DA79*J79,"")</f>
        <v>0</v>
      </c>
      <c r="BG79" s="40">
        <f ca="1">IFERROR(SUMIFS('TRA balance'!H$5:H$40,'TRA balance'!$C$5:$C$40,Assumptions!$C79,'TRA balance'!$D$5:$D$40,Assumptions!$B79)*DB79*K79,"")</f>
        <v>0</v>
      </c>
      <c r="BH79" s="40">
        <f ca="1">IFERROR(SUMIFS('TRA balance'!I$5:I$40,'TRA balance'!$C$5:$C$40,Assumptions!$C79,'TRA balance'!$D$5:$D$40,Assumptions!$B79)*DC79*L79,"")</f>
        <v>0</v>
      </c>
      <c r="BI79" s="40">
        <f ca="1">IFERROR(SUMIFS('TRA balance'!J$5:J$40,'TRA balance'!$C$5:$C$40,Assumptions!$C79,'TRA balance'!$D$5:$D$40,Assumptions!$B79)*DD79*M79,"")</f>
        <v>0</v>
      </c>
      <c r="BJ79" s="40">
        <f ca="1">IFERROR(SUMIFS('TRA balance'!K$5:K$40,'TRA balance'!$C$5:$C$40,Assumptions!$C79,'TRA balance'!$D$5:$D$40,Assumptions!$B79)*DE79*N79,"")</f>
        <v>0</v>
      </c>
      <c r="BK79" s="40">
        <f ca="1">IFERROR(SUMIFS('TRA balance'!L$5:L$40,'TRA balance'!$C$5:$C$40,Assumptions!$C79,'TRA balance'!$D$5:$D$40,Assumptions!$B79)*DF79*O79,"")</f>
        <v>0</v>
      </c>
      <c r="BL79" s="40">
        <f ca="1">IFERROR(SUMIFS('TRA balance'!M$5:M$40,'TRA balance'!$C$5:$C$40,Assumptions!$C79,'TRA balance'!$D$5:$D$40,Assumptions!$B79)*DG79*P79,"")</f>
        <v>0</v>
      </c>
      <c r="BM79" s="40">
        <f ca="1">IFERROR(SUMIFS('TRA balance'!N$5:N$40,'TRA balance'!$C$5:$C$40,Assumptions!$C79,'TRA balance'!$D$5:$D$40,Assumptions!$B79)*DH79*Q79,"")</f>
        <v>0</v>
      </c>
      <c r="BN79" s="40">
        <f ca="1">IFERROR(SUMIFS('TRA balance'!O$5:O$40,'TRA balance'!$C$5:$C$40,Assumptions!$C79,'TRA balance'!$D$5:$D$40,Assumptions!$B79)*DI79*R79,"")</f>
        <v>0</v>
      </c>
      <c r="BO79" s="40">
        <f ca="1">IFERROR(SUMIFS('TRA balance'!P$5:P$40,'TRA balance'!$C$5:$C$40,Assumptions!$C79,'TRA balance'!$D$5:$D$40,Assumptions!$B79)*DJ79*S79,"")</f>
        <v>0</v>
      </c>
      <c r="BP79" s="40">
        <f ca="1">IFERROR(SUMIFS('TRA balance'!Q$5:Q$40,'TRA balance'!$C$5:$C$40,Assumptions!$C79,'TRA balance'!$D$5:$D$40,Assumptions!$B79)*DK79*T79,"")</f>
        <v>0</v>
      </c>
      <c r="BQ79" s="40">
        <f ca="1">IFERROR(SUMIFS('TRA balance'!R$5:R$40,'TRA balance'!$C$5:$C$40,Assumptions!$C79,'TRA balance'!$D$5:$D$40,Assumptions!$B79)*DL79*U79,"")</f>
        <v>0</v>
      </c>
      <c r="BR79" s="40">
        <f ca="1">IFERROR(SUMIFS('TRA balance'!S$5:S$40,'TRA balance'!$C$5:$C$40,Assumptions!$C79,'TRA balance'!$D$5:$D$40,Assumptions!$B79)*DM79*V79,"")</f>
        <v>0</v>
      </c>
      <c r="BS79" s="40">
        <f ca="1">IFERROR(SUMIFS('TRA balance'!T$5:T$40,'TRA balance'!$C$5:$C$40,Assumptions!$C79,'TRA balance'!$D$5:$D$40,Assumptions!$B79)*DN79*W79,"")</f>
        <v>0</v>
      </c>
      <c r="BT79" s="40">
        <f ca="1">IFERROR(SUMIFS('TRA balance'!U$5:U$40,'TRA balance'!$C$5:$C$40,Assumptions!$C79,'TRA balance'!$D$5:$D$40,Assumptions!$B79)*DO79*X79,"")</f>
        <v>0</v>
      </c>
      <c r="BU79" s="40">
        <f ca="1">IFERROR(SUMIFS('TRA balance'!V$5:V$40,'TRA balance'!$C$5:$C$40,Assumptions!$C79,'TRA balance'!$D$5:$D$40,Assumptions!$B79)*DP79*Y79,"")</f>
        <v>0</v>
      </c>
      <c r="BV79" s="40">
        <f ca="1">IFERROR(SUMIFS('TRA balance'!W$5:W$40,'TRA balance'!$C$5:$C$40,Assumptions!$C79,'TRA balance'!$D$5:$D$40,Assumptions!$B79)*DQ79*Z79,"")</f>
        <v>0</v>
      </c>
      <c r="BW79" s="40">
        <f ca="1">IFERROR(SUMIFS('TRA balance'!X$5:X$40,'TRA balance'!$C$5:$C$40,Assumptions!$C79,'TRA balance'!$D$5:$D$40,Assumptions!$B79)*DR79*AA79,"")</f>
        <v>0</v>
      </c>
      <c r="BX79" s="40">
        <f ca="1">IFERROR(SUMIFS('TRA balance'!Y$5:Y$40,'TRA balance'!$C$5:$C$40,Assumptions!$C79,'TRA balance'!$D$5:$D$40,Assumptions!$B79)*DS79*AB79,"")</f>
        <v>0</v>
      </c>
      <c r="BY79" s="40">
        <f ca="1">IFERROR(SUMIFS('TRA balance'!Z$5:Z$40,'TRA balance'!$C$5:$C$40,Assumptions!$C79,'TRA balance'!$D$5:$D$40,Assumptions!$B79)*DT79*AC79,"")</f>
        <v>0</v>
      </c>
      <c r="BZ79" s="40">
        <f ca="1">IFERROR(SUMIFS('TRA balance'!AA$5:AA$40,'TRA balance'!$C$5:$C$40,Assumptions!$C79,'TRA balance'!$D$5:$D$40,Assumptions!$B79)*DU79*AD79,"")</f>
        <v>0</v>
      </c>
      <c r="CA79" s="40">
        <f ca="1">IFERROR(SUMIFS('TRA balance'!AB$5:AB$40,'TRA balance'!$C$5:$C$40,Assumptions!$C79,'TRA balance'!$D$5:$D$40,Assumptions!$B79)*DV79*AE79,"")</f>
        <v>0</v>
      </c>
      <c r="CB79" s="40">
        <f ca="1">IFERROR(SUMIFS('TRA balance'!AC$5:AC$40,'TRA balance'!$C$5:$C$40,Assumptions!$C79,'TRA balance'!$D$5:$D$40,Assumptions!$B79)*DW79*AF79,"")</f>
        <v>0</v>
      </c>
      <c r="CC79" s="40">
        <f ca="1">IFERROR(SUMIFS('TRA balance'!AD$5:AD$40,'TRA balance'!$C$5:$C$40,Assumptions!$C79,'TRA balance'!$D$5:$D$40,Assumptions!$B79)*DX79*AG79,"")</f>
        <v>0</v>
      </c>
      <c r="CD79" s="40">
        <f ca="1">IFERROR(SUMIFS('TRA balance'!AE$5:AE$40,'TRA balance'!$C$5:$C$40,Assumptions!$C79,'TRA balance'!$D$5:$D$40,Assumptions!$B79)*DY79*AH79,"")</f>
        <v>0</v>
      </c>
      <c r="CE79" s="40">
        <f ca="1">IFERROR(SUMIFS('TRA balance'!AF$5:AF$40,'TRA balance'!$C$5:$C$40,Assumptions!$C79,'TRA balance'!$D$5:$D$40,Assumptions!$B79)*DZ79*AI79,"")</f>
        <v>0</v>
      </c>
      <c r="CF79" s="40">
        <f ca="1">IFERROR(SUMIFS('TRA balance'!AG$5:AG$40,'TRA balance'!$C$5:$C$40,Assumptions!$C79,'TRA balance'!$D$5:$D$40,Assumptions!$B79)*EA79*AJ79,"")</f>
        <v>0</v>
      </c>
      <c r="CG79" s="40">
        <f ca="1">IFERROR(SUMIFS('TRA balance'!AH$5:AH$40,'TRA balance'!$C$5:$C$40,Assumptions!$C79,'TRA balance'!$D$5:$D$40,Assumptions!$B79)*EB79*AK79,"")</f>
        <v>0</v>
      </c>
      <c r="CH79" s="40">
        <f ca="1">IFERROR(SUMIFS('TRA balance'!AI$5:AI$40,'TRA balance'!$C$5:$C$40,Assumptions!$C79,'TRA balance'!$D$5:$D$40,Assumptions!$B79)*EC79*AL79,"")</f>
        <v>0</v>
      </c>
      <c r="CI79" s="40">
        <f ca="1">IFERROR(SUMIFS('TRA balance'!AJ$5:AJ$40,'TRA balance'!$C$5:$C$40,Assumptions!$C79,'TRA balance'!$D$5:$D$40,Assumptions!$B79)*ED79*AM79,"")</f>
        <v>0</v>
      </c>
      <c r="CJ79" s="40">
        <f ca="1">IFERROR(SUMIFS('TRA balance'!AK$5:AK$40,'TRA balance'!$C$5:$C$40,Assumptions!$C79,'TRA balance'!$D$5:$D$40,Assumptions!$B79)*EE79*AN79,"")</f>
        <v>0</v>
      </c>
      <c r="CK79" s="40">
        <f ca="1">IFERROR(SUMIFS('TRA balance'!AL$5:AL$40,'TRA balance'!$C$5:$C$40,Assumptions!$C79,'TRA balance'!$D$5:$D$40,Assumptions!$B79)*EF79*AO79,"")</f>
        <v>0</v>
      </c>
      <c r="CL79" s="40">
        <f ca="1">IFERROR(SUMIFS('TRA balance'!AM$5:AM$40,'TRA balance'!$C$5:$C$40,Assumptions!$C79,'TRA balance'!$D$5:$D$40,Assumptions!$B79)*EG79*AP79,"")</f>
        <v>0</v>
      </c>
      <c r="CM79" s="40">
        <f ca="1">IFERROR(SUMIFS('TRA balance'!AN$5:AN$40,'TRA balance'!$C$5:$C$40,Assumptions!$C79,'TRA balance'!$D$5:$D$40,Assumptions!$B79)*EH79*AQ79,"")</f>
        <v>0</v>
      </c>
      <c r="CN79" s="40">
        <f ca="1">IFERROR(SUMIFS('TRA balance'!AO$5:AO$40,'TRA balance'!$C$5:$C$40,Assumptions!$C79,'TRA balance'!$D$5:$D$40,Assumptions!$B79)*EI79*AR79,"")</f>
        <v>0</v>
      </c>
      <c r="CO79" s="40">
        <f ca="1">IFERROR(SUMIFS('TRA balance'!AP$5:AP$40,'TRA balance'!$C$5:$C$40,Assumptions!$C79,'TRA balance'!$D$5:$D$40,Assumptions!$B79)*EJ79*AS79,"")</f>
        <v>0</v>
      </c>
      <c r="CP79" s="40">
        <f ca="1">IFERROR(SUMIFS('TRA balance'!AQ$5:AQ$40,'TRA balance'!$C$5:$C$40,Assumptions!$C79,'TRA balance'!$D$5:$D$40,Assumptions!$B79)*EK79*AT79,"")</f>
        <v>0</v>
      </c>
      <c r="CQ79" s="40">
        <f ca="1">IFERROR(SUMIFS('TRA balance'!AR$5:AR$40,'TRA balance'!$C$5:$C$40,Assumptions!$C79,'TRA balance'!$D$5:$D$40,Assumptions!$B79)*EL79*AU79,"")</f>
        <v>0</v>
      </c>
      <c r="CR79" s="40">
        <f ca="1">IFERROR(SUMIFS('TRA balance'!AS$5:AS$40,'TRA balance'!$C$5:$C$40,Assumptions!$C79,'TRA balance'!$D$5:$D$40,Assumptions!$B79)*EM79*AV79,"")</f>
        <v>0</v>
      </c>
      <c r="CS79" s="40">
        <f ca="1">IFERROR(SUMIFS('TRA balance'!AT$5:AT$40,'TRA balance'!$C$5:$C$40,Assumptions!$C79,'TRA balance'!$D$5:$D$40,Assumptions!$B79)*EN79*AW79,"")</f>
        <v>0</v>
      </c>
      <c r="CT79" s="40">
        <f ca="1">IFERROR(SUMIFS('TRA balance'!AU$5:AU$40,'TRA balance'!$C$5:$C$40,Assumptions!$C79,'TRA balance'!$D$5:$D$40,Assumptions!$B79)*EO79*AX79,"")</f>
        <v>0</v>
      </c>
      <c r="CU79" s="40">
        <f ca="1">IFERROR(SUMIFS('TRA balance'!AV$5:AV$40,'TRA balance'!$C$5:$C$40,Assumptions!$C79,'TRA balance'!$D$5:$D$40,Assumptions!$B79)*EP79*AY79,"")</f>
        <v>0</v>
      </c>
      <c r="CV79" s="40">
        <f ca="1">IFERROR(SUMIFS('TRA balance'!AW$5:AW$40,'TRA balance'!$C$5:$C$40,Assumptions!$C79,'TRA balance'!$D$5:$D$40,Assumptions!$B79)*EQ79*AZ79,"")</f>
        <v>0</v>
      </c>
      <c r="CW79" s="40">
        <f ca="1">IFERROR(SUMIFS('TRA balance'!AX$5:AX$40,'TRA balance'!$C$5:$C$40,Assumptions!$C79,'TRA balance'!$D$5:$D$40,Assumptions!$B79)*ER79*BA79,"")</f>
        <v>0</v>
      </c>
      <c r="CY79" s="39">
        <f ca="1" t="shared" si="86"/>
        <v>0</v>
      </c>
      <c r="CZ79" s="39">
        <f ca="1" t="shared" si="87"/>
        <v>0</v>
      </c>
      <c r="DA79" s="39">
        <f ca="1" t="shared" si="88"/>
        <v>0</v>
      </c>
      <c r="DB79" s="39">
        <f ca="1" t="shared" si="89"/>
        <v>0</v>
      </c>
      <c r="DC79" s="39">
        <f ca="1" t="shared" si="90"/>
        <v>0</v>
      </c>
      <c r="DD79" s="39">
        <f ca="1" t="shared" si="91"/>
        <v>0</v>
      </c>
      <c r="DE79" s="39">
        <f ca="1" t="shared" si="92"/>
        <v>0</v>
      </c>
      <c r="DF79" s="39">
        <f ca="1" t="shared" si="93"/>
        <v>0</v>
      </c>
      <c r="DG79" s="39">
        <f ca="1" t="shared" si="94"/>
        <v>0</v>
      </c>
      <c r="DH79" s="39">
        <f ca="1" t="shared" si="95"/>
        <v>0</v>
      </c>
      <c r="DI79" s="39">
        <f ca="1" t="shared" si="96"/>
        <v>0</v>
      </c>
      <c r="DJ79" s="39">
        <f ca="1" t="shared" si="97"/>
        <v>0</v>
      </c>
      <c r="DK79" s="39">
        <f ca="1" t="shared" si="98"/>
        <v>0</v>
      </c>
      <c r="DL79" s="39">
        <f ca="1" t="shared" si="99"/>
        <v>0</v>
      </c>
      <c r="DM79" s="39">
        <f ca="1" t="shared" si="100"/>
        <v>0</v>
      </c>
      <c r="DN79" s="39">
        <f ca="1" t="shared" si="101"/>
        <v>0</v>
      </c>
      <c r="DO79" s="39">
        <f ca="1" t="shared" si="102"/>
        <v>0</v>
      </c>
      <c r="DP79" s="39">
        <f ca="1" t="shared" si="103"/>
        <v>0</v>
      </c>
      <c r="DQ79" s="39">
        <f ca="1" t="shared" si="104"/>
        <v>0</v>
      </c>
      <c r="DR79" s="39">
        <f ca="1" t="shared" si="105"/>
        <v>0</v>
      </c>
      <c r="DS79" s="39">
        <f ca="1" t="shared" si="106"/>
        <v>0</v>
      </c>
      <c r="DT79" s="39">
        <f ca="1" t="shared" si="107"/>
        <v>0</v>
      </c>
      <c r="DU79" s="39">
        <f ca="1" t="shared" si="108"/>
        <v>0</v>
      </c>
      <c r="DV79" s="39">
        <f ca="1" t="shared" si="109"/>
        <v>0</v>
      </c>
      <c r="DW79" s="39">
        <f ca="1" t="shared" si="110"/>
        <v>0</v>
      </c>
      <c r="DX79" s="39">
        <f ca="1" t="shared" si="111"/>
        <v>0</v>
      </c>
      <c r="DY79" s="39">
        <f ca="1" t="shared" si="112"/>
        <v>0</v>
      </c>
      <c r="DZ79" s="39">
        <f ca="1" t="shared" si="113"/>
        <v>0</v>
      </c>
      <c r="EA79" s="39">
        <f ca="1" t="shared" si="114"/>
        <v>0</v>
      </c>
      <c r="EB79" s="39">
        <f ca="1" t="shared" si="115"/>
        <v>0</v>
      </c>
      <c r="EC79" s="39">
        <f ca="1" t="shared" si="116"/>
        <v>0</v>
      </c>
      <c r="ED79" s="39">
        <f ca="1" t="shared" si="117"/>
        <v>0</v>
      </c>
      <c r="EE79" s="39">
        <f ca="1" t="shared" si="118"/>
        <v>0</v>
      </c>
      <c r="EF79" s="39">
        <f ca="1" t="shared" si="119"/>
        <v>0</v>
      </c>
      <c r="EG79" s="39">
        <f ca="1" t="shared" si="120"/>
        <v>0</v>
      </c>
      <c r="EH79" s="39">
        <f ca="1" t="shared" si="121"/>
        <v>0</v>
      </c>
      <c r="EI79" s="39">
        <f ca="1" t="shared" si="122"/>
        <v>0</v>
      </c>
      <c r="EJ79" s="39">
        <f ca="1" t="shared" si="123"/>
        <v>0</v>
      </c>
      <c r="EK79" s="39">
        <f ca="1" t="shared" si="124"/>
        <v>0</v>
      </c>
      <c r="EL79" s="39">
        <f ca="1" t="shared" si="125"/>
        <v>0</v>
      </c>
      <c r="EM79" s="39">
        <f ca="1" t="shared" si="126"/>
        <v>0</v>
      </c>
      <c r="EN79" s="39">
        <f ca="1" t="shared" si="127"/>
        <v>0</v>
      </c>
      <c r="EO79" s="39">
        <f ca="1" t="shared" si="128"/>
        <v>0</v>
      </c>
      <c r="EP79" s="39">
        <f ca="1" t="shared" si="129"/>
        <v>0</v>
      </c>
      <c r="EQ79" s="39">
        <f ca="1" t="shared" si="130"/>
        <v>0</v>
      </c>
      <c r="ER79" s="39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4" t="str">
        <f t="shared" si="133"/>
        <v>TR</v>
      </c>
      <c r="D80" s="55" t="s">
        <v>200</v>
      </c>
      <c r="E80" s="66" t="s">
        <v>206</v>
      </c>
      <c r="F80" s="56" t="str">
        <f t="shared" si="138"/>
        <v>Bio Gasoline</v>
      </c>
      <c r="G80" s="54" t="s">
        <v>207</v>
      </c>
      <c r="H80" s="57">
        <f ca="1">OFFSET(TIAM15_assumptions!$G80,0,MATCH(VLOOKUP(Assumptions!H$2,TIAM15_assumptions!$Y$3:$Z$87,2,FALSE),TIAM15_assumptions!$H$2:$V$2,0))</f>
        <v>0</v>
      </c>
      <c r="I80" s="57">
        <f ca="1">OFFSET(TIAM15_assumptions!$G80,0,MATCH(VLOOKUP(Assumptions!I$2,TIAM15_assumptions!$Y$3:$Z$87,2,FALSE),TIAM15_assumptions!$H$2:$V$2,0))</f>
        <v>0</v>
      </c>
      <c r="J80" s="57">
        <f ca="1">OFFSET(TIAM15_assumptions!$G80,0,MATCH(VLOOKUP(Assumptions!J$2,TIAM15_assumptions!$Y$3:$Z$87,2,FALSE),TIAM15_assumptions!$H$2:$V$2,0))</f>
        <v>0</v>
      </c>
      <c r="K80" s="57">
        <f ca="1">OFFSET(TIAM15_assumptions!$G80,0,MATCH(VLOOKUP(Assumptions!K$2,TIAM15_assumptions!$Y$3:$Z$87,2,FALSE),TIAM15_assumptions!$H$2:$V$2,0))</f>
        <v>0</v>
      </c>
      <c r="L80" s="57">
        <f ca="1">OFFSET(TIAM15_assumptions!$G80,0,MATCH(VLOOKUP(Assumptions!L$2,TIAM15_assumptions!$Y$3:$Z$87,2,FALSE),TIAM15_assumptions!$H$2:$V$2,0))</f>
        <v>0</v>
      </c>
      <c r="M80" s="57">
        <f ca="1">OFFSET(TIAM15_assumptions!$G80,0,MATCH(VLOOKUP(Assumptions!M$2,TIAM15_assumptions!$Y$3:$Z$87,2,FALSE),TIAM15_assumptions!$H$2:$V$2,0))</f>
        <v>0</v>
      </c>
      <c r="N80" s="57">
        <f ca="1">OFFSET(TIAM15_assumptions!$G80,0,MATCH(VLOOKUP(Assumptions!N$2,TIAM15_assumptions!$Y$3:$Z$87,2,FALSE),TIAM15_assumptions!$H$2:$V$2,0))</f>
        <v>0</v>
      </c>
      <c r="O80" s="57">
        <f ca="1">OFFSET(TIAM15_assumptions!$G80,0,MATCH(VLOOKUP(Assumptions!O$2,TIAM15_assumptions!$Y$3:$Z$87,2,FALSE),TIAM15_assumptions!$H$2:$V$2,0))</f>
        <v>0</v>
      </c>
      <c r="P80" s="57">
        <f ca="1">OFFSET(TIAM15_assumptions!$G80,0,MATCH(VLOOKUP(Assumptions!P$2,TIAM15_assumptions!$Y$3:$Z$87,2,FALSE),TIAM15_assumptions!$H$2:$V$2,0))</f>
        <v>0</v>
      </c>
      <c r="Q80" s="57">
        <f ca="1">OFFSET(TIAM15_assumptions!$G80,0,MATCH(VLOOKUP(Assumptions!Q$2,TIAM15_assumptions!$Y$3:$Z$87,2,FALSE),TIAM15_assumptions!$H$2:$V$2,0))</f>
        <v>0</v>
      </c>
      <c r="R80" s="57">
        <f ca="1">OFFSET(TIAM15_assumptions!$G80,0,MATCH(VLOOKUP(Assumptions!R$2,TIAM15_assumptions!$Y$3:$Z$87,2,FALSE),TIAM15_assumptions!$H$2:$V$2,0))</f>
        <v>0</v>
      </c>
      <c r="S80" s="57">
        <f ca="1">OFFSET(TIAM15_assumptions!$G80,0,MATCH(VLOOKUP(Assumptions!S$2,TIAM15_assumptions!$Y$3:$Z$87,2,FALSE),TIAM15_assumptions!$H$2:$V$2,0))</f>
        <v>0</v>
      </c>
      <c r="T80" s="57">
        <f ca="1">OFFSET(TIAM15_assumptions!$G80,0,MATCH(VLOOKUP(Assumptions!T$2,TIAM15_assumptions!$Y$3:$Z$87,2,FALSE),TIAM15_assumptions!$H$2:$V$2,0))</f>
        <v>0</v>
      </c>
      <c r="U80" s="57">
        <f ca="1">OFFSET(TIAM15_assumptions!$G80,0,MATCH(VLOOKUP(Assumptions!U$2,TIAM15_assumptions!$Y$3:$Z$87,2,FALSE),TIAM15_assumptions!$H$2:$V$2,0))</f>
        <v>0</v>
      </c>
      <c r="V80" s="57">
        <f ca="1">OFFSET(TIAM15_assumptions!$G80,0,MATCH(VLOOKUP(Assumptions!V$2,TIAM15_assumptions!$Y$3:$Z$87,2,FALSE),TIAM15_assumptions!$H$2:$V$2,0))</f>
        <v>0</v>
      </c>
      <c r="W80" s="57">
        <f ca="1">OFFSET(TIAM15_assumptions!$G80,0,MATCH(VLOOKUP(Assumptions!W$2,TIAM15_assumptions!$Y$3:$Z$87,2,FALSE),TIAM15_assumptions!$H$2:$V$2,0))</f>
        <v>0</v>
      </c>
      <c r="X80" s="57">
        <f ca="1">OFFSET(TIAM15_assumptions!$G80,0,MATCH(VLOOKUP(Assumptions!X$2,TIAM15_assumptions!$Y$3:$Z$87,2,FALSE),TIAM15_assumptions!$H$2:$V$2,0))</f>
        <v>0</v>
      </c>
      <c r="Y80" s="57">
        <f ca="1">OFFSET(TIAM15_assumptions!$G80,0,MATCH(VLOOKUP(Assumptions!Y$2,TIAM15_assumptions!$Y$3:$Z$87,2,FALSE),TIAM15_assumptions!$H$2:$V$2,0))</f>
        <v>0</v>
      </c>
      <c r="Z80" s="57">
        <f ca="1">OFFSET(TIAM15_assumptions!$G80,0,MATCH(VLOOKUP(Assumptions!Z$2,TIAM15_assumptions!$Y$3:$Z$87,2,FALSE),TIAM15_assumptions!$H$2:$V$2,0))</f>
        <v>0</v>
      </c>
      <c r="AA80" s="57">
        <f ca="1">OFFSET(TIAM15_assumptions!$G80,0,MATCH(VLOOKUP(Assumptions!AA$2,TIAM15_assumptions!$Y$3:$Z$87,2,FALSE),TIAM15_assumptions!$H$2:$V$2,0))</f>
        <v>0</v>
      </c>
      <c r="AB80" s="57">
        <f ca="1">OFFSET(TIAM15_assumptions!$G80,0,MATCH(VLOOKUP(Assumptions!AB$2,TIAM15_assumptions!$Y$3:$Z$87,2,FALSE),TIAM15_assumptions!$H$2:$V$2,0))</f>
        <v>0</v>
      </c>
      <c r="AC80" s="57">
        <f ca="1">OFFSET(TIAM15_assumptions!$G80,0,MATCH(VLOOKUP(Assumptions!AC$2,TIAM15_assumptions!$Y$3:$Z$87,2,FALSE),TIAM15_assumptions!$H$2:$V$2,0))</f>
        <v>0</v>
      </c>
      <c r="AD80" s="57">
        <f ca="1">OFFSET(TIAM15_assumptions!$G80,0,MATCH(VLOOKUP(Assumptions!AD$2,TIAM15_assumptions!$Y$3:$Z$87,2,FALSE),TIAM15_assumptions!$H$2:$V$2,0))</f>
        <v>0</v>
      </c>
      <c r="AE80" s="57">
        <f ca="1">OFFSET(TIAM15_assumptions!$G80,0,MATCH(VLOOKUP(Assumptions!AE$2,TIAM15_assumptions!$Y$3:$Z$87,2,FALSE),TIAM15_assumptions!$H$2:$V$2,0))</f>
        <v>0</v>
      </c>
      <c r="AF80" s="57">
        <f ca="1">OFFSET(TIAM15_assumptions!$G80,0,MATCH(VLOOKUP(Assumptions!AF$2,TIAM15_assumptions!$Y$3:$Z$87,2,FALSE),TIAM15_assumptions!$H$2:$V$2,0))</f>
        <v>0</v>
      </c>
      <c r="AG80" s="57">
        <f ca="1">OFFSET(TIAM15_assumptions!$G80,0,MATCH(VLOOKUP(Assumptions!AG$2,TIAM15_assumptions!$Y$3:$Z$87,2,FALSE),TIAM15_assumptions!$H$2:$V$2,0))</f>
        <v>0</v>
      </c>
      <c r="AH80" s="57">
        <f ca="1">OFFSET(TIAM15_assumptions!$G80,0,MATCH(VLOOKUP(Assumptions!AH$2,TIAM15_assumptions!$Y$3:$Z$87,2,FALSE),TIAM15_assumptions!$H$2:$V$2,0))</f>
        <v>0</v>
      </c>
      <c r="AI80" s="57">
        <f ca="1">OFFSET(TIAM15_assumptions!$G80,0,MATCH(VLOOKUP(Assumptions!AI$2,TIAM15_assumptions!$Y$3:$Z$87,2,FALSE),TIAM15_assumptions!$H$2:$V$2,0))</f>
        <v>0</v>
      </c>
      <c r="AJ80" s="57">
        <f ca="1">OFFSET(TIAM15_assumptions!$G80,0,MATCH(VLOOKUP(Assumptions!AJ$2,TIAM15_assumptions!$Y$3:$Z$87,2,FALSE),TIAM15_assumptions!$H$2:$V$2,0))</f>
        <v>0</v>
      </c>
      <c r="AK80" s="57">
        <f ca="1">OFFSET(TIAM15_assumptions!$G80,0,MATCH(VLOOKUP(Assumptions!AK$2,TIAM15_assumptions!$Y$3:$Z$87,2,FALSE),TIAM15_assumptions!$H$2:$V$2,0))</f>
        <v>0</v>
      </c>
      <c r="AL80" s="57">
        <f ca="1">OFFSET(TIAM15_assumptions!$G80,0,MATCH(VLOOKUP(Assumptions!AL$2,TIAM15_assumptions!$Y$3:$Z$87,2,FALSE),TIAM15_assumptions!$H$2:$V$2,0))</f>
        <v>0</v>
      </c>
      <c r="AM80" s="57">
        <f ca="1">OFFSET(TIAM15_assumptions!$G80,0,MATCH(VLOOKUP(Assumptions!AM$2,TIAM15_assumptions!$Y$3:$Z$87,2,FALSE),TIAM15_assumptions!$H$2:$V$2,0))</f>
        <v>0</v>
      </c>
      <c r="AN80" s="57">
        <f ca="1">OFFSET(TIAM15_assumptions!$G80,0,MATCH(VLOOKUP(Assumptions!AN$2,TIAM15_assumptions!$Y$3:$Z$87,2,FALSE),TIAM15_assumptions!$H$2:$V$2,0))</f>
        <v>0</v>
      </c>
      <c r="AO80" s="57">
        <f ca="1">OFFSET(TIAM15_assumptions!$G80,0,MATCH(VLOOKUP(Assumptions!AO$2,TIAM15_assumptions!$Y$3:$Z$87,2,FALSE),TIAM15_assumptions!$H$2:$V$2,0))</f>
        <v>0</v>
      </c>
      <c r="AP80" s="57">
        <f ca="1">OFFSET(TIAM15_assumptions!$G80,0,MATCH(VLOOKUP(Assumptions!AP$2,TIAM15_assumptions!$Y$3:$Z$87,2,FALSE),TIAM15_assumptions!$H$2:$V$2,0))</f>
        <v>0</v>
      </c>
      <c r="AQ80" s="57">
        <f ca="1">OFFSET(TIAM15_assumptions!$G80,0,MATCH(VLOOKUP(Assumptions!AQ$2,TIAM15_assumptions!$Y$3:$Z$87,2,FALSE),TIAM15_assumptions!$H$2:$V$2,0))</f>
        <v>0</v>
      </c>
      <c r="AR80" s="57">
        <f ca="1">OFFSET(TIAM15_assumptions!$G80,0,MATCH(VLOOKUP(Assumptions!AR$2,TIAM15_assumptions!$Y$3:$Z$87,2,FALSE),TIAM15_assumptions!$H$2:$V$2,0))</f>
        <v>0</v>
      </c>
      <c r="AS80" s="57">
        <f ca="1">OFFSET(TIAM15_assumptions!$G80,0,MATCH(VLOOKUP(Assumptions!AS$2,TIAM15_assumptions!$Y$3:$Z$87,2,FALSE),TIAM15_assumptions!$H$2:$V$2,0))</f>
        <v>0</v>
      </c>
      <c r="AT80" s="57">
        <f ca="1">OFFSET(TIAM15_assumptions!$G80,0,MATCH(VLOOKUP(Assumptions!AT$2,TIAM15_assumptions!$Y$3:$Z$87,2,FALSE),TIAM15_assumptions!$H$2:$V$2,0))</f>
        <v>0</v>
      </c>
      <c r="AU80" s="57">
        <f ca="1">OFFSET(TIAM15_assumptions!$G80,0,MATCH(VLOOKUP(Assumptions!AU$2,TIAM15_assumptions!$Y$3:$Z$87,2,FALSE),TIAM15_assumptions!$H$2:$V$2,0))</f>
        <v>0</v>
      </c>
      <c r="AV80" s="57">
        <f ca="1">OFFSET(TIAM15_assumptions!$G80,0,MATCH(VLOOKUP(Assumptions!AV$2,TIAM15_assumptions!$Y$3:$Z$87,2,FALSE),TIAM15_assumptions!$H$2:$V$2,0))</f>
        <v>0</v>
      </c>
      <c r="AW80" s="57">
        <f ca="1">OFFSET(TIAM15_assumptions!$G80,0,MATCH(VLOOKUP(Assumptions!AW$2,TIAM15_assumptions!$Y$3:$Z$87,2,FALSE),TIAM15_assumptions!$H$2:$V$2,0))</f>
        <v>0</v>
      </c>
      <c r="AX80" s="57">
        <f ca="1">OFFSET(TIAM15_assumptions!$G80,0,MATCH(VLOOKUP(Assumptions!AX$2,TIAM15_assumptions!$Y$3:$Z$87,2,FALSE),TIAM15_assumptions!$H$2:$V$2,0))</f>
        <v>0</v>
      </c>
      <c r="AY80" s="57">
        <f ca="1">OFFSET(TIAM15_assumptions!$G80,0,MATCH(VLOOKUP(Assumptions!AY$2,TIAM15_assumptions!$Y$3:$Z$87,2,FALSE),TIAM15_assumptions!$H$2:$V$2,0))</f>
        <v>0</v>
      </c>
      <c r="AZ80" s="57">
        <f ca="1">OFFSET(TIAM15_assumptions!$G80,0,MATCH(VLOOKUP(Assumptions!AZ$2,TIAM15_assumptions!$Y$3:$Z$87,2,FALSE),TIAM15_assumptions!$H$2:$V$2,0))</f>
        <v>0</v>
      </c>
      <c r="BA80" s="57">
        <f ca="1">OFFSET(TIAM15_assumptions!$G80,0,MATCH(VLOOKUP(Assumptions!BA$2,TIAM15_assumptions!$Y$3:$Z$87,2,FALSE),TIAM15_assumptions!$H$2:$V$2,0))</f>
        <v>0</v>
      </c>
      <c r="BD80" s="40">
        <f ca="1">IFERROR(SUMIFS('TRA balance'!E$5:E$40,'TRA balance'!$C$5:$C$40,Assumptions!$C80,'TRA balance'!$D$5:$D$40,Assumptions!$B80)*CY80*H80,"")</f>
        <v>0</v>
      </c>
      <c r="BE80" s="40">
        <f ca="1">IFERROR(SUMIFS('TRA balance'!F$5:F$40,'TRA balance'!$C$5:$C$40,Assumptions!$C80,'TRA balance'!$D$5:$D$40,Assumptions!$B80)*CZ80*I80,"")</f>
        <v>0</v>
      </c>
      <c r="BF80" s="40">
        <f ca="1">IFERROR(SUMIFS('TRA balance'!G$5:G$40,'TRA balance'!$C$5:$C$40,Assumptions!$C80,'TRA balance'!$D$5:$D$40,Assumptions!$B80)*DA80*J80,"")</f>
        <v>0</v>
      </c>
      <c r="BG80" s="40">
        <f ca="1">IFERROR(SUMIFS('TRA balance'!H$5:H$40,'TRA balance'!$C$5:$C$40,Assumptions!$C80,'TRA balance'!$D$5:$D$40,Assumptions!$B80)*DB80*K80,"")</f>
        <v>0</v>
      </c>
      <c r="BH80" s="40">
        <f ca="1">IFERROR(SUMIFS('TRA balance'!I$5:I$40,'TRA balance'!$C$5:$C$40,Assumptions!$C80,'TRA balance'!$D$5:$D$40,Assumptions!$B80)*DC80*L80,"")</f>
        <v>0</v>
      </c>
      <c r="BI80" s="40">
        <f ca="1">IFERROR(SUMIFS('TRA balance'!J$5:J$40,'TRA balance'!$C$5:$C$40,Assumptions!$C80,'TRA balance'!$D$5:$D$40,Assumptions!$B80)*DD80*M80,"")</f>
        <v>0</v>
      </c>
      <c r="BJ80" s="40">
        <f ca="1">IFERROR(SUMIFS('TRA balance'!K$5:K$40,'TRA balance'!$C$5:$C$40,Assumptions!$C80,'TRA balance'!$D$5:$D$40,Assumptions!$B80)*DE80*N80,"")</f>
        <v>0</v>
      </c>
      <c r="BK80" s="40">
        <f ca="1">IFERROR(SUMIFS('TRA balance'!L$5:L$40,'TRA balance'!$C$5:$C$40,Assumptions!$C80,'TRA balance'!$D$5:$D$40,Assumptions!$B80)*DF80*O80,"")</f>
        <v>0</v>
      </c>
      <c r="BL80" s="40">
        <f ca="1">IFERROR(SUMIFS('TRA balance'!M$5:M$40,'TRA balance'!$C$5:$C$40,Assumptions!$C80,'TRA balance'!$D$5:$D$40,Assumptions!$B80)*DG80*P80,"")</f>
        <v>0</v>
      </c>
      <c r="BM80" s="40">
        <f ca="1">IFERROR(SUMIFS('TRA balance'!N$5:N$40,'TRA balance'!$C$5:$C$40,Assumptions!$C80,'TRA balance'!$D$5:$D$40,Assumptions!$B80)*DH80*Q80,"")</f>
        <v>0</v>
      </c>
      <c r="BN80" s="40">
        <f ca="1">IFERROR(SUMIFS('TRA balance'!O$5:O$40,'TRA balance'!$C$5:$C$40,Assumptions!$C80,'TRA balance'!$D$5:$D$40,Assumptions!$B80)*DI80*R80,"")</f>
        <v>0</v>
      </c>
      <c r="BO80" s="40">
        <f ca="1">IFERROR(SUMIFS('TRA balance'!P$5:P$40,'TRA balance'!$C$5:$C$40,Assumptions!$C80,'TRA balance'!$D$5:$D$40,Assumptions!$B80)*DJ80*S80,"")</f>
        <v>0</v>
      </c>
      <c r="BP80" s="40">
        <f ca="1">IFERROR(SUMIFS('TRA balance'!Q$5:Q$40,'TRA balance'!$C$5:$C$40,Assumptions!$C80,'TRA balance'!$D$5:$D$40,Assumptions!$B80)*DK80*T80,"")</f>
        <v>0</v>
      </c>
      <c r="BQ80" s="40">
        <f ca="1">IFERROR(SUMIFS('TRA balance'!R$5:R$40,'TRA balance'!$C$5:$C$40,Assumptions!$C80,'TRA balance'!$D$5:$D$40,Assumptions!$B80)*DL80*U80,"")</f>
        <v>0</v>
      </c>
      <c r="BR80" s="40">
        <f ca="1">IFERROR(SUMIFS('TRA balance'!S$5:S$40,'TRA balance'!$C$5:$C$40,Assumptions!$C80,'TRA balance'!$D$5:$D$40,Assumptions!$B80)*DM80*V80,"")</f>
        <v>0</v>
      </c>
      <c r="BS80" s="40">
        <f ca="1">IFERROR(SUMIFS('TRA balance'!T$5:T$40,'TRA balance'!$C$5:$C$40,Assumptions!$C80,'TRA balance'!$D$5:$D$40,Assumptions!$B80)*DN80*W80,"")</f>
        <v>0</v>
      </c>
      <c r="BT80" s="40">
        <f ca="1">IFERROR(SUMIFS('TRA balance'!U$5:U$40,'TRA balance'!$C$5:$C$40,Assumptions!$C80,'TRA balance'!$D$5:$D$40,Assumptions!$B80)*DO80*X80,"")</f>
        <v>0</v>
      </c>
      <c r="BU80" s="40">
        <f ca="1">IFERROR(SUMIFS('TRA balance'!V$5:V$40,'TRA balance'!$C$5:$C$40,Assumptions!$C80,'TRA balance'!$D$5:$D$40,Assumptions!$B80)*DP80*Y80,"")</f>
        <v>0</v>
      </c>
      <c r="BV80" s="40">
        <f ca="1">IFERROR(SUMIFS('TRA balance'!W$5:W$40,'TRA balance'!$C$5:$C$40,Assumptions!$C80,'TRA balance'!$D$5:$D$40,Assumptions!$B80)*DQ80*Z80,"")</f>
        <v>0</v>
      </c>
      <c r="BW80" s="40">
        <f ca="1">IFERROR(SUMIFS('TRA balance'!X$5:X$40,'TRA balance'!$C$5:$C$40,Assumptions!$C80,'TRA balance'!$D$5:$D$40,Assumptions!$B80)*DR80*AA80,"")</f>
        <v>0</v>
      </c>
      <c r="BX80" s="40">
        <f ca="1">IFERROR(SUMIFS('TRA balance'!Y$5:Y$40,'TRA balance'!$C$5:$C$40,Assumptions!$C80,'TRA balance'!$D$5:$D$40,Assumptions!$B80)*DS80*AB80,"")</f>
        <v>0</v>
      </c>
      <c r="BY80" s="40">
        <f ca="1">IFERROR(SUMIFS('TRA balance'!Z$5:Z$40,'TRA balance'!$C$5:$C$40,Assumptions!$C80,'TRA balance'!$D$5:$D$40,Assumptions!$B80)*DT80*AC80,"")</f>
        <v>0</v>
      </c>
      <c r="BZ80" s="40">
        <f ca="1">IFERROR(SUMIFS('TRA balance'!AA$5:AA$40,'TRA balance'!$C$5:$C$40,Assumptions!$C80,'TRA balance'!$D$5:$D$40,Assumptions!$B80)*DU80*AD80,"")</f>
        <v>0</v>
      </c>
      <c r="CA80" s="40">
        <f ca="1">IFERROR(SUMIFS('TRA balance'!AB$5:AB$40,'TRA balance'!$C$5:$C$40,Assumptions!$C80,'TRA balance'!$D$5:$D$40,Assumptions!$B80)*DV80*AE80,"")</f>
        <v>0</v>
      </c>
      <c r="CB80" s="40">
        <f ca="1">IFERROR(SUMIFS('TRA balance'!AC$5:AC$40,'TRA balance'!$C$5:$C$40,Assumptions!$C80,'TRA balance'!$D$5:$D$40,Assumptions!$B80)*DW80*AF80,"")</f>
        <v>0</v>
      </c>
      <c r="CC80" s="40">
        <f ca="1">IFERROR(SUMIFS('TRA balance'!AD$5:AD$40,'TRA balance'!$C$5:$C$40,Assumptions!$C80,'TRA balance'!$D$5:$D$40,Assumptions!$B80)*DX80*AG80,"")</f>
        <v>0</v>
      </c>
      <c r="CD80" s="40">
        <f ca="1">IFERROR(SUMIFS('TRA balance'!AE$5:AE$40,'TRA balance'!$C$5:$C$40,Assumptions!$C80,'TRA balance'!$D$5:$D$40,Assumptions!$B80)*DY80*AH80,"")</f>
        <v>0</v>
      </c>
      <c r="CE80" s="40">
        <f ca="1">IFERROR(SUMIFS('TRA balance'!AF$5:AF$40,'TRA balance'!$C$5:$C$40,Assumptions!$C80,'TRA balance'!$D$5:$D$40,Assumptions!$B80)*DZ80*AI80,"")</f>
        <v>0</v>
      </c>
      <c r="CF80" s="40">
        <f ca="1">IFERROR(SUMIFS('TRA balance'!AG$5:AG$40,'TRA balance'!$C$5:$C$40,Assumptions!$C80,'TRA balance'!$D$5:$D$40,Assumptions!$B80)*EA80*AJ80,"")</f>
        <v>0</v>
      </c>
      <c r="CG80" s="40">
        <f ca="1">IFERROR(SUMIFS('TRA balance'!AH$5:AH$40,'TRA balance'!$C$5:$C$40,Assumptions!$C80,'TRA balance'!$D$5:$D$40,Assumptions!$B80)*EB80*AK80,"")</f>
        <v>0</v>
      </c>
      <c r="CH80" s="40">
        <f ca="1">IFERROR(SUMIFS('TRA balance'!AI$5:AI$40,'TRA balance'!$C$5:$C$40,Assumptions!$C80,'TRA balance'!$D$5:$D$40,Assumptions!$B80)*EC80*AL80,"")</f>
        <v>0</v>
      </c>
      <c r="CI80" s="40">
        <f ca="1">IFERROR(SUMIFS('TRA balance'!AJ$5:AJ$40,'TRA balance'!$C$5:$C$40,Assumptions!$C80,'TRA balance'!$D$5:$D$40,Assumptions!$B80)*ED80*AM80,"")</f>
        <v>0</v>
      </c>
      <c r="CJ80" s="40">
        <f ca="1">IFERROR(SUMIFS('TRA balance'!AK$5:AK$40,'TRA balance'!$C$5:$C$40,Assumptions!$C80,'TRA balance'!$D$5:$D$40,Assumptions!$B80)*EE80*AN80,"")</f>
        <v>0</v>
      </c>
      <c r="CK80" s="40">
        <f ca="1">IFERROR(SUMIFS('TRA balance'!AL$5:AL$40,'TRA balance'!$C$5:$C$40,Assumptions!$C80,'TRA balance'!$D$5:$D$40,Assumptions!$B80)*EF80*AO80,"")</f>
        <v>0</v>
      </c>
      <c r="CL80" s="40">
        <f ca="1">IFERROR(SUMIFS('TRA balance'!AM$5:AM$40,'TRA balance'!$C$5:$C$40,Assumptions!$C80,'TRA balance'!$D$5:$D$40,Assumptions!$B80)*EG80*AP80,"")</f>
        <v>0</v>
      </c>
      <c r="CM80" s="40">
        <f ca="1">IFERROR(SUMIFS('TRA balance'!AN$5:AN$40,'TRA balance'!$C$5:$C$40,Assumptions!$C80,'TRA balance'!$D$5:$D$40,Assumptions!$B80)*EH80*AQ80,"")</f>
        <v>0</v>
      </c>
      <c r="CN80" s="40">
        <f ca="1">IFERROR(SUMIFS('TRA balance'!AO$5:AO$40,'TRA balance'!$C$5:$C$40,Assumptions!$C80,'TRA balance'!$D$5:$D$40,Assumptions!$B80)*EI80*AR80,"")</f>
        <v>0</v>
      </c>
      <c r="CO80" s="40">
        <f ca="1">IFERROR(SUMIFS('TRA balance'!AP$5:AP$40,'TRA balance'!$C$5:$C$40,Assumptions!$C80,'TRA balance'!$D$5:$D$40,Assumptions!$B80)*EJ80*AS80,"")</f>
        <v>0</v>
      </c>
      <c r="CP80" s="40">
        <f ca="1">IFERROR(SUMIFS('TRA balance'!AQ$5:AQ$40,'TRA balance'!$C$5:$C$40,Assumptions!$C80,'TRA balance'!$D$5:$D$40,Assumptions!$B80)*EK80*AT80,"")</f>
        <v>0</v>
      </c>
      <c r="CQ80" s="40">
        <f ca="1">IFERROR(SUMIFS('TRA balance'!AR$5:AR$40,'TRA balance'!$C$5:$C$40,Assumptions!$C80,'TRA balance'!$D$5:$D$40,Assumptions!$B80)*EL80*AU80,"")</f>
        <v>0</v>
      </c>
      <c r="CR80" s="40">
        <f ca="1">IFERROR(SUMIFS('TRA balance'!AS$5:AS$40,'TRA balance'!$C$5:$C$40,Assumptions!$C80,'TRA balance'!$D$5:$D$40,Assumptions!$B80)*EM80*AV80,"")</f>
        <v>0</v>
      </c>
      <c r="CS80" s="40">
        <f ca="1">IFERROR(SUMIFS('TRA balance'!AT$5:AT$40,'TRA balance'!$C$5:$C$40,Assumptions!$C80,'TRA balance'!$D$5:$D$40,Assumptions!$B80)*EN80*AW80,"")</f>
        <v>0</v>
      </c>
      <c r="CT80" s="40">
        <f ca="1">IFERROR(SUMIFS('TRA balance'!AU$5:AU$40,'TRA balance'!$C$5:$C$40,Assumptions!$C80,'TRA balance'!$D$5:$D$40,Assumptions!$B80)*EO80*AX80,"")</f>
        <v>0</v>
      </c>
      <c r="CU80" s="40">
        <f ca="1">IFERROR(SUMIFS('TRA balance'!AV$5:AV$40,'TRA balance'!$C$5:$C$40,Assumptions!$C80,'TRA balance'!$D$5:$D$40,Assumptions!$B80)*EP80*AY80,"")</f>
        <v>0</v>
      </c>
      <c r="CV80" s="40">
        <f ca="1">IFERROR(SUMIFS('TRA balance'!AW$5:AW$40,'TRA balance'!$C$5:$C$40,Assumptions!$C80,'TRA balance'!$D$5:$D$40,Assumptions!$B80)*EQ80*AZ80,"")</f>
        <v>0</v>
      </c>
      <c r="CW80" s="40">
        <f ca="1">IFERROR(SUMIFS('TRA balance'!AX$5:AX$40,'TRA balance'!$C$5:$C$40,Assumptions!$C80,'TRA balance'!$D$5:$D$40,Assumptions!$B80)*ER80*BA80,"")</f>
        <v>0</v>
      </c>
      <c r="CY80" s="39">
        <f ca="1" t="shared" si="86"/>
        <v>0</v>
      </c>
      <c r="CZ80" s="39">
        <f ca="1" t="shared" si="87"/>
        <v>0</v>
      </c>
      <c r="DA80" s="39">
        <f ca="1" t="shared" si="88"/>
        <v>0</v>
      </c>
      <c r="DB80" s="39">
        <f ca="1" t="shared" si="89"/>
        <v>0</v>
      </c>
      <c r="DC80" s="39">
        <f ca="1" t="shared" si="90"/>
        <v>0</v>
      </c>
      <c r="DD80" s="39">
        <f ca="1" t="shared" si="91"/>
        <v>0</v>
      </c>
      <c r="DE80" s="39">
        <f ca="1" t="shared" si="92"/>
        <v>0</v>
      </c>
      <c r="DF80" s="39">
        <f ca="1" t="shared" si="93"/>
        <v>0</v>
      </c>
      <c r="DG80" s="39">
        <f ca="1" t="shared" si="94"/>
        <v>0</v>
      </c>
      <c r="DH80" s="39">
        <f ca="1" t="shared" si="95"/>
        <v>0</v>
      </c>
      <c r="DI80" s="39">
        <f ca="1" t="shared" si="96"/>
        <v>0</v>
      </c>
      <c r="DJ80" s="39">
        <f ca="1" t="shared" si="97"/>
        <v>0</v>
      </c>
      <c r="DK80" s="39">
        <f ca="1" t="shared" si="98"/>
        <v>0</v>
      </c>
      <c r="DL80" s="39">
        <f ca="1" t="shared" si="99"/>
        <v>0</v>
      </c>
      <c r="DM80" s="39">
        <f ca="1" t="shared" si="100"/>
        <v>0</v>
      </c>
      <c r="DN80" s="39">
        <f ca="1" t="shared" si="101"/>
        <v>0</v>
      </c>
      <c r="DO80" s="39">
        <f ca="1" t="shared" si="102"/>
        <v>0</v>
      </c>
      <c r="DP80" s="39">
        <f ca="1" t="shared" si="103"/>
        <v>0</v>
      </c>
      <c r="DQ80" s="39">
        <f ca="1" t="shared" si="104"/>
        <v>0</v>
      </c>
      <c r="DR80" s="39">
        <f ca="1" t="shared" si="105"/>
        <v>0</v>
      </c>
      <c r="DS80" s="39">
        <f ca="1" t="shared" si="106"/>
        <v>0</v>
      </c>
      <c r="DT80" s="39">
        <f ca="1" t="shared" si="107"/>
        <v>0</v>
      </c>
      <c r="DU80" s="39">
        <f ca="1" t="shared" si="108"/>
        <v>0</v>
      </c>
      <c r="DV80" s="39">
        <f ca="1" t="shared" si="109"/>
        <v>0</v>
      </c>
      <c r="DW80" s="39">
        <f ca="1" t="shared" si="110"/>
        <v>0</v>
      </c>
      <c r="DX80" s="39">
        <f ca="1" t="shared" si="111"/>
        <v>0</v>
      </c>
      <c r="DY80" s="39">
        <f ca="1" t="shared" si="112"/>
        <v>0</v>
      </c>
      <c r="DZ80" s="39">
        <f ca="1" t="shared" si="113"/>
        <v>0</v>
      </c>
      <c r="EA80" s="39">
        <f ca="1" t="shared" si="114"/>
        <v>0</v>
      </c>
      <c r="EB80" s="39">
        <f ca="1" t="shared" si="115"/>
        <v>0</v>
      </c>
      <c r="EC80" s="39">
        <f ca="1" t="shared" si="116"/>
        <v>0</v>
      </c>
      <c r="ED80" s="39">
        <f ca="1" t="shared" si="117"/>
        <v>0</v>
      </c>
      <c r="EE80" s="39">
        <f ca="1" t="shared" si="118"/>
        <v>0</v>
      </c>
      <c r="EF80" s="39">
        <f ca="1" t="shared" si="119"/>
        <v>0</v>
      </c>
      <c r="EG80" s="39">
        <f ca="1" t="shared" si="120"/>
        <v>0</v>
      </c>
      <c r="EH80" s="39">
        <f ca="1" t="shared" si="121"/>
        <v>0</v>
      </c>
      <c r="EI80" s="39">
        <f ca="1" t="shared" si="122"/>
        <v>0</v>
      </c>
      <c r="EJ80" s="39">
        <f ca="1" t="shared" si="123"/>
        <v>0</v>
      </c>
      <c r="EK80" s="39">
        <f ca="1" t="shared" si="124"/>
        <v>0</v>
      </c>
      <c r="EL80" s="39">
        <f ca="1" t="shared" si="125"/>
        <v>0</v>
      </c>
      <c r="EM80" s="39">
        <f ca="1" t="shared" si="126"/>
        <v>0</v>
      </c>
      <c r="EN80" s="39">
        <f ca="1" t="shared" si="127"/>
        <v>0</v>
      </c>
      <c r="EO80" s="39">
        <f ca="1" t="shared" si="128"/>
        <v>0</v>
      </c>
      <c r="EP80" s="39">
        <f ca="1" t="shared" si="129"/>
        <v>0</v>
      </c>
      <c r="EQ80" s="39">
        <f ca="1" t="shared" si="130"/>
        <v>0</v>
      </c>
      <c r="ER80" s="39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4" t="str">
        <f t="shared" si="133"/>
        <v>TR</v>
      </c>
      <c r="D81" s="55" t="s">
        <v>200</v>
      </c>
      <c r="E81" s="66" t="s">
        <v>208</v>
      </c>
      <c r="F81" s="56" t="str">
        <f t="shared" si="138"/>
        <v>Bio Gasoline</v>
      </c>
      <c r="G81" s="54" t="s">
        <v>209</v>
      </c>
      <c r="H81" s="57">
        <f ca="1">OFFSET(TIAM15_assumptions!$G81,0,MATCH(VLOOKUP(Assumptions!H$2,TIAM15_assumptions!$Y$3:$Z$87,2,FALSE),TIAM15_assumptions!$H$2:$V$2,0))</f>
        <v>0</v>
      </c>
      <c r="I81" s="57">
        <f ca="1">OFFSET(TIAM15_assumptions!$G81,0,MATCH(VLOOKUP(Assumptions!I$2,TIAM15_assumptions!$Y$3:$Z$87,2,FALSE),TIAM15_assumptions!$H$2:$V$2,0))</f>
        <v>0</v>
      </c>
      <c r="J81" s="57">
        <f ca="1">OFFSET(TIAM15_assumptions!$G81,0,MATCH(VLOOKUP(Assumptions!J$2,TIAM15_assumptions!$Y$3:$Z$87,2,FALSE),TIAM15_assumptions!$H$2:$V$2,0))</f>
        <v>0</v>
      </c>
      <c r="K81" s="57">
        <f ca="1">OFFSET(TIAM15_assumptions!$G81,0,MATCH(VLOOKUP(Assumptions!K$2,TIAM15_assumptions!$Y$3:$Z$87,2,FALSE),TIAM15_assumptions!$H$2:$V$2,0))</f>
        <v>0</v>
      </c>
      <c r="L81" s="57">
        <f ca="1">OFFSET(TIAM15_assumptions!$G81,0,MATCH(VLOOKUP(Assumptions!L$2,TIAM15_assumptions!$Y$3:$Z$87,2,FALSE),TIAM15_assumptions!$H$2:$V$2,0))</f>
        <v>0</v>
      </c>
      <c r="M81" s="57">
        <f ca="1">OFFSET(TIAM15_assumptions!$G81,0,MATCH(VLOOKUP(Assumptions!M$2,TIAM15_assumptions!$Y$3:$Z$87,2,FALSE),TIAM15_assumptions!$H$2:$V$2,0))</f>
        <v>0</v>
      </c>
      <c r="N81" s="57">
        <f ca="1">OFFSET(TIAM15_assumptions!$G81,0,MATCH(VLOOKUP(Assumptions!N$2,TIAM15_assumptions!$Y$3:$Z$87,2,FALSE),TIAM15_assumptions!$H$2:$V$2,0))</f>
        <v>0</v>
      </c>
      <c r="O81" s="57">
        <f ca="1">OFFSET(TIAM15_assumptions!$G81,0,MATCH(VLOOKUP(Assumptions!O$2,TIAM15_assumptions!$Y$3:$Z$87,2,FALSE),TIAM15_assumptions!$H$2:$V$2,0))</f>
        <v>0</v>
      </c>
      <c r="P81" s="57">
        <f ca="1">OFFSET(TIAM15_assumptions!$G81,0,MATCH(VLOOKUP(Assumptions!P$2,TIAM15_assumptions!$Y$3:$Z$87,2,FALSE),TIAM15_assumptions!$H$2:$V$2,0))</f>
        <v>0</v>
      </c>
      <c r="Q81" s="57">
        <f ca="1">OFFSET(TIAM15_assumptions!$G81,0,MATCH(VLOOKUP(Assumptions!Q$2,TIAM15_assumptions!$Y$3:$Z$87,2,FALSE),TIAM15_assumptions!$H$2:$V$2,0))</f>
        <v>0</v>
      </c>
      <c r="R81" s="57">
        <f ca="1">OFFSET(TIAM15_assumptions!$G81,0,MATCH(VLOOKUP(Assumptions!R$2,TIAM15_assumptions!$Y$3:$Z$87,2,FALSE),TIAM15_assumptions!$H$2:$V$2,0))</f>
        <v>0</v>
      </c>
      <c r="S81" s="57">
        <f ca="1">OFFSET(TIAM15_assumptions!$G81,0,MATCH(VLOOKUP(Assumptions!S$2,TIAM15_assumptions!$Y$3:$Z$87,2,FALSE),TIAM15_assumptions!$H$2:$V$2,0))</f>
        <v>0</v>
      </c>
      <c r="T81" s="57">
        <f ca="1">OFFSET(TIAM15_assumptions!$G81,0,MATCH(VLOOKUP(Assumptions!T$2,TIAM15_assumptions!$Y$3:$Z$87,2,FALSE),TIAM15_assumptions!$H$2:$V$2,0))</f>
        <v>0</v>
      </c>
      <c r="U81" s="57">
        <f ca="1">OFFSET(TIAM15_assumptions!$G81,0,MATCH(VLOOKUP(Assumptions!U$2,TIAM15_assumptions!$Y$3:$Z$87,2,FALSE),TIAM15_assumptions!$H$2:$V$2,0))</f>
        <v>0</v>
      </c>
      <c r="V81" s="57">
        <f ca="1">OFFSET(TIAM15_assumptions!$G81,0,MATCH(VLOOKUP(Assumptions!V$2,TIAM15_assumptions!$Y$3:$Z$87,2,FALSE),TIAM15_assumptions!$H$2:$V$2,0))</f>
        <v>0</v>
      </c>
      <c r="W81" s="57">
        <f ca="1">OFFSET(TIAM15_assumptions!$G81,0,MATCH(VLOOKUP(Assumptions!W$2,TIAM15_assumptions!$Y$3:$Z$87,2,FALSE),TIAM15_assumptions!$H$2:$V$2,0))</f>
        <v>0</v>
      </c>
      <c r="X81" s="57">
        <f ca="1">OFFSET(TIAM15_assumptions!$G81,0,MATCH(VLOOKUP(Assumptions!X$2,TIAM15_assumptions!$Y$3:$Z$87,2,FALSE),TIAM15_assumptions!$H$2:$V$2,0))</f>
        <v>0</v>
      </c>
      <c r="Y81" s="57">
        <f ca="1">OFFSET(TIAM15_assumptions!$G81,0,MATCH(VLOOKUP(Assumptions!Y$2,TIAM15_assumptions!$Y$3:$Z$87,2,FALSE),TIAM15_assumptions!$H$2:$V$2,0))</f>
        <v>0</v>
      </c>
      <c r="Z81" s="57">
        <f ca="1">OFFSET(TIAM15_assumptions!$G81,0,MATCH(VLOOKUP(Assumptions!Z$2,TIAM15_assumptions!$Y$3:$Z$87,2,FALSE),TIAM15_assumptions!$H$2:$V$2,0))</f>
        <v>0</v>
      </c>
      <c r="AA81" s="57">
        <f ca="1">OFFSET(TIAM15_assumptions!$G81,0,MATCH(VLOOKUP(Assumptions!AA$2,TIAM15_assumptions!$Y$3:$Z$87,2,FALSE),TIAM15_assumptions!$H$2:$V$2,0))</f>
        <v>0</v>
      </c>
      <c r="AB81" s="57">
        <f ca="1">OFFSET(TIAM15_assumptions!$G81,0,MATCH(VLOOKUP(Assumptions!AB$2,TIAM15_assumptions!$Y$3:$Z$87,2,FALSE),TIAM15_assumptions!$H$2:$V$2,0))</f>
        <v>0</v>
      </c>
      <c r="AC81" s="57">
        <f ca="1">OFFSET(TIAM15_assumptions!$G81,0,MATCH(VLOOKUP(Assumptions!AC$2,TIAM15_assumptions!$Y$3:$Z$87,2,FALSE),TIAM15_assumptions!$H$2:$V$2,0))</f>
        <v>0</v>
      </c>
      <c r="AD81" s="57">
        <f ca="1">OFFSET(TIAM15_assumptions!$G81,0,MATCH(VLOOKUP(Assumptions!AD$2,TIAM15_assumptions!$Y$3:$Z$87,2,FALSE),TIAM15_assumptions!$H$2:$V$2,0))</f>
        <v>0</v>
      </c>
      <c r="AE81" s="57">
        <f ca="1">OFFSET(TIAM15_assumptions!$G81,0,MATCH(VLOOKUP(Assumptions!AE$2,TIAM15_assumptions!$Y$3:$Z$87,2,FALSE),TIAM15_assumptions!$H$2:$V$2,0))</f>
        <v>0</v>
      </c>
      <c r="AF81" s="57">
        <f ca="1">OFFSET(TIAM15_assumptions!$G81,0,MATCH(VLOOKUP(Assumptions!AF$2,TIAM15_assumptions!$Y$3:$Z$87,2,FALSE),TIAM15_assumptions!$H$2:$V$2,0))</f>
        <v>0</v>
      </c>
      <c r="AG81" s="57">
        <f ca="1">OFFSET(TIAM15_assumptions!$G81,0,MATCH(VLOOKUP(Assumptions!AG$2,TIAM15_assumptions!$Y$3:$Z$87,2,FALSE),TIAM15_assumptions!$H$2:$V$2,0))</f>
        <v>0</v>
      </c>
      <c r="AH81" s="57">
        <f ca="1">OFFSET(TIAM15_assumptions!$G81,0,MATCH(VLOOKUP(Assumptions!AH$2,TIAM15_assumptions!$Y$3:$Z$87,2,FALSE),TIAM15_assumptions!$H$2:$V$2,0))</f>
        <v>0</v>
      </c>
      <c r="AI81" s="57">
        <f ca="1">OFFSET(TIAM15_assumptions!$G81,0,MATCH(VLOOKUP(Assumptions!AI$2,TIAM15_assumptions!$Y$3:$Z$87,2,FALSE),TIAM15_assumptions!$H$2:$V$2,0))</f>
        <v>0</v>
      </c>
      <c r="AJ81" s="57">
        <f ca="1">OFFSET(TIAM15_assumptions!$G81,0,MATCH(VLOOKUP(Assumptions!AJ$2,TIAM15_assumptions!$Y$3:$Z$87,2,FALSE),TIAM15_assumptions!$H$2:$V$2,0))</f>
        <v>0</v>
      </c>
      <c r="AK81" s="57">
        <f ca="1">OFFSET(TIAM15_assumptions!$G81,0,MATCH(VLOOKUP(Assumptions!AK$2,TIAM15_assumptions!$Y$3:$Z$87,2,FALSE),TIAM15_assumptions!$H$2:$V$2,0))</f>
        <v>0</v>
      </c>
      <c r="AL81" s="57">
        <f ca="1">OFFSET(TIAM15_assumptions!$G81,0,MATCH(VLOOKUP(Assumptions!AL$2,TIAM15_assumptions!$Y$3:$Z$87,2,FALSE),TIAM15_assumptions!$H$2:$V$2,0))</f>
        <v>0</v>
      </c>
      <c r="AM81" s="57">
        <f ca="1">OFFSET(TIAM15_assumptions!$G81,0,MATCH(VLOOKUP(Assumptions!AM$2,TIAM15_assumptions!$Y$3:$Z$87,2,FALSE),TIAM15_assumptions!$H$2:$V$2,0))</f>
        <v>0</v>
      </c>
      <c r="AN81" s="57">
        <f ca="1">OFFSET(TIAM15_assumptions!$G81,0,MATCH(VLOOKUP(Assumptions!AN$2,TIAM15_assumptions!$Y$3:$Z$87,2,FALSE),TIAM15_assumptions!$H$2:$V$2,0))</f>
        <v>0</v>
      </c>
      <c r="AO81" s="57">
        <f ca="1">OFFSET(TIAM15_assumptions!$G81,0,MATCH(VLOOKUP(Assumptions!AO$2,TIAM15_assumptions!$Y$3:$Z$87,2,FALSE),TIAM15_assumptions!$H$2:$V$2,0))</f>
        <v>0</v>
      </c>
      <c r="AP81" s="57">
        <f ca="1">OFFSET(TIAM15_assumptions!$G81,0,MATCH(VLOOKUP(Assumptions!AP$2,TIAM15_assumptions!$Y$3:$Z$87,2,FALSE),TIAM15_assumptions!$H$2:$V$2,0))</f>
        <v>0</v>
      </c>
      <c r="AQ81" s="57">
        <f ca="1">OFFSET(TIAM15_assumptions!$G81,0,MATCH(VLOOKUP(Assumptions!AQ$2,TIAM15_assumptions!$Y$3:$Z$87,2,FALSE),TIAM15_assumptions!$H$2:$V$2,0))</f>
        <v>0</v>
      </c>
      <c r="AR81" s="57">
        <f ca="1">OFFSET(TIAM15_assumptions!$G81,0,MATCH(VLOOKUP(Assumptions!AR$2,TIAM15_assumptions!$Y$3:$Z$87,2,FALSE),TIAM15_assumptions!$H$2:$V$2,0))</f>
        <v>0</v>
      </c>
      <c r="AS81" s="57">
        <f ca="1">OFFSET(TIAM15_assumptions!$G81,0,MATCH(VLOOKUP(Assumptions!AS$2,TIAM15_assumptions!$Y$3:$Z$87,2,FALSE),TIAM15_assumptions!$H$2:$V$2,0))</f>
        <v>0</v>
      </c>
      <c r="AT81" s="57">
        <f ca="1">OFFSET(TIAM15_assumptions!$G81,0,MATCH(VLOOKUP(Assumptions!AT$2,TIAM15_assumptions!$Y$3:$Z$87,2,FALSE),TIAM15_assumptions!$H$2:$V$2,0))</f>
        <v>0</v>
      </c>
      <c r="AU81" s="57">
        <f ca="1">OFFSET(TIAM15_assumptions!$G81,0,MATCH(VLOOKUP(Assumptions!AU$2,TIAM15_assumptions!$Y$3:$Z$87,2,FALSE),TIAM15_assumptions!$H$2:$V$2,0))</f>
        <v>0</v>
      </c>
      <c r="AV81" s="57">
        <f ca="1">OFFSET(TIAM15_assumptions!$G81,0,MATCH(VLOOKUP(Assumptions!AV$2,TIAM15_assumptions!$Y$3:$Z$87,2,FALSE),TIAM15_assumptions!$H$2:$V$2,0))</f>
        <v>0</v>
      </c>
      <c r="AW81" s="57">
        <f ca="1">OFFSET(TIAM15_assumptions!$G81,0,MATCH(VLOOKUP(Assumptions!AW$2,TIAM15_assumptions!$Y$3:$Z$87,2,FALSE),TIAM15_assumptions!$H$2:$V$2,0))</f>
        <v>0</v>
      </c>
      <c r="AX81" s="57">
        <f ca="1">OFFSET(TIAM15_assumptions!$G81,0,MATCH(VLOOKUP(Assumptions!AX$2,TIAM15_assumptions!$Y$3:$Z$87,2,FALSE),TIAM15_assumptions!$H$2:$V$2,0))</f>
        <v>0</v>
      </c>
      <c r="AY81" s="57">
        <f ca="1">OFFSET(TIAM15_assumptions!$G81,0,MATCH(VLOOKUP(Assumptions!AY$2,TIAM15_assumptions!$Y$3:$Z$87,2,FALSE),TIAM15_assumptions!$H$2:$V$2,0))</f>
        <v>0</v>
      </c>
      <c r="AZ81" s="57">
        <f ca="1">OFFSET(TIAM15_assumptions!$G81,0,MATCH(VLOOKUP(Assumptions!AZ$2,TIAM15_assumptions!$Y$3:$Z$87,2,FALSE),TIAM15_assumptions!$H$2:$V$2,0))</f>
        <v>0</v>
      </c>
      <c r="BA81" s="57">
        <f ca="1">OFFSET(TIAM15_assumptions!$G81,0,MATCH(VLOOKUP(Assumptions!BA$2,TIAM15_assumptions!$Y$3:$Z$87,2,FALSE),TIAM15_assumptions!$H$2:$V$2,0))</f>
        <v>0</v>
      </c>
      <c r="BD81" s="40">
        <f ca="1">IFERROR(SUMIFS('TRA balance'!E$5:E$40,'TRA balance'!$C$5:$C$40,Assumptions!$C81,'TRA balance'!$D$5:$D$40,Assumptions!$B81)*CY81*H81,"")</f>
        <v>0</v>
      </c>
      <c r="BE81" s="40">
        <f ca="1">IFERROR(SUMIFS('TRA balance'!F$5:F$40,'TRA balance'!$C$5:$C$40,Assumptions!$C81,'TRA balance'!$D$5:$D$40,Assumptions!$B81)*CZ81*I81,"")</f>
        <v>0</v>
      </c>
      <c r="BF81" s="40">
        <f ca="1">IFERROR(SUMIFS('TRA balance'!G$5:G$40,'TRA balance'!$C$5:$C$40,Assumptions!$C81,'TRA balance'!$D$5:$D$40,Assumptions!$B81)*DA81*J81,"")</f>
        <v>0</v>
      </c>
      <c r="BG81" s="40">
        <f ca="1">IFERROR(SUMIFS('TRA balance'!H$5:H$40,'TRA balance'!$C$5:$C$40,Assumptions!$C81,'TRA balance'!$D$5:$D$40,Assumptions!$B81)*DB81*K81,"")</f>
        <v>0</v>
      </c>
      <c r="BH81" s="40">
        <f ca="1">IFERROR(SUMIFS('TRA balance'!I$5:I$40,'TRA balance'!$C$5:$C$40,Assumptions!$C81,'TRA balance'!$D$5:$D$40,Assumptions!$B81)*DC81*L81,"")</f>
        <v>0</v>
      </c>
      <c r="BI81" s="40">
        <f ca="1">IFERROR(SUMIFS('TRA balance'!J$5:J$40,'TRA balance'!$C$5:$C$40,Assumptions!$C81,'TRA balance'!$D$5:$D$40,Assumptions!$B81)*DD81*M81,"")</f>
        <v>0</v>
      </c>
      <c r="BJ81" s="40">
        <f ca="1">IFERROR(SUMIFS('TRA balance'!K$5:K$40,'TRA balance'!$C$5:$C$40,Assumptions!$C81,'TRA balance'!$D$5:$D$40,Assumptions!$B81)*DE81*N81,"")</f>
        <v>0</v>
      </c>
      <c r="BK81" s="40">
        <f ca="1">IFERROR(SUMIFS('TRA balance'!L$5:L$40,'TRA balance'!$C$5:$C$40,Assumptions!$C81,'TRA balance'!$D$5:$D$40,Assumptions!$B81)*DF81*O81,"")</f>
        <v>0</v>
      </c>
      <c r="BL81" s="40">
        <f ca="1">IFERROR(SUMIFS('TRA balance'!M$5:M$40,'TRA balance'!$C$5:$C$40,Assumptions!$C81,'TRA balance'!$D$5:$D$40,Assumptions!$B81)*DG81*P81,"")</f>
        <v>0</v>
      </c>
      <c r="BM81" s="40">
        <f ca="1">IFERROR(SUMIFS('TRA balance'!N$5:N$40,'TRA balance'!$C$5:$C$40,Assumptions!$C81,'TRA balance'!$D$5:$D$40,Assumptions!$B81)*DH81*Q81,"")</f>
        <v>0</v>
      </c>
      <c r="BN81" s="40">
        <f ca="1">IFERROR(SUMIFS('TRA balance'!O$5:O$40,'TRA balance'!$C$5:$C$40,Assumptions!$C81,'TRA balance'!$D$5:$D$40,Assumptions!$B81)*DI81*R81,"")</f>
        <v>0</v>
      </c>
      <c r="BO81" s="40">
        <f ca="1">IFERROR(SUMIFS('TRA balance'!P$5:P$40,'TRA balance'!$C$5:$C$40,Assumptions!$C81,'TRA balance'!$D$5:$D$40,Assumptions!$B81)*DJ81*S81,"")</f>
        <v>0</v>
      </c>
      <c r="BP81" s="40">
        <f ca="1">IFERROR(SUMIFS('TRA balance'!Q$5:Q$40,'TRA balance'!$C$5:$C$40,Assumptions!$C81,'TRA balance'!$D$5:$D$40,Assumptions!$B81)*DK81*T81,"")</f>
        <v>0</v>
      </c>
      <c r="BQ81" s="40">
        <f ca="1">IFERROR(SUMIFS('TRA balance'!R$5:R$40,'TRA balance'!$C$5:$C$40,Assumptions!$C81,'TRA balance'!$D$5:$D$40,Assumptions!$B81)*DL81*U81,"")</f>
        <v>0</v>
      </c>
      <c r="BR81" s="40">
        <f ca="1">IFERROR(SUMIFS('TRA balance'!S$5:S$40,'TRA balance'!$C$5:$C$40,Assumptions!$C81,'TRA balance'!$D$5:$D$40,Assumptions!$B81)*DM81*V81,"")</f>
        <v>0</v>
      </c>
      <c r="BS81" s="40">
        <f ca="1">IFERROR(SUMIFS('TRA balance'!T$5:T$40,'TRA balance'!$C$5:$C$40,Assumptions!$C81,'TRA balance'!$D$5:$D$40,Assumptions!$B81)*DN81*W81,"")</f>
        <v>0</v>
      </c>
      <c r="BT81" s="40">
        <f ca="1">IFERROR(SUMIFS('TRA balance'!U$5:U$40,'TRA balance'!$C$5:$C$40,Assumptions!$C81,'TRA balance'!$D$5:$D$40,Assumptions!$B81)*DO81*X81,"")</f>
        <v>0</v>
      </c>
      <c r="BU81" s="40">
        <f ca="1">IFERROR(SUMIFS('TRA balance'!V$5:V$40,'TRA balance'!$C$5:$C$40,Assumptions!$C81,'TRA balance'!$D$5:$D$40,Assumptions!$B81)*DP81*Y81,"")</f>
        <v>0</v>
      </c>
      <c r="BV81" s="40">
        <f ca="1">IFERROR(SUMIFS('TRA balance'!W$5:W$40,'TRA balance'!$C$5:$C$40,Assumptions!$C81,'TRA balance'!$D$5:$D$40,Assumptions!$B81)*DQ81*Z81,"")</f>
        <v>0</v>
      </c>
      <c r="BW81" s="40">
        <f ca="1">IFERROR(SUMIFS('TRA balance'!X$5:X$40,'TRA balance'!$C$5:$C$40,Assumptions!$C81,'TRA balance'!$D$5:$D$40,Assumptions!$B81)*DR81*AA81,"")</f>
        <v>0</v>
      </c>
      <c r="BX81" s="40">
        <f ca="1">IFERROR(SUMIFS('TRA balance'!Y$5:Y$40,'TRA balance'!$C$5:$C$40,Assumptions!$C81,'TRA balance'!$D$5:$D$40,Assumptions!$B81)*DS81*AB81,"")</f>
        <v>0</v>
      </c>
      <c r="BY81" s="40">
        <f ca="1">IFERROR(SUMIFS('TRA balance'!Z$5:Z$40,'TRA balance'!$C$5:$C$40,Assumptions!$C81,'TRA balance'!$D$5:$D$40,Assumptions!$B81)*DT81*AC81,"")</f>
        <v>0</v>
      </c>
      <c r="BZ81" s="40">
        <f ca="1">IFERROR(SUMIFS('TRA balance'!AA$5:AA$40,'TRA balance'!$C$5:$C$40,Assumptions!$C81,'TRA balance'!$D$5:$D$40,Assumptions!$B81)*DU81*AD81,"")</f>
        <v>0</v>
      </c>
      <c r="CA81" s="40">
        <f ca="1">IFERROR(SUMIFS('TRA balance'!AB$5:AB$40,'TRA balance'!$C$5:$C$40,Assumptions!$C81,'TRA balance'!$D$5:$D$40,Assumptions!$B81)*DV81*AE81,"")</f>
        <v>0</v>
      </c>
      <c r="CB81" s="40">
        <f ca="1">IFERROR(SUMIFS('TRA balance'!AC$5:AC$40,'TRA balance'!$C$5:$C$40,Assumptions!$C81,'TRA balance'!$D$5:$D$40,Assumptions!$B81)*DW81*AF81,"")</f>
        <v>0</v>
      </c>
      <c r="CC81" s="40">
        <f ca="1">IFERROR(SUMIFS('TRA balance'!AD$5:AD$40,'TRA balance'!$C$5:$C$40,Assumptions!$C81,'TRA balance'!$D$5:$D$40,Assumptions!$B81)*DX81*AG81,"")</f>
        <v>0</v>
      </c>
      <c r="CD81" s="40">
        <f ca="1">IFERROR(SUMIFS('TRA balance'!AE$5:AE$40,'TRA balance'!$C$5:$C$40,Assumptions!$C81,'TRA balance'!$D$5:$D$40,Assumptions!$B81)*DY81*AH81,"")</f>
        <v>0</v>
      </c>
      <c r="CE81" s="40">
        <f ca="1">IFERROR(SUMIFS('TRA balance'!AF$5:AF$40,'TRA balance'!$C$5:$C$40,Assumptions!$C81,'TRA balance'!$D$5:$D$40,Assumptions!$B81)*DZ81*AI81,"")</f>
        <v>0</v>
      </c>
      <c r="CF81" s="40">
        <f ca="1">IFERROR(SUMIFS('TRA balance'!AG$5:AG$40,'TRA balance'!$C$5:$C$40,Assumptions!$C81,'TRA balance'!$D$5:$D$40,Assumptions!$B81)*EA81*AJ81,"")</f>
        <v>0</v>
      </c>
      <c r="CG81" s="40">
        <f ca="1">IFERROR(SUMIFS('TRA balance'!AH$5:AH$40,'TRA balance'!$C$5:$C$40,Assumptions!$C81,'TRA balance'!$D$5:$D$40,Assumptions!$B81)*EB81*AK81,"")</f>
        <v>0</v>
      </c>
      <c r="CH81" s="40">
        <f ca="1">IFERROR(SUMIFS('TRA balance'!AI$5:AI$40,'TRA balance'!$C$5:$C$40,Assumptions!$C81,'TRA balance'!$D$5:$D$40,Assumptions!$B81)*EC81*AL81,"")</f>
        <v>0</v>
      </c>
      <c r="CI81" s="40">
        <f ca="1">IFERROR(SUMIFS('TRA balance'!AJ$5:AJ$40,'TRA balance'!$C$5:$C$40,Assumptions!$C81,'TRA balance'!$D$5:$D$40,Assumptions!$B81)*ED81*AM81,"")</f>
        <v>0</v>
      </c>
      <c r="CJ81" s="40">
        <f ca="1">IFERROR(SUMIFS('TRA balance'!AK$5:AK$40,'TRA balance'!$C$5:$C$40,Assumptions!$C81,'TRA balance'!$D$5:$D$40,Assumptions!$B81)*EE81*AN81,"")</f>
        <v>0</v>
      </c>
      <c r="CK81" s="40">
        <f ca="1">IFERROR(SUMIFS('TRA balance'!AL$5:AL$40,'TRA balance'!$C$5:$C$40,Assumptions!$C81,'TRA balance'!$D$5:$D$40,Assumptions!$B81)*EF81*AO81,"")</f>
        <v>0</v>
      </c>
      <c r="CL81" s="40">
        <f ca="1">IFERROR(SUMIFS('TRA balance'!AM$5:AM$40,'TRA balance'!$C$5:$C$40,Assumptions!$C81,'TRA balance'!$D$5:$D$40,Assumptions!$B81)*EG81*AP81,"")</f>
        <v>0</v>
      </c>
      <c r="CM81" s="40">
        <f ca="1">IFERROR(SUMIFS('TRA balance'!AN$5:AN$40,'TRA balance'!$C$5:$C$40,Assumptions!$C81,'TRA balance'!$D$5:$D$40,Assumptions!$B81)*EH81*AQ81,"")</f>
        <v>0</v>
      </c>
      <c r="CN81" s="40">
        <f ca="1">IFERROR(SUMIFS('TRA balance'!AO$5:AO$40,'TRA balance'!$C$5:$C$40,Assumptions!$C81,'TRA balance'!$D$5:$D$40,Assumptions!$B81)*EI81*AR81,"")</f>
        <v>0</v>
      </c>
      <c r="CO81" s="40">
        <f ca="1">IFERROR(SUMIFS('TRA balance'!AP$5:AP$40,'TRA balance'!$C$5:$C$40,Assumptions!$C81,'TRA balance'!$D$5:$D$40,Assumptions!$B81)*EJ81*AS81,"")</f>
        <v>0</v>
      </c>
      <c r="CP81" s="40">
        <f ca="1">IFERROR(SUMIFS('TRA balance'!AQ$5:AQ$40,'TRA balance'!$C$5:$C$40,Assumptions!$C81,'TRA balance'!$D$5:$D$40,Assumptions!$B81)*EK81*AT81,"")</f>
        <v>0</v>
      </c>
      <c r="CQ81" s="40">
        <f ca="1">IFERROR(SUMIFS('TRA balance'!AR$5:AR$40,'TRA balance'!$C$5:$C$40,Assumptions!$C81,'TRA balance'!$D$5:$D$40,Assumptions!$B81)*EL81*AU81,"")</f>
        <v>0</v>
      </c>
      <c r="CR81" s="40">
        <f ca="1">IFERROR(SUMIFS('TRA balance'!AS$5:AS$40,'TRA balance'!$C$5:$C$40,Assumptions!$C81,'TRA balance'!$D$5:$D$40,Assumptions!$B81)*EM81*AV81,"")</f>
        <v>0</v>
      </c>
      <c r="CS81" s="40">
        <f ca="1">IFERROR(SUMIFS('TRA balance'!AT$5:AT$40,'TRA balance'!$C$5:$C$40,Assumptions!$C81,'TRA balance'!$D$5:$D$40,Assumptions!$B81)*EN81*AW81,"")</f>
        <v>0</v>
      </c>
      <c r="CT81" s="40">
        <f ca="1">IFERROR(SUMIFS('TRA balance'!AU$5:AU$40,'TRA balance'!$C$5:$C$40,Assumptions!$C81,'TRA balance'!$D$5:$D$40,Assumptions!$B81)*EO81*AX81,"")</f>
        <v>0</v>
      </c>
      <c r="CU81" s="40">
        <f ca="1">IFERROR(SUMIFS('TRA balance'!AV$5:AV$40,'TRA balance'!$C$5:$C$40,Assumptions!$C81,'TRA balance'!$D$5:$D$40,Assumptions!$B81)*EP81*AY81,"")</f>
        <v>0</v>
      </c>
      <c r="CV81" s="40">
        <f ca="1">IFERROR(SUMIFS('TRA balance'!AW$5:AW$40,'TRA balance'!$C$5:$C$40,Assumptions!$C81,'TRA balance'!$D$5:$D$40,Assumptions!$B81)*EQ81*AZ81,"")</f>
        <v>0</v>
      </c>
      <c r="CW81" s="40">
        <f ca="1">IFERROR(SUMIFS('TRA balance'!AX$5:AX$40,'TRA balance'!$C$5:$C$40,Assumptions!$C81,'TRA balance'!$D$5:$D$40,Assumptions!$B81)*ER81*BA81,"")</f>
        <v>0</v>
      </c>
      <c r="CY81" s="39">
        <f ca="1" t="shared" si="86"/>
        <v>0</v>
      </c>
      <c r="CZ81" s="39">
        <f ca="1" t="shared" si="87"/>
        <v>0</v>
      </c>
      <c r="DA81" s="39">
        <f ca="1" t="shared" si="88"/>
        <v>0</v>
      </c>
      <c r="DB81" s="39">
        <f ca="1" t="shared" si="89"/>
        <v>0</v>
      </c>
      <c r="DC81" s="39">
        <f ca="1" t="shared" si="90"/>
        <v>0</v>
      </c>
      <c r="DD81" s="39">
        <f ca="1" t="shared" si="91"/>
        <v>0</v>
      </c>
      <c r="DE81" s="39">
        <f ca="1" t="shared" si="92"/>
        <v>0</v>
      </c>
      <c r="DF81" s="39">
        <f ca="1" t="shared" si="93"/>
        <v>0</v>
      </c>
      <c r="DG81" s="39">
        <f ca="1" t="shared" si="94"/>
        <v>0</v>
      </c>
      <c r="DH81" s="39">
        <f ca="1" t="shared" si="95"/>
        <v>0</v>
      </c>
      <c r="DI81" s="39">
        <f ca="1" t="shared" si="96"/>
        <v>0</v>
      </c>
      <c r="DJ81" s="39">
        <f ca="1" t="shared" si="97"/>
        <v>0</v>
      </c>
      <c r="DK81" s="39">
        <f ca="1" t="shared" si="98"/>
        <v>0</v>
      </c>
      <c r="DL81" s="39">
        <f ca="1" t="shared" si="99"/>
        <v>0</v>
      </c>
      <c r="DM81" s="39">
        <f ca="1" t="shared" si="100"/>
        <v>0</v>
      </c>
      <c r="DN81" s="39">
        <f ca="1" t="shared" si="101"/>
        <v>0</v>
      </c>
      <c r="DO81" s="39">
        <f ca="1" t="shared" si="102"/>
        <v>0</v>
      </c>
      <c r="DP81" s="39">
        <f ca="1" t="shared" si="103"/>
        <v>0</v>
      </c>
      <c r="DQ81" s="39">
        <f ca="1" t="shared" si="104"/>
        <v>0</v>
      </c>
      <c r="DR81" s="39">
        <f ca="1" t="shared" si="105"/>
        <v>0</v>
      </c>
      <c r="DS81" s="39">
        <f ca="1" t="shared" si="106"/>
        <v>0</v>
      </c>
      <c r="DT81" s="39">
        <f ca="1" t="shared" si="107"/>
        <v>0</v>
      </c>
      <c r="DU81" s="39">
        <f ca="1" t="shared" si="108"/>
        <v>0</v>
      </c>
      <c r="DV81" s="39">
        <f ca="1" t="shared" si="109"/>
        <v>0</v>
      </c>
      <c r="DW81" s="39">
        <f ca="1" t="shared" si="110"/>
        <v>0</v>
      </c>
      <c r="DX81" s="39">
        <f ca="1" t="shared" si="111"/>
        <v>0</v>
      </c>
      <c r="DY81" s="39">
        <f ca="1" t="shared" si="112"/>
        <v>0</v>
      </c>
      <c r="DZ81" s="39">
        <f ca="1" t="shared" si="113"/>
        <v>0</v>
      </c>
      <c r="EA81" s="39">
        <f ca="1" t="shared" si="114"/>
        <v>0</v>
      </c>
      <c r="EB81" s="39">
        <f ca="1" t="shared" si="115"/>
        <v>0</v>
      </c>
      <c r="EC81" s="39">
        <f ca="1" t="shared" si="116"/>
        <v>0</v>
      </c>
      <c r="ED81" s="39">
        <f ca="1" t="shared" si="117"/>
        <v>0</v>
      </c>
      <c r="EE81" s="39">
        <f ca="1" t="shared" si="118"/>
        <v>0</v>
      </c>
      <c r="EF81" s="39">
        <f ca="1" t="shared" si="119"/>
        <v>0</v>
      </c>
      <c r="EG81" s="39">
        <f ca="1" t="shared" si="120"/>
        <v>0</v>
      </c>
      <c r="EH81" s="39">
        <f ca="1" t="shared" si="121"/>
        <v>0</v>
      </c>
      <c r="EI81" s="39">
        <f ca="1" t="shared" si="122"/>
        <v>0</v>
      </c>
      <c r="EJ81" s="39">
        <f ca="1" t="shared" si="123"/>
        <v>0</v>
      </c>
      <c r="EK81" s="39">
        <f ca="1" t="shared" si="124"/>
        <v>0</v>
      </c>
      <c r="EL81" s="39">
        <f ca="1" t="shared" si="125"/>
        <v>0</v>
      </c>
      <c r="EM81" s="39">
        <f ca="1" t="shared" si="126"/>
        <v>0</v>
      </c>
      <c r="EN81" s="39">
        <f ca="1" t="shared" si="127"/>
        <v>0</v>
      </c>
      <c r="EO81" s="39">
        <f ca="1" t="shared" si="128"/>
        <v>0</v>
      </c>
      <c r="EP81" s="39">
        <f ca="1" t="shared" si="129"/>
        <v>0</v>
      </c>
      <c r="EQ81" s="39">
        <f ca="1" t="shared" si="130"/>
        <v>0</v>
      </c>
      <c r="ER81" s="39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4" t="str">
        <f t="shared" si="133"/>
        <v/>
      </c>
      <c r="D82" s="55"/>
      <c r="E82" s="67" t="s">
        <v>210</v>
      </c>
      <c r="F82" s="56" t="str">
        <f t="shared" si="138"/>
        <v>Bio Gasoline</v>
      </c>
      <c r="G82" s="54"/>
      <c r="H82" s="67" t="str">
        <f ca="1">IF(SUM(H78:H81)=1,"-","&lt;&gt;1!!")</f>
        <v>-</v>
      </c>
      <c r="I82" s="67" t="str">
        <f ca="1" t="shared" ref="I82:BA82" si="139">IF(SUM(I78:I81)=1,"-","&lt;&gt;1!!")</f>
        <v>-</v>
      </c>
      <c r="J82" s="67" t="str">
        <f ca="1" t="shared" si="139"/>
        <v>-</v>
      </c>
      <c r="K82" s="67" t="str">
        <f ca="1" t="shared" si="139"/>
        <v>-</v>
      </c>
      <c r="L82" s="67" t="str">
        <f ca="1" t="shared" si="139"/>
        <v>-</v>
      </c>
      <c r="M82" s="67" t="str">
        <f ca="1" t="shared" si="139"/>
        <v>-</v>
      </c>
      <c r="N82" s="67" t="str">
        <f ca="1" t="shared" si="139"/>
        <v>-</v>
      </c>
      <c r="O82" s="67" t="str">
        <f ca="1" t="shared" si="139"/>
        <v>-</v>
      </c>
      <c r="P82" s="67" t="str">
        <f ca="1" t="shared" si="139"/>
        <v>-</v>
      </c>
      <c r="Q82" s="67" t="str">
        <f ca="1" t="shared" si="139"/>
        <v>-</v>
      </c>
      <c r="R82" s="67" t="str">
        <f ca="1" t="shared" si="139"/>
        <v>-</v>
      </c>
      <c r="S82" s="67" t="str">
        <f ca="1" t="shared" si="139"/>
        <v>-</v>
      </c>
      <c r="T82" s="67" t="str">
        <f ca="1" t="shared" si="139"/>
        <v>-</v>
      </c>
      <c r="U82" s="67" t="str">
        <f ca="1" t="shared" si="139"/>
        <v>-</v>
      </c>
      <c r="V82" s="67" t="str">
        <f ca="1" t="shared" si="139"/>
        <v>-</v>
      </c>
      <c r="W82" s="67" t="str">
        <f ca="1" t="shared" si="139"/>
        <v>-</v>
      </c>
      <c r="X82" s="67" t="str">
        <f ca="1" t="shared" si="139"/>
        <v>-</v>
      </c>
      <c r="Y82" s="67" t="str">
        <f ca="1" t="shared" si="139"/>
        <v>-</v>
      </c>
      <c r="Z82" s="67" t="str">
        <f ca="1" t="shared" si="139"/>
        <v>-</v>
      </c>
      <c r="AA82" s="67" t="str">
        <f ca="1" t="shared" si="139"/>
        <v>-</v>
      </c>
      <c r="AB82" s="67" t="str">
        <f ca="1" t="shared" si="139"/>
        <v>-</v>
      </c>
      <c r="AC82" s="67" t="str">
        <f ca="1" t="shared" si="139"/>
        <v>-</v>
      </c>
      <c r="AD82" s="67" t="str">
        <f ca="1" t="shared" si="139"/>
        <v>-</v>
      </c>
      <c r="AE82" s="67" t="str">
        <f ca="1" t="shared" si="139"/>
        <v>-</v>
      </c>
      <c r="AF82" s="67" t="str">
        <f ca="1" t="shared" si="139"/>
        <v>-</v>
      </c>
      <c r="AG82" s="67" t="str">
        <f ca="1" t="shared" si="139"/>
        <v>-</v>
      </c>
      <c r="AH82" s="67" t="str">
        <f ca="1" t="shared" si="139"/>
        <v>-</v>
      </c>
      <c r="AI82" s="67" t="str">
        <f ca="1" t="shared" si="139"/>
        <v>-</v>
      </c>
      <c r="AJ82" s="67" t="str">
        <f ca="1" t="shared" si="139"/>
        <v>-</v>
      </c>
      <c r="AK82" s="67" t="str">
        <f ca="1" t="shared" si="139"/>
        <v>-</v>
      </c>
      <c r="AL82" s="67" t="str">
        <f ca="1" t="shared" si="139"/>
        <v>-</v>
      </c>
      <c r="AM82" s="67" t="str">
        <f ca="1" t="shared" si="139"/>
        <v>-</v>
      </c>
      <c r="AN82" s="67" t="str">
        <f ca="1" t="shared" si="139"/>
        <v>-</v>
      </c>
      <c r="AO82" s="67" t="str">
        <f ca="1" t="shared" si="139"/>
        <v>-</v>
      </c>
      <c r="AP82" s="67" t="str">
        <f ca="1" t="shared" si="139"/>
        <v>-</v>
      </c>
      <c r="AQ82" s="67" t="str">
        <f ca="1" t="shared" si="139"/>
        <v>-</v>
      </c>
      <c r="AR82" s="67" t="str">
        <f ca="1" t="shared" si="139"/>
        <v>-</v>
      </c>
      <c r="AS82" s="67" t="str">
        <f ca="1" t="shared" si="139"/>
        <v>-</v>
      </c>
      <c r="AT82" s="67" t="str">
        <f ca="1" t="shared" si="139"/>
        <v>-</v>
      </c>
      <c r="AU82" s="67" t="str">
        <f ca="1" t="shared" si="139"/>
        <v>-</v>
      </c>
      <c r="AV82" s="67" t="str">
        <f ca="1" t="shared" si="139"/>
        <v>-</v>
      </c>
      <c r="AW82" s="67" t="str">
        <f ca="1" t="shared" si="139"/>
        <v>-</v>
      </c>
      <c r="AX82" s="67" t="str">
        <f ca="1" t="shared" si="139"/>
        <v>-</v>
      </c>
      <c r="AY82" s="67" t="str">
        <f ca="1" t="shared" si="139"/>
        <v>-</v>
      </c>
      <c r="AZ82" s="67" t="str">
        <f ca="1" t="shared" si="139"/>
        <v>-</v>
      </c>
      <c r="BA82" s="67" t="str">
        <f ca="1" t="shared" si="139"/>
        <v>-</v>
      </c>
      <c r="BD82" s="40" t="str">
        <f ca="1">IFERROR(SUMIFS('TRA balance'!E$5:E$40,'TRA balance'!$C$5:$C$40,Assumptions!$C82,'TRA balance'!$D$5:$D$40,Assumptions!$B82)*CY82*H82,"")</f>
        <v/>
      </c>
      <c r="BE82" s="40" t="str">
        <f ca="1">IFERROR(SUMIFS('TRA balance'!F$5:F$40,'TRA balance'!$C$5:$C$40,Assumptions!$C82,'TRA balance'!$D$5:$D$40,Assumptions!$B82)*CZ82*I82,"")</f>
        <v/>
      </c>
      <c r="BF82" s="40" t="str">
        <f ca="1">IFERROR(SUMIFS('TRA balance'!G$5:G$40,'TRA balance'!$C$5:$C$40,Assumptions!$C82,'TRA balance'!$D$5:$D$40,Assumptions!$B82)*DA82*J82,"")</f>
        <v/>
      </c>
      <c r="BG82" s="40" t="str">
        <f ca="1">IFERROR(SUMIFS('TRA balance'!H$5:H$40,'TRA balance'!$C$5:$C$40,Assumptions!$C82,'TRA balance'!$D$5:$D$40,Assumptions!$B82)*DB82*K82,"")</f>
        <v/>
      </c>
      <c r="BH82" s="40" t="str">
        <f ca="1">IFERROR(SUMIFS('TRA balance'!I$5:I$40,'TRA balance'!$C$5:$C$40,Assumptions!$C82,'TRA balance'!$D$5:$D$40,Assumptions!$B82)*DC82*L82,"")</f>
        <v/>
      </c>
      <c r="BI82" s="40" t="str">
        <f ca="1">IFERROR(SUMIFS('TRA balance'!J$5:J$40,'TRA balance'!$C$5:$C$40,Assumptions!$C82,'TRA balance'!$D$5:$D$40,Assumptions!$B82)*DD82*M82,"")</f>
        <v/>
      </c>
      <c r="BJ82" s="40" t="str">
        <f ca="1">IFERROR(SUMIFS('TRA balance'!K$5:K$40,'TRA balance'!$C$5:$C$40,Assumptions!$C82,'TRA balance'!$D$5:$D$40,Assumptions!$B82)*DE82*N82,"")</f>
        <v/>
      </c>
      <c r="BK82" s="40" t="str">
        <f ca="1">IFERROR(SUMIFS('TRA balance'!L$5:L$40,'TRA balance'!$C$5:$C$40,Assumptions!$C82,'TRA balance'!$D$5:$D$40,Assumptions!$B82)*DF82*O82,"")</f>
        <v/>
      </c>
      <c r="BL82" s="40" t="str">
        <f ca="1">IFERROR(SUMIFS('TRA balance'!M$5:M$40,'TRA balance'!$C$5:$C$40,Assumptions!$C82,'TRA balance'!$D$5:$D$40,Assumptions!$B82)*DG82*P82,"")</f>
        <v/>
      </c>
      <c r="BM82" s="40" t="str">
        <f ca="1">IFERROR(SUMIFS('TRA balance'!N$5:N$40,'TRA balance'!$C$5:$C$40,Assumptions!$C82,'TRA balance'!$D$5:$D$40,Assumptions!$B82)*DH82*Q82,"")</f>
        <v/>
      </c>
      <c r="BN82" s="40" t="str">
        <f ca="1">IFERROR(SUMIFS('TRA balance'!O$5:O$40,'TRA balance'!$C$5:$C$40,Assumptions!$C82,'TRA balance'!$D$5:$D$40,Assumptions!$B82)*DI82*R82,"")</f>
        <v/>
      </c>
      <c r="BO82" s="40" t="str">
        <f ca="1">IFERROR(SUMIFS('TRA balance'!P$5:P$40,'TRA balance'!$C$5:$C$40,Assumptions!$C82,'TRA balance'!$D$5:$D$40,Assumptions!$B82)*DJ82*S82,"")</f>
        <v/>
      </c>
      <c r="BP82" s="40" t="str">
        <f ca="1">IFERROR(SUMIFS('TRA balance'!Q$5:Q$40,'TRA balance'!$C$5:$C$40,Assumptions!$C82,'TRA balance'!$D$5:$D$40,Assumptions!$B82)*DK82*T82,"")</f>
        <v/>
      </c>
      <c r="BQ82" s="40" t="str">
        <f ca="1">IFERROR(SUMIFS('TRA balance'!R$5:R$40,'TRA balance'!$C$5:$C$40,Assumptions!$C82,'TRA balance'!$D$5:$D$40,Assumptions!$B82)*DL82*U82,"")</f>
        <v/>
      </c>
      <c r="BR82" s="40" t="str">
        <f ca="1">IFERROR(SUMIFS('TRA balance'!S$5:S$40,'TRA balance'!$C$5:$C$40,Assumptions!$C82,'TRA balance'!$D$5:$D$40,Assumptions!$B82)*DM82*V82,"")</f>
        <v/>
      </c>
      <c r="BS82" s="40" t="str">
        <f ca="1">IFERROR(SUMIFS('TRA balance'!T$5:T$40,'TRA balance'!$C$5:$C$40,Assumptions!$C82,'TRA balance'!$D$5:$D$40,Assumptions!$B82)*DN82*W82,"")</f>
        <v/>
      </c>
      <c r="BT82" s="40" t="str">
        <f ca="1">IFERROR(SUMIFS('TRA balance'!U$5:U$40,'TRA balance'!$C$5:$C$40,Assumptions!$C82,'TRA balance'!$D$5:$D$40,Assumptions!$B82)*DO82*X82,"")</f>
        <v/>
      </c>
      <c r="BU82" s="40" t="str">
        <f ca="1">IFERROR(SUMIFS('TRA balance'!V$5:V$40,'TRA balance'!$C$5:$C$40,Assumptions!$C82,'TRA balance'!$D$5:$D$40,Assumptions!$B82)*DP82*Y82,"")</f>
        <v/>
      </c>
      <c r="BV82" s="40" t="str">
        <f ca="1">IFERROR(SUMIFS('TRA balance'!W$5:W$40,'TRA balance'!$C$5:$C$40,Assumptions!$C82,'TRA balance'!$D$5:$D$40,Assumptions!$B82)*DQ82*Z82,"")</f>
        <v/>
      </c>
      <c r="BW82" s="40" t="str">
        <f ca="1">IFERROR(SUMIFS('TRA balance'!X$5:X$40,'TRA balance'!$C$5:$C$40,Assumptions!$C82,'TRA balance'!$D$5:$D$40,Assumptions!$B82)*DR82*AA82,"")</f>
        <v/>
      </c>
      <c r="BX82" s="40" t="str">
        <f ca="1">IFERROR(SUMIFS('TRA balance'!Y$5:Y$40,'TRA balance'!$C$5:$C$40,Assumptions!$C82,'TRA balance'!$D$5:$D$40,Assumptions!$B82)*DS82*AB82,"")</f>
        <v/>
      </c>
      <c r="BY82" s="40" t="str">
        <f ca="1">IFERROR(SUMIFS('TRA balance'!Z$5:Z$40,'TRA balance'!$C$5:$C$40,Assumptions!$C82,'TRA balance'!$D$5:$D$40,Assumptions!$B82)*DT82*AC82,"")</f>
        <v/>
      </c>
      <c r="BZ82" s="40" t="str">
        <f ca="1">IFERROR(SUMIFS('TRA balance'!AA$5:AA$40,'TRA balance'!$C$5:$C$40,Assumptions!$C82,'TRA balance'!$D$5:$D$40,Assumptions!$B82)*DU82*AD82,"")</f>
        <v/>
      </c>
      <c r="CA82" s="40" t="str">
        <f ca="1">IFERROR(SUMIFS('TRA balance'!AB$5:AB$40,'TRA balance'!$C$5:$C$40,Assumptions!$C82,'TRA balance'!$D$5:$D$40,Assumptions!$B82)*DV82*AE82,"")</f>
        <v/>
      </c>
      <c r="CB82" s="40" t="str">
        <f ca="1">IFERROR(SUMIFS('TRA balance'!AC$5:AC$40,'TRA balance'!$C$5:$C$40,Assumptions!$C82,'TRA balance'!$D$5:$D$40,Assumptions!$B82)*DW82*AF82,"")</f>
        <v/>
      </c>
      <c r="CC82" s="40" t="str">
        <f ca="1">IFERROR(SUMIFS('TRA balance'!AD$5:AD$40,'TRA balance'!$C$5:$C$40,Assumptions!$C82,'TRA balance'!$D$5:$D$40,Assumptions!$B82)*DX82*AG82,"")</f>
        <v/>
      </c>
      <c r="CD82" s="40" t="str">
        <f ca="1">IFERROR(SUMIFS('TRA balance'!AE$5:AE$40,'TRA balance'!$C$5:$C$40,Assumptions!$C82,'TRA balance'!$D$5:$D$40,Assumptions!$B82)*DY82*AH82,"")</f>
        <v/>
      </c>
      <c r="CE82" s="40" t="str">
        <f ca="1">IFERROR(SUMIFS('TRA balance'!AF$5:AF$40,'TRA balance'!$C$5:$C$40,Assumptions!$C82,'TRA balance'!$D$5:$D$40,Assumptions!$B82)*DZ82*AI82,"")</f>
        <v/>
      </c>
      <c r="CF82" s="40" t="str">
        <f ca="1">IFERROR(SUMIFS('TRA balance'!AG$5:AG$40,'TRA balance'!$C$5:$C$40,Assumptions!$C82,'TRA balance'!$D$5:$D$40,Assumptions!$B82)*EA82*AJ82,"")</f>
        <v/>
      </c>
      <c r="CG82" s="40" t="str">
        <f ca="1">IFERROR(SUMIFS('TRA balance'!AH$5:AH$40,'TRA balance'!$C$5:$C$40,Assumptions!$C82,'TRA balance'!$D$5:$D$40,Assumptions!$B82)*EB82*AK82,"")</f>
        <v/>
      </c>
      <c r="CH82" s="40" t="str">
        <f ca="1">IFERROR(SUMIFS('TRA balance'!AI$5:AI$40,'TRA balance'!$C$5:$C$40,Assumptions!$C82,'TRA balance'!$D$5:$D$40,Assumptions!$B82)*EC82*AL82,"")</f>
        <v/>
      </c>
      <c r="CI82" s="40" t="str">
        <f ca="1">IFERROR(SUMIFS('TRA balance'!AJ$5:AJ$40,'TRA balance'!$C$5:$C$40,Assumptions!$C82,'TRA balance'!$D$5:$D$40,Assumptions!$B82)*ED82*AM82,"")</f>
        <v/>
      </c>
      <c r="CJ82" s="40" t="str">
        <f ca="1">IFERROR(SUMIFS('TRA balance'!AK$5:AK$40,'TRA balance'!$C$5:$C$40,Assumptions!$C82,'TRA balance'!$D$5:$D$40,Assumptions!$B82)*EE82*AN82,"")</f>
        <v/>
      </c>
      <c r="CK82" s="40" t="str">
        <f ca="1">IFERROR(SUMIFS('TRA balance'!AL$5:AL$40,'TRA balance'!$C$5:$C$40,Assumptions!$C82,'TRA balance'!$D$5:$D$40,Assumptions!$B82)*EF82*AO82,"")</f>
        <v/>
      </c>
      <c r="CL82" s="40" t="str">
        <f ca="1">IFERROR(SUMIFS('TRA balance'!AM$5:AM$40,'TRA balance'!$C$5:$C$40,Assumptions!$C82,'TRA balance'!$D$5:$D$40,Assumptions!$B82)*EG82*AP82,"")</f>
        <v/>
      </c>
      <c r="CM82" s="40" t="str">
        <f ca="1">IFERROR(SUMIFS('TRA balance'!AN$5:AN$40,'TRA balance'!$C$5:$C$40,Assumptions!$C82,'TRA balance'!$D$5:$D$40,Assumptions!$B82)*EH82*AQ82,"")</f>
        <v/>
      </c>
      <c r="CN82" s="40" t="str">
        <f ca="1">IFERROR(SUMIFS('TRA balance'!AO$5:AO$40,'TRA balance'!$C$5:$C$40,Assumptions!$C82,'TRA balance'!$D$5:$D$40,Assumptions!$B82)*EI82*AR82,"")</f>
        <v/>
      </c>
      <c r="CO82" s="40" t="str">
        <f ca="1">IFERROR(SUMIFS('TRA balance'!AP$5:AP$40,'TRA balance'!$C$5:$C$40,Assumptions!$C82,'TRA balance'!$D$5:$D$40,Assumptions!$B82)*EJ82*AS82,"")</f>
        <v/>
      </c>
      <c r="CP82" s="40" t="str">
        <f ca="1">IFERROR(SUMIFS('TRA balance'!AQ$5:AQ$40,'TRA balance'!$C$5:$C$40,Assumptions!$C82,'TRA balance'!$D$5:$D$40,Assumptions!$B82)*EK82*AT82,"")</f>
        <v/>
      </c>
      <c r="CQ82" s="40" t="str">
        <f ca="1">IFERROR(SUMIFS('TRA balance'!AR$5:AR$40,'TRA balance'!$C$5:$C$40,Assumptions!$C82,'TRA balance'!$D$5:$D$40,Assumptions!$B82)*EL82*AU82,"")</f>
        <v/>
      </c>
      <c r="CR82" s="40" t="str">
        <f ca="1">IFERROR(SUMIFS('TRA balance'!AS$5:AS$40,'TRA balance'!$C$5:$C$40,Assumptions!$C82,'TRA balance'!$D$5:$D$40,Assumptions!$B82)*EM82*AV82,"")</f>
        <v/>
      </c>
      <c r="CS82" s="40" t="str">
        <f ca="1">IFERROR(SUMIFS('TRA balance'!AT$5:AT$40,'TRA balance'!$C$5:$C$40,Assumptions!$C82,'TRA balance'!$D$5:$D$40,Assumptions!$B82)*EN82*AW82,"")</f>
        <v/>
      </c>
      <c r="CT82" s="40" t="str">
        <f ca="1">IFERROR(SUMIFS('TRA balance'!AU$5:AU$40,'TRA balance'!$C$5:$C$40,Assumptions!$C82,'TRA balance'!$D$5:$D$40,Assumptions!$B82)*EO82*AX82,"")</f>
        <v/>
      </c>
      <c r="CU82" s="40" t="str">
        <f ca="1">IFERROR(SUMIFS('TRA balance'!AV$5:AV$40,'TRA balance'!$C$5:$C$40,Assumptions!$C82,'TRA balance'!$D$5:$D$40,Assumptions!$B82)*EP82*AY82,"")</f>
        <v/>
      </c>
      <c r="CV82" s="40" t="str">
        <f ca="1">IFERROR(SUMIFS('TRA balance'!AW$5:AW$40,'TRA balance'!$C$5:$C$40,Assumptions!$C82,'TRA balance'!$D$5:$D$40,Assumptions!$B82)*EQ82*AZ82,"")</f>
        <v/>
      </c>
      <c r="CW82" s="40" t="str">
        <f ca="1">IFERROR(SUMIFS('TRA balance'!AX$5:AX$40,'TRA balance'!$C$5:$C$40,Assumptions!$C82,'TRA balance'!$D$5:$D$40,Assumptions!$B82)*ER82*BA82,"")</f>
        <v/>
      </c>
      <c r="CY82" s="39">
        <f ca="1" t="shared" si="86"/>
        <v>1</v>
      </c>
      <c r="CZ82" s="39">
        <f ca="1" t="shared" si="87"/>
        <v>1</v>
      </c>
      <c r="DA82" s="39">
        <f ca="1" t="shared" si="88"/>
        <v>1</v>
      </c>
      <c r="DB82" s="39">
        <f ca="1" t="shared" si="89"/>
        <v>1</v>
      </c>
      <c r="DC82" s="39">
        <f ca="1" t="shared" si="90"/>
        <v>1</v>
      </c>
      <c r="DD82" s="39">
        <f ca="1" t="shared" si="91"/>
        <v>1</v>
      </c>
      <c r="DE82" s="39">
        <f ca="1" t="shared" si="92"/>
        <v>1</v>
      </c>
      <c r="DF82" s="39">
        <f ca="1" t="shared" si="93"/>
        <v>1</v>
      </c>
      <c r="DG82" s="39">
        <f ca="1" t="shared" si="94"/>
        <v>1</v>
      </c>
      <c r="DH82" s="39">
        <f ca="1" t="shared" si="95"/>
        <v>1</v>
      </c>
      <c r="DI82" s="39">
        <f ca="1" t="shared" si="96"/>
        <v>1</v>
      </c>
      <c r="DJ82" s="39">
        <f ca="1" t="shared" si="97"/>
        <v>1</v>
      </c>
      <c r="DK82" s="39">
        <f ca="1" t="shared" si="98"/>
        <v>1</v>
      </c>
      <c r="DL82" s="39">
        <f ca="1" t="shared" si="99"/>
        <v>1</v>
      </c>
      <c r="DM82" s="39">
        <f ca="1" t="shared" si="100"/>
        <v>1</v>
      </c>
      <c r="DN82" s="39">
        <f ca="1" t="shared" si="101"/>
        <v>1</v>
      </c>
      <c r="DO82" s="39">
        <f ca="1" t="shared" si="102"/>
        <v>1</v>
      </c>
      <c r="DP82" s="39">
        <f ca="1" t="shared" si="103"/>
        <v>1</v>
      </c>
      <c r="DQ82" s="39">
        <f ca="1" t="shared" si="104"/>
        <v>1</v>
      </c>
      <c r="DR82" s="39">
        <f ca="1" t="shared" si="105"/>
        <v>1</v>
      </c>
      <c r="DS82" s="39">
        <f ca="1" t="shared" si="106"/>
        <v>1</v>
      </c>
      <c r="DT82" s="39">
        <f ca="1" t="shared" si="107"/>
        <v>1</v>
      </c>
      <c r="DU82" s="39">
        <f ca="1" t="shared" si="108"/>
        <v>1</v>
      </c>
      <c r="DV82" s="39">
        <f ca="1" t="shared" si="109"/>
        <v>1</v>
      </c>
      <c r="DW82" s="39">
        <f ca="1" t="shared" si="110"/>
        <v>1</v>
      </c>
      <c r="DX82" s="39">
        <f ca="1" t="shared" si="111"/>
        <v>1</v>
      </c>
      <c r="DY82" s="39">
        <f ca="1" t="shared" si="112"/>
        <v>1</v>
      </c>
      <c r="DZ82" s="39">
        <f ca="1" t="shared" si="113"/>
        <v>1</v>
      </c>
      <c r="EA82" s="39">
        <f ca="1" t="shared" si="114"/>
        <v>1</v>
      </c>
      <c r="EB82" s="39">
        <f ca="1" t="shared" si="115"/>
        <v>1</v>
      </c>
      <c r="EC82" s="39">
        <f ca="1" t="shared" si="116"/>
        <v>1</v>
      </c>
      <c r="ED82" s="39">
        <f ca="1" t="shared" si="117"/>
        <v>1</v>
      </c>
      <c r="EE82" s="39">
        <f ca="1" t="shared" si="118"/>
        <v>1</v>
      </c>
      <c r="EF82" s="39">
        <f ca="1" t="shared" si="119"/>
        <v>1</v>
      </c>
      <c r="EG82" s="39">
        <f ca="1" t="shared" si="120"/>
        <v>1</v>
      </c>
      <c r="EH82" s="39">
        <f ca="1" t="shared" si="121"/>
        <v>1</v>
      </c>
      <c r="EI82" s="39">
        <f ca="1" t="shared" si="122"/>
        <v>1</v>
      </c>
      <c r="EJ82" s="39">
        <f ca="1" t="shared" si="123"/>
        <v>1</v>
      </c>
      <c r="EK82" s="39">
        <f ca="1" t="shared" si="124"/>
        <v>1</v>
      </c>
      <c r="EL82" s="39">
        <f ca="1" t="shared" si="125"/>
        <v>1</v>
      </c>
      <c r="EM82" s="39">
        <f ca="1" t="shared" si="126"/>
        <v>1</v>
      </c>
      <c r="EN82" s="39">
        <f ca="1" t="shared" si="127"/>
        <v>1</v>
      </c>
      <c r="EO82" s="39">
        <f ca="1" t="shared" si="128"/>
        <v>1</v>
      </c>
      <c r="EP82" s="39">
        <f ca="1" t="shared" si="129"/>
        <v>1</v>
      </c>
      <c r="EQ82" s="39">
        <f ca="1" t="shared" si="130"/>
        <v>1</v>
      </c>
      <c r="ER82" s="39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2">
        <v>2</v>
      </c>
      <c r="D83" s="63" t="s">
        <v>200</v>
      </c>
      <c r="E83" s="63" t="s">
        <v>211</v>
      </c>
      <c r="F83" s="64" t="str">
        <f t="shared" si="138"/>
        <v>Bio Gasoline</v>
      </c>
      <c r="G83" s="62"/>
      <c r="H83" s="68">
        <f ca="1">1-H77</f>
        <v>1</v>
      </c>
      <c r="I83" s="68">
        <f ca="1" t="shared" ref="I83:BA83" si="140">1-I77</f>
        <v>1</v>
      </c>
      <c r="J83" s="68">
        <f ca="1" t="shared" si="140"/>
        <v>1</v>
      </c>
      <c r="K83" s="68">
        <f ca="1" t="shared" si="140"/>
        <v>1</v>
      </c>
      <c r="L83" s="68">
        <f ca="1" t="shared" si="140"/>
        <v>1</v>
      </c>
      <c r="M83" s="68">
        <f ca="1" t="shared" si="140"/>
        <v>1</v>
      </c>
      <c r="N83" s="68">
        <f ca="1" t="shared" si="140"/>
        <v>1</v>
      </c>
      <c r="O83" s="68">
        <f ca="1" t="shared" si="140"/>
        <v>1</v>
      </c>
      <c r="P83" s="68">
        <f ca="1" t="shared" si="140"/>
        <v>1</v>
      </c>
      <c r="Q83" s="68">
        <f ca="1" t="shared" si="140"/>
        <v>1</v>
      </c>
      <c r="R83" s="68">
        <f ca="1" t="shared" si="140"/>
        <v>1</v>
      </c>
      <c r="S83" s="68">
        <f ca="1" t="shared" si="140"/>
        <v>1</v>
      </c>
      <c r="T83" s="68">
        <f ca="1" t="shared" si="140"/>
        <v>1</v>
      </c>
      <c r="U83" s="68">
        <f ca="1" t="shared" si="140"/>
        <v>1</v>
      </c>
      <c r="V83" s="68">
        <f ca="1" t="shared" si="140"/>
        <v>1</v>
      </c>
      <c r="W83" s="68">
        <f ca="1" t="shared" si="140"/>
        <v>1</v>
      </c>
      <c r="X83" s="68">
        <f ca="1" t="shared" si="140"/>
        <v>1</v>
      </c>
      <c r="Y83" s="68">
        <f ca="1" t="shared" si="140"/>
        <v>1</v>
      </c>
      <c r="Z83" s="68">
        <f ca="1" t="shared" si="140"/>
        <v>1</v>
      </c>
      <c r="AA83" s="68">
        <f ca="1" t="shared" si="140"/>
        <v>1</v>
      </c>
      <c r="AB83" s="68">
        <f ca="1" t="shared" si="140"/>
        <v>1</v>
      </c>
      <c r="AC83" s="68">
        <f ca="1" t="shared" si="140"/>
        <v>1</v>
      </c>
      <c r="AD83" s="68">
        <f ca="1" t="shared" si="140"/>
        <v>1</v>
      </c>
      <c r="AE83" s="68">
        <f ca="1" t="shared" si="140"/>
        <v>1</v>
      </c>
      <c r="AF83" s="68">
        <f ca="1" t="shared" si="140"/>
        <v>1</v>
      </c>
      <c r="AG83" s="68">
        <f ca="1" t="shared" si="140"/>
        <v>1</v>
      </c>
      <c r="AH83" s="68">
        <f ca="1" t="shared" si="140"/>
        <v>1</v>
      </c>
      <c r="AI83" s="68">
        <f ca="1" t="shared" si="140"/>
        <v>1</v>
      </c>
      <c r="AJ83" s="68">
        <f ca="1" t="shared" si="140"/>
        <v>1</v>
      </c>
      <c r="AK83" s="68">
        <f ca="1" t="shared" si="140"/>
        <v>1</v>
      </c>
      <c r="AL83" s="68">
        <f ca="1" t="shared" si="140"/>
        <v>1</v>
      </c>
      <c r="AM83" s="68">
        <f ca="1" t="shared" si="140"/>
        <v>1</v>
      </c>
      <c r="AN83" s="68">
        <f ca="1" t="shared" si="140"/>
        <v>1</v>
      </c>
      <c r="AO83" s="68">
        <f ca="1" t="shared" si="140"/>
        <v>1</v>
      </c>
      <c r="AP83" s="68">
        <f ca="1" t="shared" si="140"/>
        <v>1</v>
      </c>
      <c r="AQ83" s="68">
        <f ca="1" t="shared" si="140"/>
        <v>1</v>
      </c>
      <c r="AR83" s="68">
        <f ca="1" t="shared" si="140"/>
        <v>1</v>
      </c>
      <c r="AS83" s="68">
        <f ca="1" t="shared" si="140"/>
        <v>1</v>
      </c>
      <c r="AT83" s="68">
        <f ca="1" t="shared" si="140"/>
        <v>1</v>
      </c>
      <c r="AU83" s="68">
        <f ca="1" t="shared" si="140"/>
        <v>1</v>
      </c>
      <c r="AV83" s="68">
        <f ca="1" t="shared" si="140"/>
        <v>1</v>
      </c>
      <c r="AW83" s="68">
        <f ca="1" t="shared" si="140"/>
        <v>1</v>
      </c>
      <c r="AX83" s="68">
        <f ca="1" t="shared" si="140"/>
        <v>1</v>
      </c>
      <c r="AY83" s="68">
        <f ca="1" t="shared" si="140"/>
        <v>1</v>
      </c>
      <c r="AZ83" s="68">
        <f ca="1" t="shared" si="140"/>
        <v>1</v>
      </c>
      <c r="BA83" s="68">
        <f ca="1" t="shared" si="140"/>
        <v>1</v>
      </c>
      <c r="BD83" s="40">
        <f ca="1">IFERROR(SUMIFS('TRA balance'!E$5:E$40,'TRA balance'!$C$5:$C$40,Assumptions!$C83,'TRA balance'!$D$5:$D$40,Assumptions!$B83)*CY83*H83,"")</f>
        <v>0</v>
      </c>
      <c r="BE83" s="40">
        <f ca="1">IFERROR(SUMIFS('TRA balance'!F$5:F$40,'TRA balance'!$C$5:$C$40,Assumptions!$C83,'TRA balance'!$D$5:$D$40,Assumptions!$B83)*CZ83*I83,"")</f>
        <v>0</v>
      </c>
      <c r="BF83" s="40">
        <f ca="1">IFERROR(SUMIFS('TRA balance'!G$5:G$40,'TRA balance'!$C$5:$C$40,Assumptions!$C83,'TRA balance'!$D$5:$D$40,Assumptions!$B83)*DA83*J83,"")</f>
        <v>0</v>
      </c>
      <c r="BG83" s="40">
        <f ca="1">IFERROR(SUMIFS('TRA balance'!H$5:H$40,'TRA balance'!$C$5:$C$40,Assumptions!$C83,'TRA balance'!$D$5:$D$40,Assumptions!$B83)*DB83*K83,"")</f>
        <v>0</v>
      </c>
      <c r="BH83" s="40">
        <f ca="1">IFERROR(SUMIFS('TRA balance'!I$5:I$40,'TRA balance'!$C$5:$C$40,Assumptions!$C83,'TRA balance'!$D$5:$D$40,Assumptions!$B83)*DC83*L83,"")</f>
        <v>0</v>
      </c>
      <c r="BI83" s="40">
        <f ca="1">IFERROR(SUMIFS('TRA balance'!J$5:J$40,'TRA balance'!$C$5:$C$40,Assumptions!$C83,'TRA balance'!$D$5:$D$40,Assumptions!$B83)*DD83*M83,"")</f>
        <v>0</v>
      </c>
      <c r="BJ83" s="40">
        <f ca="1">IFERROR(SUMIFS('TRA balance'!K$5:K$40,'TRA balance'!$C$5:$C$40,Assumptions!$C83,'TRA balance'!$D$5:$D$40,Assumptions!$B83)*DE83*N83,"")</f>
        <v>0</v>
      </c>
      <c r="BK83" s="40">
        <f ca="1">IFERROR(SUMIFS('TRA balance'!L$5:L$40,'TRA balance'!$C$5:$C$40,Assumptions!$C83,'TRA balance'!$D$5:$D$40,Assumptions!$B83)*DF83*O83,"")</f>
        <v>0</v>
      </c>
      <c r="BL83" s="40">
        <f ca="1">IFERROR(SUMIFS('TRA balance'!M$5:M$40,'TRA balance'!$C$5:$C$40,Assumptions!$C83,'TRA balance'!$D$5:$D$40,Assumptions!$B83)*DG83*P83,"")</f>
        <v>0</v>
      </c>
      <c r="BM83" s="40">
        <f ca="1">IFERROR(SUMIFS('TRA balance'!N$5:N$40,'TRA balance'!$C$5:$C$40,Assumptions!$C83,'TRA balance'!$D$5:$D$40,Assumptions!$B83)*DH83*Q83,"")</f>
        <v>0</v>
      </c>
      <c r="BN83" s="40">
        <f ca="1">IFERROR(SUMIFS('TRA balance'!O$5:O$40,'TRA balance'!$C$5:$C$40,Assumptions!$C83,'TRA balance'!$D$5:$D$40,Assumptions!$B83)*DI83*R83,"")</f>
        <v>0</v>
      </c>
      <c r="BO83" s="40">
        <f ca="1">IFERROR(SUMIFS('TRA balance'!P$5:P$40,'TRA balance'!$C$5:$C$40,Assumptions!$C83,'TRA balance'!$D$5:$D$40,Assumptions!$B83)*DJ83*S83,"")</f>
        <v>0</v>
      </c>
      <c r="BP83" s="40">
        <f ca="1">IFERROR(SUMIFS('TRA balance'!Q$5:Q$40,'TRA balance'!$C$5:$C$40,Assumptions!$C83,'TRA balance'!$D$5:$D$40,Assumptions!$B83)*DK83*T83,"")</f>
        <v>0</v>
      </c>
      <c r="BQ83" s="40">
        <f ca="1">IFERROR(SUMIFS('TRA balance'!R$5:R$40,'TRA balance'!$C$5:$C$40,Assumptions!$C83,'TRA balance'!$D$5:$D$40,Assumptions!$B83)*DL83*U83,"")</f>
        <v>0</v>
      </c>
      <c r="BR83" s="40">
        <f ca="1">IFERROR(SUMIFS('TRA balance'!S$5:S$40,'TRA balance'!$C$5:$C$40,Assumptions!$C83,'TRA balance'!$D$5:$D$40,Assumptions!$B83)*DM83*V83,"")</f>
        <v>0</v>
      </c>
      <c r="BS83" s="40">
        <f ca="1">IFERROR(SUMIFS('TRA balance'!T$5:T$40,'TRA balance'!$C$5:$C$40,Assumptions!$C83,'TRA balance'!$D$5:$D$40,Assumptions!$B83)*DN83*W83,"")</f>
        <v>0</v>
      </c>
      <c r="BT83" s="40">
        <f ca="1">IFERROR(SUMIFS('TRA balance'!U$5:U$40,'TRA balance'!$C$5:$C$40,Assumptions!$C83,'TRA balance'!$D$5:$D$40,Assumptions!$B83)*DO83*X83,"")</f>
        <v>0</v>
      </c>
      <c r="BU83" s="40">
        <f ca="1">IFERROR(SUMIFS('TRA balance'!V$5:V$40,'TRA balance'!$C$5:$C$40,Assumptions!$C83,'TRA balance'!$D$5:$D$40,Assumptions!$B83)*DP83*Y83,"")</f>
        <v>0</v>
      </c>
      <c r="BV83" s="40">
        <f ca="1">IFERROR(SUMIFS('TRA balance'!W$5:W$40,'TRA balance'!$C$5:$C$40,Assumptions!$C83,'TRA balance'!$D$5:$D$40,Assumptions!$B83)*DQ83*Z83,"")</f>
        <v>0</v>
      </c>
      <c r="BW83" s="40">
        <f ca="1">IFERROR(SUMIFS('TRA balance'!X$5:X$40,'TRA balance'!$C$5:$C$40,Assumptions!$C83,'TRA balance'!$D$5:$D$40,Assumptions!$B83)*DR83*AA83,"")</f>
        <v>0</v>
      </c>
      <c r="BX83" s="40">
        <f ca="1">IFERROR(SUMIFS('TRA balance'!Y$5:Y$40,'TRA balance'!$C$5:$C$40,Assumptions!$C83,'TRA balance'!$D$5:$D$40,Assumptions!$B83)*DS83*AB83,"")</f>
        <v>0</v>
      </c>
      <c r="BY83" s="40">
        <f ca="1">IFERROR(SUMIFS('TRA balance'!Z$5:Z$40,'TRA balance'!$C$5:$C$40,Assumptions!$C83,'TRA balance'!$D$5:$D$40,Assumptions!$B83)*DT83*AC83,"")</f>
        <v>0</v>
      </c>
      <c r="BZ83" s="40">
        <f ca="1">IFERROR(SUMIFS('TRA balance'!AA$5:AA$40,'TRA balance'!$C$5:$C$40,Assumptions!$C83,'TRA balance'!$D$5:$D$40,Assumptions!$B83)*DU83*AD83,"")</f>
        <v>0</v>
      </c>
      <c r="CA83" s="40">
        <f ca="1">IFERROR(SUMIFS('TRA balance'!AB$5:AB$40,'TRA balance'!$C$5:$C$40,Assumptions!$C83,'TRA balance'!$D$5:$D$40,Assumptions!$B83)*DV83*AE83,"")</f>
        <v>0</v>
      </c>
      <c r="CB83" s="40">
        <f ca="1">IFERROR(SUMIFS('TRA balance'!AC$5:AC$40,'TRA balance'!$C$5:$C$40,Assumptions!$C83,'TRA balance'!$D$5:$D$40,Assumptions!$B83)*DW83*AF83,"")</f>
        <v>0</v>
      </c>
      <c r="CC83" s="40">
        <f ca="1">IFERROR(SUMIFS('TRA balance'!AD$5:AD$40,'TRA balance'!$C$5:$C$40,Assumptions!$C83,'TRA balance'!$D$5:$D$40,Assumptions!$B83)*DX83*AG83,"")</f>
        <v>0</v>
      </c>
      <c r="CD83" s="40">
        <f ca="1">IFERROR(SUMIFS('TRA balance'!AE$5:AE$40,'TRA balance'!$C$5:$C$40,Assumptions!$C83,'TRA balance'!$D$5:$D$40,Assumptions!$B83)*DY83*AH83,"")</f>
        <v>0</v>
      </c>
      <c r="CE83" s="40">
        <f ca="1">IFERROR(SUMIFS('TRA balance'!AF$5:AF$40,'TRA balance'!$C$5:$C$40,Assumptions!$C83,'TRA balance'!$D$5:$D$40,Assumptions!$B83)*DZ83*AI83,"")</f>
        <v>0</v>
      </c>
      <c r="CF83" s="40">
        <f ca="1">IFERROR(SUMIFS('TRA balance'!AG$5:AG$40,'TRA balance'!$C$5:$C$40,Assumptions!$C83,'TRA balance'!$D$5:$D$40,Assumptions!$B83)*EA83*AJ83,"")</f>
        <v>0</v>
      </c>
      <c r="CG83" s="40">
        <f ca="1">IFERROR(SUMIFS('TRA balance'!AH$5:AH$40,'TRA balance'!$C$5:$C$40,Assumptions!$C83,'TRA balance'!$D$5:$D$40,Assumptions!$B83)*EB83*AK83,"")</f>
        <v>0</v>
      </c>
      <c r="CH83" s="40">
        <f ca="1">IFERROR(SUMIFS('TRA balance'!AI$5:AI$40,'TRA balance'!$C$5:$C$40,Assumptions!$C83,'TRA balance'!$D$5:$D$40,Assumptions!$B83)*EC83*AL83,"")</f>
        <v>0</v>
      </c>
      <c r="CI83" s="40">
        <f ca="1">IFERROR(SUMIFS('TRA balance'!AJ$5:AJ$40,'TRA balance'!$C$5:$C$40,Assumptions!$C83,'TRA balance'!$D$5:$D$40,Assumptions!$B83)*ED83*AM83,"")</f>
        <v>0</v>
      </c>
      <c r="CJ83" s="40">
        <f ca="1">IFERROR(SUMIFS('TRA balance'!AK$5:AK$40,'TRA balance'!$C$5:$C$40,Assumptions!$C83,'TRA balance'!$D$5:$D$40,Assumptions!$B83)*EE83*AN83,"")</f>
        <v>0</v>
      </c>
      <c r="CK83" s="40">
        <f ca="1">IFERROR(SUMIFS('TRA balance'!AL$5:AL$40,'TRA balance'!$C$5:$C$40,Assumptions!$C83,'TRA balance'!$D$5:$D$40,Assumptions!$B83)*EF83*AO83,"")</f>
        <v>0</v>
      </c>
      <c r="CL83" s="40">
        <f ca="1">IFERROR(SUMIFS('TRA balance'!AM$5:AM$40,'TRA balance'!$C$5:$C$40,Assumptions!$C83,'TRA balance'!$D$5:$D$40,Assumptions!$B83)*EG83*AP83,"")</f>
        <v>0</v>
      </c>
      <c r="CM83" s="40">
        <f ca="1">IFERROR(SUMIFS('TRA balance'!AN$5:AN$40,'TRA balance'!$C$5:$C$40,Assumptions!$C83,'TRA balance'!$D$5:$D$40,Assumptions!$B83)*EH83*AQ83,"")</f>
        <v>0</v>
      </c>
      <c r="CN83" s="40">
        <f ca="1">IFERROR(SUMIFS('TRA balance'!AO$5:AO$40,'TRA balance'!$C$5:$C$40,Assumptions!$C83,'TRA balance'!$D$5:$D$40,Assumptions!$B83)*EI83*AR83,"")</f>
        <v>0</v>
      </c>
      <c r="CO83" s="40">
        <f ca="1">IFERROR(SUMIFS('TRA balance'!AP$5:AP$40,'TRA balance'!$C$5:$C$40,Assumptions!$C83,'TRA balance'!$D$5:$D$40,Assumptions!$B83)*EJ83*AS83,"")</f>
        <v>0</v>
      </c>
      <c r="CP83" s="40">
        <f ca="1">IFERROR(SUMIFS('TRA balance'!AQ$5:AQ$40,'TRA balance'!$C$5:$C$40,Assumptions!$C83,'TRA balance'!$D$5:$D$40,Assumptions!$B83)*EK83*AT83,"")</f>
        <v>0</v>
      </c>
      <c r="CQ83" s="40">
        <f ca="1">IFERROR(SUMIFS('TRA balance'!AR$5:AR$40,'TRA balance'!$C$5:$C$40,Assumptions!$C83,'TRA balance'!$D$5:$D$40,Assumptions!$B83)*EL83*AU83,"")</f>
        <v>0</v>
      </c>
      <c r="CR83" s="40">
        <f ca="1">IFERROR(SUMIFS('TRA balance'!AS$5:AS$40,'TRA balance'!$C$5:$C$40,Assumptions!$C83,'TRA balance'!$D$5:$D$40,Assumptions!$B83)*EM83*AV83,"")</f>
        <v>0</v>
      </c>
      <c r="CS83" s="40">
        <f ca="1">IFERROR(SUMIFS('TRA balance'!AT$5:AT$40,'TRA balance'!$C$5:$C$40,Assumptions!$C83,'TRA balance'!$D$5:$D$40,Assumptions!$B83)*EN83*AW83,"")</f>
        <v>0</v>
      </c>
      <c r="CT83" s="40">
        <f ca="1">IFERROR(SUMIFS('TRA balance'!AU$5:AU$40,'TRA balance'!$C$5:$C$40,Assumptions!$C83,'TRA balance'!$D$5:$D$40,Assumptions!$B83)*EO83*AX83,"")</f>
        <v>0</v>
      </c>
      <c r="CU83" s="40">
        <f ca="1">IFERROR(SUMIFS('TRA balance'!AV$5:AV$40,'TRA balance'!$C$5:$C$40,Assumptions!$C83,'TRA balance'!$D$5:$D$40,Assumptions!$B83)*EP83*AY83,"")</f>
        <v>0</v>
      </c>
      <c r="CV83" s="40">
        <f ca="1">IFERROR(SUMIFS('TRA balance'!AW$5:AW$40,'TRA balance'!$C$5:$C$40,Assumptions!$C83,'TRA balance'!$D$5:$D$40,Assumptions!$B83)*EQ83*AZ83,"")</f>
        <v>0</v>
      </c>
      <c r="CW83" s="40">
        <f ca="1">IFERROR(SUMIFS('TRA balance'!AX$5:AX$40,'TRA balance'!$C$5:$C$40,Assumptions!$C83,'TRA balance'!$D$5:$D$40,Assumptions!$B83)*ER83*BA83,"")</f>
        <v>0</v>
      </c>
      <c r="CY83" s="39">
        <f ca="1" t="shared" si="86"/>
        <v>1</v>
      </c>
      <c r="CZ83" s="39">
        <f ca="1" t="shared" si="87"/>
        <v>1</v>
      </c>
      <c r="DA83" s="39">
        <f ca="1" t="shared" si="88"/>
        <v>1</v>
      </c>
      <c r="DB83" s="39">
        <f ca="1" t="shared" si="89"/>
        <v>1</v>
      </c>
      <c r="DC83" s="39">
        <f ca="1" t="shared" si="90"/>
        <v>1</v>
      </c>
      <c r="DD83" s="39">
        <f ca="1" t="shared" si="91"/>
        <v>1</v>
      </c>
      <c r="DE83" s="39">
        <f ca="1" t="shared" si="92"/>
        <v>1</v>
      </c>
      <c r="DF83" s="39">
        <f ca="1" t="shared" si="93"/>
        <v>1</v>
      </c>
      <c r="DG83" s="39">
        <f ca="1" t="shared" si="94"/>
        <v>1</v>
      </c>
      <c r="DH83" s="39">
        <f ca="1" t="shared" si="95"/>
        <v>1</v>
      </c>
      <c r="DI83" s="39">
        <f ca="1" t="shared" si="96"/>
        <v>1</v>
      </c>
      <c r="DJ83" s="39">
        <f ca="1" t="shared" si="97"/>
        <v>1</v>
      </c>
      <c r="DK83" s="39">
        <f ca="1" t="shared" si="98"/>
        <v>1</v>
      </c>
      <c r="DL83" s="39">
        <f ca="1" t="shared" si="99"/>
        <v>1</v>
      </c>
      <c r="DM83" s="39">
        <f ca="1" t="shared" si="100"/>
        <v>1</v>
      </c>
      <c r="DN83" s="39">
        <f ca="1" t="shared" si="101"/>
        <v>1</v>
      </c>
      <c r="DO83" s="39">
        <f ca="1" t="shared" si="102"/>
        <v>1</v>
      </c>
      <c r="DP83" s="39">
        <f ca="1" t="shared" si="103"/>
        <v>1</v>
      </c>
      <c r="DQ83" s="39">
        <f ca="1" t="shared" si="104"/>
        <v>1</v>
      </c>
      <c r="DR83" s="39">
        <f ca="1" t="shared" si="105"/>
        <v>1</v>
      </c>
      <c r="DS83" s="39">
        <f ca="1" t="shared" si="106"/>
        <v>1</v>
      </c>
      <c r="DT83" s="39">
        <f ca="1" t="shared" si="107"/>
        <v>1</v>
      </c>
      <c r="DU83" s="39">
        <f ca="1" t="shared" si="108"/>
        <v>1</v>
      </c>
      <c r="DV83" s="39">
        <f ca="1" t="shared" si="109"/>
        <v>1</v>
      </c>
      <c r="DW83" s="39">
        <f ca="1" t="shared" si="110"/>
        <v>1</v>
      </c>
      <c r="DX83" s="39">
        <f ca="1" t="shared" si="111"/>
        <v>1</v>
      </c>
      <c r="DY83" s="39">
        <f ca="1" t="shared" si="112"/>
        <v>1</v>
      </c>
      <c r="DZ83" s="39">
        <f ca="1" t="shared" si="113"/>
        <v>1</v>
      </c>
      <c r="EA83" s="39">
        <f ca="1" t="shared" si="114"/>
        <v>1</v>
      </c>
      <c r="EB83" s="39">
        <f ca="1" t="shared" si="115"/>
        <v>1</v>
      </c>
      <c r="EC83" s="39">
        <f ca="1" t="shared" si="116"/>
        <v>1</v>
      </c>
      <c r="ED83" s="39">
        <f ca="1" t="shared" si="117"/>
        <v>1</v>
      </c>
      <c r="EE83" s="39">
        <f ca="1" t="shared" si="118"/>
        <v>1</v>
      </c>
      <c r="EF83" s="39">
        <f ca="1" t="shared" si="119"/>
        <v>1</v>
      </c>
      <c r="EG83" s="39">
        <f ca="1" t="shared" si="120"/>
        <v>1</v>
      </c>
      <c r="EH83" s="39">
        <f ca="1" t="shared" si="121"/>
        <v>1</v>
      </c>
      <c r="EI83" s="39">
        <f ca="1" t="shared" si="122"/>
        <v>1</v>
      </c>
      <c r="EJ83" s="39">
        <f ca="1" t="shared" si="123"/>
        <v>1</v>
      </c>
      <c r="EK83" s="39">
        <f ca="1" t="shared" si="124"/>
        <v>1</v>
      </c>
      <c r="EL83" s="39">
        <f ca="1" t="shared" si="125"/>
        <v>1</v>
      </c>
      <c r="EM83" s="39">
        <f ca="1" t="shared" si="126"/>
        <v>1</v>
      </c>
      <c r="EN83" s="39">
        <f ca="1" t="shared" si="127"/>
        <v>1</v>
      </c>
      <c r="EO83" s="39">
        <f ca="1" t="shared" si="128"/>
        <v>1</v>
      </c>
      <c r="EP83" s="39">
        <f ca="1" t="shared" si="129"/>
        <v>1</v>
      </c>
      <c r="EQ83" s="39">
        <f ca="1" t="shared" si="130"/>
        <v>1</v>
      </c>
      <c r="ER83" s="39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4" t="str">
        <f t="shared" si="133"/>
        <v>TR</v>
      </c>
      <c r="D84" s="55" t="s">
        <v>200</v>
      </c>
      <c r="E84" s="66" t="s">
        <v>212</v>
      </c>
      <c r="F84" s="56" t="str">
        <f t="shared" si="138"/>
        <v>Bio Gasoline</v>
      </c>
      <c r="G84" s="54" t="s">
        <v>213</v>
      </c>
      <c r="H84" s="57">
        <f ca="1">OFFSET(TIAM15_assumptions!$G84,0,MATCH(VLOOKUP(Assumptions!H$2,TIAM15_assumptions!$Y$3:$Z$87,2,FALSE),TIAM15_assumptions!$H$2:$V$2,0))</f>
        <v>0</v>
      </c>
      <c r="I84" s="57">
        <f ca="1">OFFSET(TIAM15_assumptions!$G84,0,MATCH(VLOOKUP(Assumptions!I$2,TIAM15_assumptions!$Y$3:$Z$87,2,FALSE),TIAM15_assumptions!$H$2:$V$2,0))</f>
        <v>0</v>
      </c>
      <c r="J84" s="57">
        <f ca="1">OFFSET(TIAM15_assumptions!$G84,0,MATCH(VLOOKUP(Assumptions!J$2,TIAM15_assumptions!$Y$3:$Z$87,2,FALSE),TIAM15_assumptions!$H$2:$V$2,0))</f>
        <v>0</v>
      </c>
      <c r="K84" s="57">
        <f ca="1">OFFSET(TIAM15_assumptions!$G84,0,MATCH(VLOOKUP(Assumptions!K$2,TIAM15_assumptions!$Y$3:$Z$87,2,FALSE),TIAM15_assumptions!$H$2:$V$2,0))</f>
        <v>0</v>
      </c>
      <c r="L84" s="57">
        <f ca="1">OFFSET(TIAM15_assumptions!$G84,0,MATCH(VLOOKUP(Assumptions!L$2,TIAM15_assumptions!$Y$3:$Z$87,2,FALSE),TIAM15_assumptions!$H$2:$V$2,0))</f>
        <v>0</v>
      </c>
      <c r="M84" s="57">
        <f ca="1">OFFSET(TIAM15_assumptions!$G84,0,MATCH(VLOOKUP(Assumptions!M$2,TIAM15_assumptions!$Y$3:$Z$87,2,FALSE),TIAM15_assumptions!$H$2:$V$2,0))</f>
        <v>0</v>
      </c>
      <c r="N84" s="57">
        <f ca="1">OFFSET(TIAM15_assumptions!$G84,0,MATCH(VLOOKUP(Assumptions!N$2,TIAM15_assumptions!$Y$3:$Z$87,2,FALSE),TIAM15_assumptions!$H$2:$V$2,0))</f>
        <v>0</v>
      </c>
      <c r="O84" s="57">
        <f ca="1">OFFSET(TIAM15_assumptions!$G84,0,MATCH(VLOOKUP(Assumptions!O$2,TIAM15_assumptions!$Y$3:$Z$87,2,FALSE),TIAM15_assumptions!$H$2:$V$2,0))</f>
        <v>0</v>
      </c>
      <c r="P84" s="57">
        <f ca="1">OFFSET(TIAM15_assumptions!$G84,0,MATCH(VLOOKUP(Assumptions!P$2,TIAM15_assumptions!$Y$3:$Z$87,2,FALSE),TIAM15_assumptions!$H$2:$V$2,0))</f>
        <v>0</v>
      </c>
      <c r="Q84" s="57">
        <f ca="1">OFFSET(TIAM15_assumptions!$G84,0,MATCH(VLOOKUP(Assumptions!Q$2,TIAM15_assumptions!$Y$3:$Z$87,2,FALSE),TIAM15_assumptions!$H$2:$V$2,0))</f>
        <v>0</v>
      </c>
      <c r="R84" s="57">
        <f ca="1">OFFSET(TIAM15_assumptions!$G84,0,MATCH(VLOOKUP(Assumptions!R$2,TIAM15_assumptions!$Y$3:$Z$87,2,FALSE),TIAM15_assumptions!$H$2:$V$2,0))</f>
        <v>0</v>
      </c>
      <c r="S84" s="57">
        <f ca="1">OFFSET(TIAM15_assumptions!$G84,0,MATCH(VLOOKUP(Assumptions!S$2,TIAM15_assumptions!$Y$3:$Z$87,2,FALSE),TIAM15_assumptions!$H$2:$V$2,0))</f>
        <v>0</v>
      </c>
      <c r="T84" s="57">
        <f ca="1">OFFSET(TIAM15_assumptions!$G84,0,MATCH(VLOOKUP(Assumptions!T$2,TIAM15_assumptions!$Y$3:$Z$87,2,FALSE),TIAM15_assumptions!$H$2:$V$2,0))</f>
        <v>0</v>
      </c>
      <c r="U84" s="57">
        <f ca="1">OFFSET(TIAM15_assumptions!$G84,0,MATCH(VLOOKUP(Assumptions!U$2,TIAM15_assumptions!$Y$3:$Z$87,2,FALSE),TIAM15_assumptions!$H$2:$V$2,0))</f>
        <v>0</v>
      </c>
      <c r="V84" s="57">
        <f ca="1">OFFSET(TIAM15_assumptions!$G84,0,MATCH(VLOOKUP(Assumptions!V$2,TIAM15_assumptions!$Y$3:$Z$87,2,FALSE),TIAM15_assumptions!$H$2:$V$2,0))</f>
        <v>0</v>
      </c>
      <c r="W84" s="57">
        <f ca="1">OFFSET(TIAM15_assumptions!$G84,0,MATCH(VLOOKUP(Assumptions!W$2,TIAM15_assumptions!$Y$3:$Z$87,2,FALSE),TIAM15_assumptions!$H$2:$V$2,0))</f>
        <v>0</v>
      </c>
      <c r="X84" s="57">
        <f ca="1">OFFSET(TIAM15_assumptions!$G84,0,MATCH(VLOOKUP(Assumptions!X$2,TIAM15_assumptions!$Y$3:$Z$87,2,FALSE),TIAM15_assumptions!$H$2:$V$2,0))</f>
        <v>0</v>
      </c>
      <c r="Y84" s="57">
        <f ca="1">OFFSET(TIAM15_assumptions!$G84,0,MATCH(VLOOKUP(Assumptions!Y$2,TIAM15_assumptions!$Y$3:$Z$87,2,FALSE),TIAM15_assumptions!$H$2:$V$2,0))</f>
        <v>0</v>
      </c>
      <c r="Z84" s="57">
        <f ca="1">OFFSET(TIAM15_assumptions!$G84,0,MATCH(VLOOKUP(Assumptions!Z$2,TIAM15_assumptions!$Y$3:$Z$87,2,FALSE),TIAM15_assumptions!$H$2:$V$2,0))</f>
        <v>0</v>
      </c>
      <c r="AA84" s="57">
        <f ca="1">OFFSET(TIAM15_assumptions!$G84,0,MATCH(VLOOKUP(Assumptions!AA$2,TIAM15_assumptions!$Y$3:$Z$87,2,FALSE),TIAM15_assumptions!$H$2:$V$2,0))</f>
        <v>0</v>
      </c>
      <c r="AB84" s="57">
        <f ca="1">OFFSET(TIAM15_assumptions!$G84,0,MATCH(VLOOKUP(Assumptions!AB$2,TIAM15_assumptions!$Y$3:$Z$87,2,FALSE),TIAM15_assumptions!$H$2:$V$2,0))</f>
        <v>0</v>
      </c>
      <c r="AC84" s="57">
        <f ca="1">OFFSET(TIAM15_assumptions!$G84,0,MATCH(VLOOKUP(Assumptions!AC$2,TIAM15_assumptions!$Y$3:$Z$87,2,FALSE),TIAM15_assumptions!$H$2:$V$2,0))</f>
        <v>0</v>
      </c>
      <c r="AD84" s="57">
        <f ca="1">OFFSET(TIAM15_assumptions!$G84,0,MATCH(VLOOKUP(Assumptions!AD$2,TIAM15_assumptions!$Y$3:$Z$87,2,FALSE),TIAM15_assumptions!$H$2:$V$2,0))</f>
        <v>0</v>
      </c>
      <c r="AE84" s="57">
        <f ca="1">OFFSET(TIAM15_assumptions!$G84,0,MATCH(VLOOKUP(Assumptions!AE$2,TIAM15_assumptions!$Y$3:$Z$87,2,FALSE),TIAM15_assumptions!$H$2:$V$2,0))</f>
        <v>0</v>
      </c>
      <c r="AF84" s="57">
        <f ca="1">OFFSET(TIAM15_assumptions!$G84,0,MATCH(VLOOKUP(Assumptions!AF$2,TIAM15_assumptions!$Y$3:$Z$87,2,FALSE),TIAM15_assumptions!$H$2:$V$2,0))</f>
        <v>0</v>
      </c>
      <c r="AG84" s="57">
        <f ca="1">OFFSET(TIAM15_assumptions!$G84,0,MATCH(VLOOKUP(Assumptions!AG$2,TIAM15_assumptions!$Y$3:$Z$87,2,FALSE),TIAM15_assumptions!$H$2:$V$2,0))</f>
        <v>0</v>
      </c>
      <c r="AH84" s="57">
        <f ca="1">OFFSET(TIAM15_assumptions!$G84,0,MATCH(VLOOKUP(Assumptions!AH$2,TIAM15_assumptions!$Y$3:$Z$87,2,FALSE),TIAM15_assumptions!$H$2:$V$2,0))</f>
        <v>0</v>
      </c>
      <c r="AI84" s="57">
        <f ca="1">OFFSET(TIAM15_assumptions!$G84,0,MATCH(VLOOKUP(Assumptions!AI$2,TIAM15_assumptions!$Y$3:$Z$87,2,FALSE),TIAM15_assumptions!$H$2:$V$2,0))</f>
        <v>0</v>
      </c>
      <c r="AJ84" s="57">
        <f ca="1">OFFSET(TIAM15_assumptions!$G84,0,MATCH(VLOOKUP(Assumptions!AJ$2,TIAM15_assumptions!$Y$3:$Z$87,2,FALSE),TIAM15_assumptions!$H$2:$V$2,0))</f>
        <v>0</v>
      </c>
      <c r="AK84" s="57">
        <f ca="1">OFFSET(TIAM15_assumptions!$G84,0,MATCH(VLOOKUP(Assumptions!AK$2,TIAM15_assumptions!$Y$3:$Z$87,2,FALSE),TIAM15_assumptions!$H$2:$V$2,0))</f>
        <v>0</v>
      </c>
      <c r="AL84" s="57">
        <f ca="1">OFFSET(TIAM15_assumptions!$G84,0,MATCH(VLOOKUP(Assumptions!AL$2,TIAM15_assumptions!$Y$3:$Z$87,2,FALSE),TIAM15_assumptions!$H$2:$V$2,0))</f>
        <v>0</v>
      </c>
      <c r="AM84" s="57">
        <f ca="1">OFFSET(TIAM15_assumptions!$G84,0,MATCH(VLOOKUP(Assumptions!AM$2,TIAM15_assumptions!$Y$3:$Z$87,2,FALSE),TIAM15_assumptions!$H$2:$V$2,0))</f>
        <v>0</v>
      </c>
      <c r="AN84" s="57">
        <f ca="1">OFFSET(TIAM15_assumptions!$G84,0,MATCH(VLOOKUP(Assumptions!AN$2,TIAM15_assumptions!$Y$3:$Z$87,2,FALSE),TIAM15_assumptions!$H$2:$V$2,0))</f>
        <v>0</v>
      </c>
      <c r="AO84" s="57">
        <f ca="1">OFFSET(TIAM15_assumptions!$G84,0,MATCH(VLOOKUP(Assumptions!AO$2,TIAM15_assumptions!$Y$3:$Z$87,2,FALSE),TIAM15_assumptions!$H$2:$V$2,0))</f>
        <v>0</v>
      </c>
      <c r="AP84" s="57">
        <f ca="1">OFFSET(TIAM15_assumptions!$G84,0,MATCH(VLOOKUP(Assumptions!AP$2,TIAM15_assumptions!$Y$3:$Z$87,2,FALSE),TIAM15_assumptions!$H$2:$V$2,0))</f>
        <v>0</v>
      </c>
      <c r="AQ84" s="57">
        <f ca="1">OFFSET(TIAM15_assumptions!$G84,0,MATCH(VLOOKUP(Assumptions!AQ$2,TIAM15_assumptions!$Y$3:$Z$87,2,FALSE),TIAM15_assumptions!$H$2:$V$2,0))</f>
        <v>0</v>
      </c>
      <c r="AR84" s="57">
        <f ca="1">OFFSET(TIAM15_assumptions!$G84,0,MATCH(VLOOKUP(Assumptions!AR$2,TIAM15_assumptions!$Y$3:$Z$87,2,FALSE),TIAM15_assumptions!$H$2:$V$2,0))</f>
        <v>0</v>
      </c>
      <c r="AS84" s="57">
        <f ca="1">OFFSET(TIAM15_assumptions!$G84,0,MATCH(VLOOKUP(Assumptions!AS$2,TIAM15_assumptions!$Y$3:$Z$87,2,FALSE),TIAM15_assumptions!$H$2:$V$2,0))</f>
        <v>0</v>
      </c>
      <c r="AT84" s="57">
        <f ca="1">OFFSET(TIAM15_assumptions!$G84,0,MATCH(VLOOKUP(Assumptions!AT$2,TIAM15_assumptions!$Y$3:$Z$87,2,FALSE),TIAM15_assumptions!$H$2:$V$2,0))</f>
        <v>0</v>
      </c>
      <c r="AU84" s="57">
        <f ca="1">OFFSET(TIAM15_assumptions!$G84,0,MATCH(VLOOKUP(Assumptions!AU$2,TIAM15_assumptions!$Y$3:$Z$87,2,FALSE),TIAM15_assumptions!$H$2:$V$2,0))</f>
        <v>0</v>
      </c>
      <c r="AV84" s="57">
        <f ca="1">OFFSET(TIAM15_assumptions!$G84,0,MATCH(VLOOKUP(Assumptions!AV$2,TIAM15_assumptions!$Y$3:$Z$87,2,FALSE),TIAM15_assumptions!$H$2:$V$2,0))</f>
        <v>0</v>
      </c>
      <c r="AW84" s="57">
        <f ca="1">OFFSET(TIAM15_assumptions!$G84,0,MATCH(VLOOKUP(Assumptions!AW$2,TIAM15_assumptions!$Y$3:$Z$87,2,FALSE),TIAM15_assumptions!$H$2:$V$2,0))</f>
        <v>0</v>
      </c>
      <c r="AX84" s="57">
        <f ca="1">OFFSET(TIAM15_assumptions!$G84,0,MATCH(VLOOKUP(Assumptions!AX$2,TIAM15_assumptions!$Y$3:$Z$87,2,FALSE),TIAM15_assumptions!$H$2:$V$2,0))</f>
        <v>0</v>
      </c>
      <c r="AY84" s="57">
        <f ca="1">OFFSET(TIAM15_assumptions!$G84,0,MATCH(VLOOKUP(Assumptions!AY$2,TIAM15_assumptions!$Y$3:$Z$87,2,FALSE),TIAM15_assumptions!$H$2:$V$2,0))</f>
        <v>0</v>
      </c>
      <c r="AZ84" s="57">
        <f ca="1">OFFSET(TIAM15_assumptions!$G84,0,MATCH(VLOOKUP(Assumptions!AZ$2,TIAM15_assumptions!$Y$3:$Z$87,2,FALSE),TIAM15_assumptions!$H$2:$V$2,0))</f>
        <v>0</v>
      </c>
      <c r="BA84" s="57">
        <f ca="1">OFFSET(TIAM15_assumptions!$G84,0,MATCH(VLOOKUP(Assumptions!BA$2,TIAM15_assumptions!$Y$3:$Z$87,2,FALSE),TIAM15_assumptions!$H$2:$V$2,0))</f>
        <v>0</v>
      </c>
      <c r="BD84" s="40">
        <f ca="1">IFERROR(SUMIFS('TRA balance'!E$5:E$40,'TRA balance'!$C$5:$C$40,Assumptions!$C84,'TRA balance'!$D$5:$D$40,Assumptions!$B84)*CY84*H84,"")</f>
        <v>0</v>
      </c>
      <c r="BE84" s="40">
        <f ca="1">IFERROR(SUMIFS('TRA balance'!F$5:F$40,'TRA balance'!$C$5:$C$40,Assumptions!$C84,'TRA balance'!$D$5:$D$40,Assumptions!$B84)*CZ84*I84,"")</f>
        <v>0</v>
      </c>
      <c r="BF84" s="40">
        <f ca="1">IFERROR(SUMIFS('TRA balance'!G$5:G$40,'TRA balance'!$C$5:$C$40,Assumptions!$C84,'TRA balance'!$D$5:$D$40,Assumptions!$B84)*DA84*J84,"")</f>
        <v>0</v>
      </c>
      <c r="BG84" s="40">
        <f ca="1">IFERROR(SUMIFS('TRA balance'!H$5:H$40,'TRA balance'!$C$5:$C$40,Assumptions!$C84,'TRA balance'!$D$5:$D$40,Assumptions!$B84)*DB84*K84,"")</f>
        <v>0</v>
      </c>
      <c r="BH84" s="40">
        <f ca="1">IFERROR(SUMIFS('TRA balance'!I$5:I$40,'TRA balance'!$C$5:$C$40,Assumptions!$C84,'TRA balance'!$D$5:$D$40,Assumptions!$B84)*DC84*L84,"")</f>
        <v>0</v>
      </c>
      <c r="BI84" s="40">
        <f ca="1">IFERROR(SUMIFS('TRA balance'!J$5:J$40,'TRA balance'!$C$5:$C$40,Assumptions!$C84,'TRA balance'!$D$5:$D$40,Assumptions!$B84)*DD84*M84,"")</f>
        <v>0</v>
      </c>
      <c r="BJ84" s="40">
        <f ca="1">IFERROR(SUMIFS('TRA balance'!K$5:K$40,'TRA balance'!$C$5:$C$40,Assumptions!$C84,'TRA balance'!$D$5:$D$40,Assumptions!$B84)*DE84*N84,"")</f>
        <v>0</v>
      </c>
      <c r="BK84" s="40">
        <f ca="1">IFERROR(SUMIFS('TRA balance'!L$5:L$40,'TRA balance'!$C$5:$C$40,Assumptions!$C84,'TRA balance'!$D$5:$D$40,Assumptions!$B84)*DF84*O84,"")</f>
        <v>0</v>
      </c>
      <c r="BL84" s="40">
        <f ca="1">IFERROR(SUMIFS('TRA balance'!M$5:M$40,'TRA balance'!$C$5:$C$40,Assumptions!$C84,'TRA balance'!$D$5:$D$40,Assumptions!$B84)*DG84*P84,"")</f>
        <v>0</v>
      </c>
      <c r="BM84" s="40">
        <f ca="1">IFERROR(SUMIFS('TRA balance'!N$5:N$40,'TRA balance'!$C$5:$C$40,Assumptions!$C84,'TRA balance'!$D$5:$D$40,Assumptions!$B84)*DH84*Q84,"")</f>
        <v>0</v>
      </c>
      <c r="BN84" s="40">
        <f ca="1">IFERROR(SUMIFS('TRA balance'!O$5:O$40,'TRA balance'!$C$5:$C$40,Assumptions!$C84,'TRA balance'!$D$5:$D$40,Assumptions!$B84)*DI84*R84,"")</f>
        <v>0</v>
      </c>
      <c r="BO84" s="40">
        <f ca="1">IFERROR(SUMIFS('TRA balance'!P$5:P$40,'TRA balance'!$C$5:$C$40,Assumptions!$C84,'TRA balance'!$D$5:$D$40,Assumptions!$B84)*DJ84*S84,"")</f>
        <v>0</v>
      </c>
      <c r="BP84" s="40">
        <f ca="1">IFERROR(SUMIFS('TRA balance'!Q$5:Q$40,'TRA balance'!$C$5:$C$40,Assumptions!$C84,'TRA balance'!$D$5:$D$40,Assumptions!$B84)*DK84*T84,"")</f>
        <v>0</v>
      </c>
      <c r="BQ84" s="40">
        <f ca="1">IFERROR(SUMIFS('TRA balance'!R$5:R$40,'TRA balance'!$C$5:$C$40,Assumptions!$C84,'TRA balance'!$D$5:$D$40,Assumptions!$B84)*DL84*U84,"")</f>
        <v>0</v>
      </c>
      <c r="BR84" s="40">
        <f ca="1">IFERROR(SUMIFS('TRA balance'!S$5:S$40,'TRA balance'!$C$5:$C$40,Assumptions!$C84,'TRA balance'!$D$5:$D$40,Assumptions!$B84)*DM84*V84,"")</f>
        <v>0</v>
      </c>
      <c r="BS84" s="40">
        <f ca="1">IFERROR(SUMIFS('TRA balance'!T$5:T$40,'TRA balance'!$C$5:$C$40,Assumptions!$C84,'TRA balance'!$D$5:$D$40,Assumptions!$B84)*DN84*W84,"")</f>
        <v>0</v>
      </c>
      <c r="BT84" s="40">
        <f ca="1">IFERROR(SUMIFS('TRA balance'!U$5:U$40,'TRA balance'!$C$5:$C$40,Assumptions!$C84,'TRA balance'!$D$5:$D$40,Assumptions!$B84)*DO84*X84,"")</f>
        <v>0</v>
      </c>
      <c r="BU84" s="40">
        <f ca="1">IFERROR(SUMIFS('TRA balance'!V$5:V$40,'TRA balance'!$C$5:$C$40,Assumptions!$C84,'TRA balance'!$D$5:$D$40,Assumptions!$B84)*DP84*Y84,"")</f>
        <v>0</v>
      </c>
      <c r="BV84" s="40">
        <f ca="1">IFERROR(SUMIFS('TRA balance'!W$5:W$40,'TRA balance'!$C$5:$C$40,Assumptions!$C84,'TRA balance'!$D$5:$D$40,Assumptions!$B84)*DQ84*Z84,"")</f>
        <v>0</v>
      </c>
      <c r="BW84" s="40">
        <f ca="1">IFERROR(SUMIFS('TRA balance'!X$5:X$40,'TRA balance'!$C$5:$C$40,Assumptions!$C84,'TRA balance'!$D$5:$D$40,Assumptions!$B84)*DR84*AA84,"")</f>
        <v>0</v>
      </c>
      <c r="BX84" s="40">
        <f ca="1">IFERROR(SUMIFS('TRA balance'!Y$5:Y$40,'TRA balance'!$C$5:$C$40,Assumptions!$C84,'TRA balance'!$D$5:$D$40,Assumptions!$B84)*DS84*AB84,"")</f>
        <v>0</v>
      </c>
      <c r="BY84" s="40">
        <f ca="1">IFERROR(SUMIFS('TRA balance'!Z$5:Z$40,'TRA balance'!$C$5:$C$40,Assumptions!$C84,'TRA balance'!$D$5:$D$40,Assumptions!$B84)*DT84*AC84,"")</f>
        <v>0</v>
      </c>
      <c r="BZ84" s="40">
        <f ca="1">IFERROR(SUMIFS('TRA balance'!AA$5:AA$40,'TRA balance'!$C$5:$C$40,Assumptions!$C84,'TRA balance'!$D$5:$D$40,Assumptions!$B84)*DU84*AD84,"")</f>
        <v>0</v>
      </c>
      <c r="CA84" s="40">
        <f ca="1">IFERROR(SUMIFS('TRA balance'!AB$5:AB$40,'TRA balance'!$C$5:$C$40,Assumptions!$C84,'TRA balance'!$D$5:$D$40,Assumptions!$B84)*DV84*AE84,"")</f>
        <v>0</v>
      </c>
      <c r="CB84" s="40">
        <f ca="1">IFERROR(SUMIFS('TRA balance'!AC$5:AC$40,'TRA balance'!$C$5:$C$40,Assumptions!$C84,'TRA balance'!$D$5:$D$40,Assumptions!$B84)*DW84*AF84,"")</f>
        <v>0</v>
      </c>
      <c r="CC84" s="40">
        <f ca="1">IFERROR(SUMIFS('TRA balance'!AD$5:AD$40,'TRA balance'!$C$5:$C$40,Assumptions!$C84,'TRA balance'!$D$5:$D$40,Assumptions!$B84)*DX84*AG84,"")</f>
        <v>0</v>
      </c>
      <c r="CD84" s="40">
        <f ca="1">IFERROR(SUMIFS('TRA balance'!AE$5:AE$40,'TRA balance'!$C$5:$C$40,Assumptions!$C84,'TRA balance'!$D$5:$D$40,Assumptions!$B84)*DY84*AH84,"")</f>
        <v>0</v>
      </c>
      <c r="CE84" s="40">
        <f ca="1">IFERROR(SUMIFS('TRA balance'!AF$5:AF$40,'TRA balance'!$C$5:$C$40,Assumptions!$C84,'TRA balance'!$D$5:$D$40,Assumptions!$B84)*DZ84*AI84,"")</f>
        <v>0</v>
      </c>
      <c r="CF84" s="40">
        <f ca="1">IFERROR(SUMIFS('TRA balance'!AG$5:AG$40,'TRA balance'!$C$5:$C$40,Assumptions!$C84,'TRA balance'!$D$5:$D$40,Assumptions!$B84)*EA84*AJ84,"")</f>
        <v>0</v>
      </c>
      <c r="CG84" s="40">
        <f ca="1">IFERROR(SUMIFS('TRA balance'!AH$5:AH$40,'TRA balance'!$C$5:$C$40,Assumptions!$C84,'TRA balance'!$D$5:$D$40,Assumptions!$B84)*EB84*AK84,"")</f>
        <v>0</v>
      </c>
      <c r="CH84" s="40">
        <f ca="1">IFERROR(SUMIFS('TRA balance'!AI$5:AI$40,'TRA balance'!$C$5:$C$40,Assumptions!$C84,'TRA balance'!$D$5:$D$40,Assumptions!$B84)*EC84*AL84,"")</f>
        <v>0</v>
      </c>
      <c r="CI84" s="40">
        <f ca="1">IFERROR(SUMIFS('TRA balance'!AJ$5:AJ$40,'TRA balance'!$C$5:$C$40,Assumptions!$C84,'TRA balance'!$D$5:$D$40,Assumptions!$B84)*ED84*AM84,"")</f>
        <v>0</v>
      </c>
      <c r="CJ84" s="40">
        <f ca="1">IFERROR(SUMIFS('TRA balance'!AK$5:AK$40,'TRA balance'!$C$5:$C$40,Assumptions!$C84,'TRA balance'!$D$5:$D$40,Assumptions!$B84)*EE84*AN84,"")</f>
        <v>0</v>
      </c>
      <c r="CK84" s="40">
        <f ca="1">IFERROR(SUMIFS('TRA balance'!AL$5:AL$40,'TRA balance'!$C$5:$C$40,Assumptions!$C84,'TRA balance'!$D$5:$D$40,Assumptions!$B84)*EF84*AO84,"")</f>
        <v>0</v>
      </c>
      <c r="CL84" s="40">
        <f ca="1">IFERROR(SUMIFS('TRA balance'!AM$5:AM$40,'TRA balance'!$C$5:$C$40,Assumptions!$C84,'TRA balance'!$D$5:$D$40,Assumptions!$B84)*EG84*AP84,"")</f>
        <v>0</v>
      </c>
      <c r="CM84" s="40">
        <f ca="1">IFERROR(SUMIFS('TRA balance'!AN$5:AN$40,'TRA balance'!$C$5:$C$40,Assumptions!$C84,'TRA balance'!$D$5:$D$40,Assumptions!$B84)*EH84*AQ84,"")</f>
        <v>0</v>
      </c>
      <c r="CN84" s="40">
        <f ca="1">IFERROR(SUMIFS('TRA balance'!AO$5:AO$40,'TRA balance'!$C$5:$C$40,Assumptions!$C84,'TRA balance'!$D$5:$D$40,Assumptions!$B84)*EI84*AR84,"")</f>
        <v>0</v>
      </c>
      <c r="CO84" s="40">
        <f ca="1">IFERROR(SUMIFS('TRA balance'!AP$5:AP$40,'TRA balance'!$C$5:$C$40,Assumptions!$C84,'TRA balance'!$D$5:$D$40,Assumptions!$B84)*EJ84*AS84,"")</f>
        <v>0</v>
      </c>
      <c r="CP84" s="40">
        <f ca="1">IFERROR(SUMIFS('TRA balance'!AQ$5:AQ$40,'TRA balance'!$C$5:$C$40,Assumptions!$C84,'TRA balance'!$D$5:$D$40,Assumptions!$B84)*EK84*AT84,"")</f>
        <v>0</v>
      </c>
      <c r="CQ84" s="40">
        <f ca="1">IFERROR(SUMIFS('TRA balance'!AR$5:AR$40,'TRA balance'!$C$5:$C$40,Assumptions!$C84,'TRA balance'!$D$5:$D$40,Assumptions!$B84)*EL84*AU84,"")</f>
        <v>0</v>
      </c>
      <c r="CR84" s="40">
        <f ca="1">IFERROR(SUMIFS('TRA balance'!AS$5:AS$40,'TRA balance'!$C$5:$C$40,Assumptions!$C84,'TRA balance'!$D$5:$D$40,Assumptions!$B84)*EM84*AV84,"")</f>
        <v>0</v>
      </c>
      <c r="CS84" s="40">
        <f ca="1">IFERROR(SUMIFS('TRA balance'!AT$5:AT$40,'TRA balance'!$C$5:$C$40,Assumptions!$C84,'TRA balance'!$D$5:$D$40,Assumptions!$B84)*EN84*AW84,"")</f>
        <v>0</v>
      </c>
      <c r="CT84" s="40">
        <f ca="1">IFERROR(SUMIFS('TRA balance'!AU$5:AU$40,'TRA balance'!$C$5:$C$40,Assumptions!$C84,'TRA balance'!$D$5:$D$40,Assumptions!$B84)*EO84*AX84,"")</f>
        <v>0</v>
      </c>
      <c r="CU84" s="40">
        <f ca="1">IFERROR(SUMIFS('TRA balance'!AV$5:AV$40,'TRA balance'!$C$5:$C$40,Assumptions!$C84,'TRA balance'!$D$5:$D$40,Assumptions!$B84)*EP84*AY84,"")</f>
        <v>0</v>
      </c>
      <c r="CV84" s="40">
        <f ca="1">IFERROR(SUMIFS('TRA balance'!AW$5:AW$40,'TRA balance'!$C$5:$C$40,Assumptions!$C84,'TRA balance'!$D$5:$D$40,Assumptions!$B84)*EQ84*AZ84,"")</f>
        <v>0</v>
      </c>
      <c r="CW84" s="40">
        <f ca="1">IFERROR(SUMIFS('TRA balance'!AX$5:AX$40,'TRA balance'!$C$5:$C$40,Assumptions!$C84,'TRA balance'!$D$5:$D$40,Assumptions!$B84)*ER84*BA84,"")</f>
        <v>0</v>
      </c>
      <c r="CY84" s="39">
        <f ca="1" t="shared" si="86"/>
        <v>1</v>
      </c>
      <c r="CZ84" s="39">
        <f ca="1" t="shared" si="87"/>
        <v>1</v>
      </c>
      <c r="DA84" s="39">
        <f ca="1" t="shared" si="88"/>
        <v>1</v>
      </c>
      <c r="DB84" s="39">
        <f ca="1" t="shared" si="89"/>
        <v>1</v>
      </c>
      <c r="DC84" s="39">
        <f ca="1" t="shared" si="90"/>
        <v>1</v>
      </c>
      <c r="DD84" s="39">
        <f ca="1" t="shared" si="91"/>
        <v>1</v>
      </c>
      <c r="DE84" s="39">
        <f ca="1" t="shared" si="92"/>
        <v>1</v>
      </c>
      <c r="DF84" s="39">
        <f ca="1" t="shared" si="93"/>
        <v>1</v>
      </c>
      <c r="DG84" s="39">
        <f ca="1" t="shared" si="94"/>
        <v>1</v>
      </c>
      <c r="DH84" s="39">
        <f ca="1" t="shared" si="95"/>
        <v>1</v>
      </c>
      <c r="DI84" s="39">
        <f ca="1" t="shared" si="96"/>
        <v>1</v>
      </c>
      <c r="DJ84" s="39">
        <f ca="1" t="shared" si="97"/>
        <v>1</v>
      </c>
      <c r="DK84" s="39">
        <f ca="1" t="shared" si="98"/>
        <v>1</v>
      </c>
      <c r="DL84" s="39">
        <f ca="1" t="shared" si="99"/>
        <v>1</v>
      </c>
      <c r="DM84" s="39">
        <f ca="1" t="shared" si="100"/>
        <v>1</v>
      </c>
      <c r="DN84" s="39">
        <f ca="1" t="shared" si="101"/>
        <v>1</v>
      </c>
      <c r="DO84" s="39">
        <f ca="1" t="shared" si="102"/>
        <v>1</v>
      </c>
      <c r="DP84" s="39">
        <f ca="1" t="shared" si="103"/>
        <v>1</v>
      </c>
      <c r="DQ84" s="39">
        <f ca="1" t="shared" si="104"/>
        <v>1</v>
      </c>
      <c r="DR84" s="39">
        <f ca="1" t="shared" si="105"/>
        <v>1</v>
      </c>
      <c r="DS84" s="39">
        <f ca="1" t="shared" si="106"/>
        <v>1</v>
      </c>
      <c r="DT84" s="39">
        <f ca="1" t="shared" si="107"/>
        <v>1</v>
      </c>
      <c r="DU84" s="39">
        <f ca="1" t="shared" si="108"/>
        <v>1</v>
      </c>
      <c r="DV84" s="39">
        <f ca="1" t="shared" si="109"/>
        <v>1</v>
      </c>
      <c r="DW84" s="39">
        <f ca="1" t="shared" si="110"/>
        <v>1</v>
      </c>
      <c r="DX84" s="39">
        <f ca="1" t="shared" si="111"/>
        <v>1</v>
      </c>
      <c r="DY84" s="39">
        <f ca="1" t="shared" si="112"/>
        <v>1</v>
      </c>
      <c r="DZ84" s="39">
        <f ca="1" t="shared" si="113"/>
        <v>1</v>
      </c>
      <c r="EA84" s="39">
        <f ca="1" t="shared" si="114"/>
        <v>1</v>
      </c>
      <c r="EB84" s="39">
        <f ca="1" t="shared" si="115"/>
        <v>1</v>
      </c>
      <c r="EC84" s="39">
        <f ca="1" t="shared" si="116"/>
        <v>1</v>
      </c>
      <c r="ED84" s="39">
        <f ca="1" t="shared" si="117"/>
        <v>1</v>
      </c>
      <c r="EE84" s="39">
        <f ca="1" t="shared" si="118"/>
        <v>1</v>
      </c>
      <c r="EF84" s="39">
        <f ca="1" t="shared" si="119"/>
        <v>1</v>
      </c>
      <c r="EG84" s="39">
        <f ca="1" t="shared" si="120"/>
        <v>1</v>
      </c>
      <c r="EH84" s="39">
        <f ca="1" t="shared" si="121"/>
        <v>1</v>
      </c>
      <c r="EI84" s="39">
        <f ca="1" t="shared" si="122"/>
        <v>1</v>
      </c>
      <c r="EJ84" s="39">
        <f ca="1" t="shared" si="123"/>
        <v>1</v>
      </c>
      <c r="EK84" s="39">
        <f ca="1" t="shared" si="124"/>
        <v>1</v>
      </c>
      <c r="EL84" s="39">
        <f ca="1" t="shared" si="125"/>
        <v>1</v>
      </c>
      <c r="EM84" s="39">
        <f ca="1" t="shared" si="126"/>
        <v>1</v>
      </c>
      <c r="EN84" s="39">
        <f ca="1" t="shared" si="127"/>
        <v>1</v>
      </c>
      <c r="EO84" s="39">
        <f ca="1" t="shared" si="128"/>
        <v>1</v>
      </c>
      <c r="EP84" s="39">
        <f ca="1" t="shared" si="129"/>
        <v>1</v>
      </c>
      <c r="EQ84" s="39">
        <f ca="1" t="shared" si="130"/>
        <v>1</v>
      </c>
      <c r="ER84" s="39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4" t="str">
        <f t="shared" si="133"/>
        <v>TR</v>
      </c>
      <c r="D85" s="55" t="s">
        <v>200</v>
      </c>
      <c r="E85" s="66" t="s">
        <v>214</v>
      </c>
      <c r="F85" s="56" t="str">
        <f t="shared" ref="F85:F88" si="141">F84</f>
        <v>Bio Gasoline</v>
      </c>
      <c r="G85" s="54" t="s">
        <v>215</v>
      </c>
      <c r="H85" s="57">
        <f ca="1">OFFSET(TIAM15_assumptions!$G85,0,MATCH(VLOOKUP(Assumptions!H$2,TIAM15_assumptions!$Y$3:$Z$87,2,FALSE),TIAM15_assumptions!$H$2:$V$2,0))</f>
        <v>0</v>
      </c>
      <c r="I85" s="57">
        <f ca="1">OFFSET(TIAM15_assumptions!$G85,0,MATCH(VLOOKUP(Assumptions!I$2,TIAM15_assumptions!$Y$3:$Z$87,2,FALSE),TIAM15_assumptions!$H$2:$V$2,0))</f>
        <v>0</v>
      </c>
      <c r="J85" s="57">
        <f ca="1">OFFSET(TIAM15_assumptions!$G85,0,MATCH(VLOOKUP(Assumptions!J$2,TIAM15_assumptions!$Y$3:$Z$87,2,FALSE),TIAM15_assumptions!$H$2:$V$2,0))</f>
        <v>0</v>
      </c>
      <c r="K85" s="57">
        <f ca="1">OFFSET(TIAM15_assumptions!$G85,0,MATCH(VLOOKUP(Assumptions!K$2,TIAM15_assumptions!$Y$3:$Z$87,2,FALSE),TIAM15_assumptions!$H$2:$V$2,0))</f>
        <v>0</v>
      </c>
      <c r="L85" s="57">
        <f ca="1">OFFSET(TIAM15_assumptions!$G85,0,MATCH(VLOOKUP(Assumptions!L$2,TIAM15_assumptions!$Y$3:$Z$87,2,FALSE),TIAM15_assumptions!$H$2:$V$2,0))</f>
        <v>0</v>
      </c>
      <c r="M85" s="57">
        <f ca="1">OFFSET(TIAM15_assumptions!$G85,0,MATCH(VLOOKUP(Assumptions!M$2,TIAM15_assumptions!$Y$3:$Z$87,2,FALSE),TIAM15_assumptions!$H$2:$V$2,0))</f>
        <v>0</v>
      </c>
      <c r="N85" s="57">
        <f ca="1">OFFSET(TIAM15_assumptions!$G85,0,MATCH(VLOOKUP(Assumptions!N$2,TIAM15_assumptions!$Y$3:$Z$87,2,FALSE),TIAM15_assumptions!$H$2:$V$2,0))</f>
        <v>0</v>
      </c>
      <c r="O85" s="57">
        <f ca="1">OFFSET(TIAM15_assumptions!$G85,0,MATCH(VLOOKUP(Assumptions!O$2,TIAM15_assumptions!$Y$3:$Z$87,2,FALSE),TIAM15_assumptions!$H$2:$V$2,0))</f>
        <v>0</v>
      </c>
      <c r="P85" s="57">
        <f ca="1">OFFSET(TIAM15_assumptions!$G85,0,MATCH(VLOOKUP(Assumptions!P$2,TIAM15_assumptions!$Y$3:$Z$87,2,FALSE),TIAM15_assumptions!$H$2:$V$2,0))</f>
        <v>0</v>
      </c>
      <c r="Q85" s="57">
        <f ca="1">OFFSET(TIAM15_assumptions!$G85,0,MATCH(VLOOKUP(Assumptions!Q$2,TIAM15_assumptions!$Y$3:$Z$87,2,FALSE),TIAM15_assumptions!$H$2:$V$2,0))</f>
        <v>0</v>
      </c>
      <c r="R85" s="57">
        <f ca="1">OFFSET(TIAM15_assumptions!$G85,0,MATCH(VLOOKUP(Assumptions!R$2,TIAM15_assumptions!$Y$3:$Z$87,2,FALSE),TIAM15_assumptions!$H$2:$V$2,0))</f>
        <v>0</v>
      </c>
      <c r="S85" s="57">
        <f ca="1">OFFSET(TIAM15_assumptions!$G85,0,MATCH(VLOOKUP(Assumptions!S$2,TIAM15_assumptions!$Y$3:$Z$87,2,FALSE),TIAM15_assumptions!$H$2:$V$2,0))</f>
        <v>0</v>
      </c>
      <c r="T85" s="57">
        <f ca="1">OFFSET(TIAM15_assumptions!$G85,0,MATCH(VLOOKUP(Assumptions!T$2,TIAM15_assumptions!$Y$3:$Z$87,2,FALSE),TIAM15_assumptions!$H$2:$V$2,0))</f>
        <v>0</v>
      </c>
      <c r="U85" s="57">
        <f ca="1">OFFSET(TIAM15_assumptions!$G85,0,MATCH(VLOOKUP(Assumptions!U$2,TIAM15_assumptions!$Y$3:$Z$87,2,FALSE),TIAM15_assumptions!$H$2:$V$2,0))</f>
        <v>0</v>
      </c>
      <c r="V85" s="57">
        <f ca="1">OFFSET(TIAM15_assumptions!$G85,0,MATCH(VLOOKUP(Assumptions!V$2,TIAM15_assumptions!$Y$3:$Z$87,2,FALSE),TIAM15_assumptions!$H$2:$V$2,0))</f>
        <v>0</v>
      </c>
      <c r="W85" s="57">
        <f ca="1">OFFSET(TIAM15_assumptions!$G85,0,MATCH(VLOOKUP(Assumptions!W$2,TIAM15_assumptions!$Y$3:$Z$87,2,FALSE),TIAM15_assumptions!$H$2:$V$2,0))</f>
        <v>0</v>
      </c>
      <c r="X85" s="57">
        <f ca="1">OFFSET(TIAM15_assumptions!$G85,0,MATCH(VLOOKUP(Assumptions!X$2,TIAM15_assumptions!$Y$3:$Z$87,2,FALSE),TIAM15_assumptions!$H$2:$V$2,0))</f>
        <v>0</v>
      </c>
      <c r="Y85" s="57">
        <f ca="1">OFFSET(TIAM15_assumptions!$G85,0,MATCH(VLOOKUP(Assumptions!Y$2,TIAM15_assumptions!$Y$3:$Z$87,2,FALSE),TIAM15_assumptions!$H$2:$V$2,0))</f>
        <v>0</v>
      </c>
      <c r="Z85" s="57">
        <f ca="1">OFFSET(TIAM15_assumptions!$G85,0,MATCH(VLOOKUP(Assumptions!Z$2,TIAM15_assumptions!$Y$3:$Z$87,2,FALSE),TIAM15_assumptions!$H$2:$V$2,0))</f>
        <v>0</v>
      </c>
      <c r="AA85" s="57">
        <f ca="1">OFFSET(TIAM15_assumptions!$G85,0,MATCH(VLOOKUP(Assumptions!AA$2,TIAM15_assumptions!$Y$3:$Z$87,2,FALSE),TIAM15_assumptions!$H$2:$V$2,0))</f>
        <v>0</v>
      </c>
      <c r="AB85" s="57">
        <f ca="1">OFFSET(TIAM15_assumptions!$G85,0,MATCH(VLOOKUP(Assumptions!AB$2,TIAM15_assumptions!$Y$3:$Z$87,2,FALSE),TIAM15_assumptions!$H$2:$V$2,0))</f>
        <v>0</v>
      </c>
      <c r="AC85" s="57">
        <f ca="1">OFFSET(TIAM15_assumptions!$G85,0,MATCH(VLOOKUP(Assumptions!AC$2,TIAM15_assumptions!$Y$3:$Z$87,2,FALSE),TIAM15_assumptions!$H$2:$V$2,0))</f>
        <v>0</v>
      </c>
      <c r="AD85" s="57">
        <f ca="1">OFFSET(TIAM15_assumptions!$G85,0,MATCH(VLOOKUP(Assumptions!AD$2,TIAM15_assumptions!$Y$3:$Z$87,2,FALSE),TIAM15_assumptions!$H$2:$V$2,0))</f>
        <v>0</v>
      </c>
      <c r="AE85" s="57">
        <f ca="1">OFFSET(TIAM15_assumptions!$G85,0,MATCH(VLOOKUP(Assumptions!AE$2,TIAM15_assumptions!$Y$3:$Z$87,2,FALSE),TIAM15_assumptions!$H$2:$V$2,0))</f>
        <v>0</v>
      </c>
      <c r="AF85" s="57">
        <f ca="1">OFFSET(TIAM15_assumptions!$G85,0,MATCH(VLOOKUP(Assumptions!AF$2,TIAM15_assumptions!$Y$3:$Z$87,2,FALSE),TIAM15_assumptions!$H$2:$V$2,0))</f>
        <v>0</v>
      </c>
      <c r="AG85" s="57">
        <f ca="1">OFFSET(TIAM15_assumptions!$G85,0,MATCH(VLOOKUP(Assumptions!AG$2,TIAM15_assumptions!$Y$3:$Z$87,2,FALSE),TIAM15_assumptions!$H$2:$V$2,0))</f>
        <v>0</v>
      </c>
      <c r="AH85" s="57">
        <f ca="1">OFFSET(TIAM15_assumptions!$G85,0,MATCH(VLOOKUP(Assumptions!AH$2,TIAM15_assumptions!$Y$3:$Z$87,2,FALSE),TIAM15_assumptions!$H$2:$V$2,0))</f>
        <v>0</v>
      </c>
      <c r="AI85" s="57">
        <f ca="1">OFFSET(TIAM15_assumptions!$G85,0,MATCH(VLOOKUP(Assumptions!AI$2,TIAM15_assumptions!$Y$3:$Z$87,2,FALSE),TIAM15_assumptions!$H$2:$V$2,0))</f>
        <v>0</v>
      </c>
      <c r="AJ85" s="57">
        <f ca="1">OFFSET(TIAM15_assumptions!$G85,0,MATCH(VLOOKUP(Assumptions!AJ$2,TIAM15_assumptions!$Y$3:$Z$87,2,FALSE),TIAM15_assumptions!$H$2:$V$2,0))</f>
        <v>0</v>
      </c>
      <c r="AK85" s="57">
        <f ca="1">OFFSET(TIAM15_assumptions!$G85,0,MATCH(VLOOKUP(Assumptions!AK$2,TIAM15_assumptions!$Y$3:$Z$87,2,FALSE),TIAM15_assumptions!$H$2:$V$2,0))</f>
        <v>0</v>
      </c>
      <c r="AL85" s="57">
        <f ca="1">OFFSET(TIAM15_assumptions!$G85,0,MATCH(VLOOKUP(Assumptions!AL$2,TIAM15_assumptions!$Y$3:$Z$87,2,FALSE),TIAM15_assumptions!$H$2:$V$2,0))</f>
        <v>0</v>
      </c>
      <c r="AM85" s="57">
        <f ca="1">OFFSET(TIAM15_assumptions!$G85,0,MATCH(VLOOKUP(Assumptions!AM$2,TIAM15_assumptions!$Y$3:$Z$87,2,FALSE),TIAM15_assumptions!$H$2:$V$2,0))</f>
        <v>0</v>
      </c>
      <c r="AN85" s="57">
        <f ca="1">OFFSET(TIAM15_assumptions!$G85,0,MATCH(VLOOKUP(Assumptions!AN$2,TIAM15_assumptions!$Y$3:$Z$87,2,FALSE),TIAM15_assumptions!$H$2:$V$2,0))</f>
        <v>0</v>
      </c>
      <c r="AO85" s="57">
        <f ca="1">OFFSET(TIAM15_assumptions!$G85,0,MATCH(VLOOKUP(Assumptions!AO$2,TIAM15_assumptions!$Y$3:$Z$87,2,FALSE),TIAM15_assumptions!$H$2:$V$2,0))</f>
        <v>0</v>
      </c>
      <c r="AP85" s="57">
        <f ca="1">OFFSET(TIAM15_assumptions!$G85,0,MATCH(VLOOKUP(Assumptions!AP$2,TIAM15_assumptions!$Y$3:$Z$87,2,FALSE),TIAM15_assumptions!$H$2:$V$2,0))</f>
        <v>0</v>
      </c>
      <c r="AQ85" s="57">
        <f ca="1">OFFSET(TIAM15_assumptions!$G85,0,MATCH(VLOOKUP(Assumptions!AQ$2,TIAM15_assumptions!$Y$3:$Z$87,2,FALSE),TIAM15_assumptions!$H$2:$V$2,0))</f>
        <v>0</v>
      </c>
      <c r="AR85" s="57">
        <f ca="1">OFFSET(TIAM15_assumptions!$G85,0,MATCH(VLOOKUP(Assumptions!AR$2,TIAM15_assumptions!$Y$3:$Z$87,2,FALSE),TIAM15_assumptions!$H$2:$V$2,0))</f>
        <v>0</v>
      </c>
      <c r="AS85" s="57">
        <f ca="1">OFFSET(TIAM15_assumptions!$G85,0,MATCH(VLOOKUP(Assumptions!AS$2,TIAM15_assumptions!$Y$3:$Z$87,2,FALSE),TIAM15_assumptions!$H$2:$V$2,0))</f>
        <v>0</v>
      </c>
      <c r="AT85" s="57">
        <f ca="1">OFFSET(TIAM15_assumptions!$G85,0,MATCH(VLOOKUP(Assumptions!AT$2,TIAM15_assumptions!$Y$3:$Z$87,2,FALSE),TIAM15_assumptions!$H$2:$V$2,0))</f>
        <v>0</v>
      </c>
      <c r="AU85" s="57">
        <f ca="1">OFFSET(TIAM15_assumptions!$G85,0,MATCH(VLOOKUP(Assumptions!AU$2,TIAM15_assumptions!$Y$3:$Z$87,2,FALSE),TIAM15_assumptions!$H$2:$V$2,0))</f>
        <v>0</v>
      </c>
      <c r="AV85" s="57">
        <f ca="1">OFFSET(TIAM15_assumptions!$G85,0,MATCH(VLOOKUP(Assumptions!AV$2,TIAM15_assumptions!$Y$3:$Z$87,2,FALSE),TIAM15_assumptions!$H$2:$V$2,0))</f>
        <v>0</v>
      </c>
      <c r="AW85" s="57">
        <f ca="1">OFFSET(TIAM15_assumptions!$G85,0,MATCH(VLOOKUP(Assumptions!AW$2,TIAM15_assumptions!$Y$3:$Z$87,2,FALSE),TIAM15_assumptions!$H$2:$V$2,0))</f>
        <v>0</v>
      </c>
      <c r="AX85" s="57">
        <f ca="1">OFFSET(TIAM15_assumptions!$G85,0,MATCH(VLOOKUP(Assumptions!AX$2,TIAM15_assumptions!$Y$3:$Z$87,2,FALSE),TIAM15_assumptions!$H$2:$V$2,0))</f>
        <v>0</v>
      </c>
      <c r="AY85" s="57">
        <f ca="1">OFFSET(TIAM15_assumptions!$G85,0,MATCH(VLOOKUP(Assumptions!AY$2,TIAM15_assumptions!$Y$3:$Z$87,2,FALSE),TIAM15_assumptions!$H$2:$V$2,0))</f>
        <v>0</v>
      </c>
      <c r="AZ85" s="57">
        <f ca="1">OFFSET(TIAM15_assumptions!$G85,0,MATCH(VLOOKUP(Assumptions!AZ$2,TIAM15_assumptions!$Y$3:$Z$87,2,FALSE),TIAM15_assumptions!$H$2:$V$2,0))</f>
        <v>0</v>
      </c>
      <c r="BA85" s="57">
        <f ca="1">OFFSET(TIAM15_assumptions!$G85,0,MATCH(VLOOKUP(Assumptions!BA$2,TIAM15_assumptions!$Y$3:$Z$87,2,FALSE),TIAM15_assumptions!$H$2:$V$2,0))</f>
        <v>0</v>
      </c>
      <c r="BD85" s="40">
        <f ca="1">IFERROR(SUMIFS('TRA balance'!E$5:E$40,'TRA balance'!$C$5:$C$40,Assumptions!$C85,'TRA balance'!$D$5:$D$40,Assumptions!$B85)*CY85*H85,"")</f>
        <v>0</v>
      </c>
      <c r="BE85" s="40">
        <f ca="1">IFERROR(SUMIFS('TRA balance'!F$5:F$40,'TRA balance'!$C$5:$C$40,Assumptions!$C85,'TRA balance'!$D$5:$D$40,Assumptions!$B85)*CZ85*I85,"")</f>
        <v>0</v>
      </c>
      <c r="BF85" s="40">
        <f ca="1">IFERROR(SUMIFS('TRA balance'!G$5:G$40,'TRA balance'!$C$5:$C$40,Assumptions!$C85,'TRA balance'!$D$5:$D$40,Assumptions!$B85)*DA85*J85,"")</f>
        <v>0</v>
      </c>
      <c r="BG85" s="40">
        <f ca="1">IFERROR(SUMIFS('TRA balance'!H$5:H$40,'TRA balance'!$C$5:$C$40,Assumptions!$C85,'TRA balance'!$D$5:$D$40,Assumptions!$B85)*DB85*K85,"")</f>
        <v>0</v>
      </c>
      <c r="BH85" s="40">
        <f ca="1">IFERROR(SUMIFS('TRA balance'!I$5:I$40,'TRA balance'!$C$5:$C$40,Assumptions!$C85,'TRA balance'!$D$5:$D$40,Assumptions!$B85)*DC85*L85,"")</f>
        <v>0</v>
      </c>
      <c r="BI85" s="40">
        <f ca="1">IFERROR(SUMIFS('TRA balance'!J$5:J$40,'TRA balance'!$C$5:$C$40,Assumptions!$C85,'TRA balance'!$D$5:$D$40,Assumptions!$B85)*DD85*M85,"")</f>
        <v>0</v>
      </c>
      <c r="BJ85" s="40">
        <f ca="1">IFERROR(SUMIFS('TRA balance'!K$5:K$40,'TRA balance'!$C$5:$C$40,Assumptions!$C85,'TRA balance'!$D$5:$D$40,Assumptions!$B85)*DE85*N85,"")</f>
        <v>0</v>
      </c>
      <c r="BK85" s="40">
        <f ca="1">IFERROR(SUMIFS('TRA balance'!L$5:L$40,'TRA balance'!$C$5:$C$40,Assumptions!$C85,'TRA balance'!$D$5:$D$40,Assumptions!$B85)*DF85*O85,"")</f>
        <v>0</v>
      </c>
      <c r="BL85" s="40">
        <f ca="1">IFERROR(SUMIFS('TRA balance'!M$5:M$40,'TRA balance'!$C$5:$C$40,Assumptions!$C85,'TRA balance'!$D$5:$D$40,Assumptions!$B85)*DG85*P85,"")</f>
        <v>0</v>
      </c>
      <c r="BM85" s="40">
        <f ca="1">IFERROR(SUMIFS('TRA balance'!N$5:N$40,'TRA balance'!$C$5:$C$40,Assumptions!$C85,'TRA balance'!$D$5:$D$40,Assumptions!$B85)*DH85*Q85,"")</f>
        <v>0</v>
      </c>
      <c r="BN85" s="40">
        <f ca="1">IFERROR(SUMIFS('TRA balance'!O$5:O$40,'TRA balance'!$C$5:$C$40,Assumptions!$C85,'TRA balance'!$D$5:$D$40,Assumptions!$B85)*DI85*R85,"")</f>
        <v>0</v>
      </c>
      <c r="BO85" s="40">
        <f ca="1">IFERROR(SUMIFS('TRA balance'!P$5:P$40,'TRA balance'!$C$5:$C$40,Assumptions!$C85,'TRA balance'!$D$5:$D$40,Assumptions!$B85)*DJ85*S85,"")</f>
        <v>0</v>
      </c>
      <c r="BP85" s="40">
        <f ca="1">IFERROR(SUMIFS('TRA balance'!Q$5:Q$40,'TRA balance'!$C$5:$C$40,Assumptions!$C85,'TRA balance'!$D$5:$D$40,Assumptions!$B85)*DK85*T85,"")</f>
        <v>0</v>
      </c>
      <c r="BQ85" s="40">
        <f ca="1">IFERROR(SUMIFS('TRA balance'!R$5:R$40,'TRA balance'!$C$5:$C$40,Assumptions!$C85,'TRA balance'!$D$5:$D$40,Assumptions!$B85)*DL85*U85,"")</f>
        <v>0</v>
      </c>
      <c r="BR85" s="40">
        <f ca="1">IFERROR(SUMIFS('TRA balance'!S$5:S$40,'TRA balance'!$C$5:$C$40,Assumptions!$C85,'TRA balance'!$D$5:$D$40,Assumptions!$B85)*DM85*V85,"")</f>
        <v>0</v>
      </c>
      <c r="BS85" s="40">
        <f ca="1">IFERROR(SUMIFS('TRA balance'!T$5:T$40,'TRA balance'!$C$5:$C$40,Assumptions!$C85,'TRA balance'!$D$5:$D$40,Assumptions!$B85)*DN85*W85,"")</f>
        <v>0</v>
      </c>
      <c r="BT85" s="40">
        <f ca="1">IFERROR(SUMIFS('TRA balance'!U$5:U$40,'TRA balance'!$C$5:$C$40,Assumptions!$C85,'TRA balance'!$D$5:$D$40,Assumptions!$B85)*DO85*X85,"")</f>
        <v>0</v>
      </c>
      <c r="BU85" s="40">
        <f ca="1">IFERROR(SUMIFS('TRA balance'!V$5:V$40,'TRA balance'!$C$5:$C$40,Assumptions!$C85,'TRA balance'!$D$5:$D$40,Assumptions!$B85)*DP85*Y85,"")</f>
        <v>0</v>
      </c>
      <c r="BV85" s="40">
        <f ca="1">IFERROR(SUMIFS('TRA balance'!W$5:W$40,'TRA balance'!$C$5:$C$40,Assumptions!$C85,'TRA balance'!$D$5:$D$40,Assumptions!$B85)*DQ85*Z85,"")</f>
        <v>0</v>
      </c>
      <c r="BW85" s="40">
        <f ca="1">IFERROR(SUMIFS('TRA balance'!X$5:X$40,'TRA balance'!$C$5:$C$40,Assumptions!$C85,'TRA balance'!$D$5:$D$40,Assumptions!$B85)*DR85*AA85,"")</f>
        <v>0</v>
      </c>
      <c r="BX85" s="40">
        <f ca="1">IFERROR(SUMIFS('TRA balance'!Y$5:Y$40,'TRA balance'!$C$5:$C$40,Assumptions!$C85,'TRA balance'!$D$5:$D$40,Assumptions!$B85)*DS85*AB85,"")</f>
        <v>0</v>
      </c>
      <c r="BY85" s="40">
        <f ca="1">IFERROR(SUMIFS('TRA balance'!Z$5:Z$40,'TRA balance'!$C$5:$C$40,Assumptions!$C85,'TRA balance'!$D$5:$D$40,Assumptions!$B85)*DT85*AC85,"")</f>
        <v>0</v>
      </c>
      <c r="BZ85" s="40">
        <f ca="1">IFERROR(SUMIFS('TRA balance'!AA$5:AA$40,'TRA balance'!$C$5:$C$40,Assumptions!$C85,'TRA balance'!$D$5:$D$40,Assumptions!$B85)*DU85*AD85,"")</f>
        <v>0</v>
      </c>
      <c r="CA85" s="40">
        <f ca="1">IFERROR(SUMIFS('TRA balance'!AB$5:AB$40,'TRA balance'!$C$5:$C$40,Assumptions!$C85,'TRA balance'!$D$5:$D$40,Assumptions!$B85)*DV85*AE85,"")</f>
        <v>0</v>
      </c>
      <c r="CB85" s="40">
        <f ca="1">IFERROR(SUMIFS('TRA balance'!AC$5:AC$40,'TRA balance'!$C$5:$C$40,Assumptions!$C85,'TRA balance'!$D$5:$D$40,Assumptions!$B85)*DW85*AF85,"")</f>
        <v>0</v>
      </c>
      <c r="CC85" s="40">
        <f ca="1">IFERROR(SUMIFS('TRA balance'!AD$5:AD$40,'TRA balance'!$C$5:$C$40,Assumptions!$C85,'TRA balance'!$D$5:$D$40,Assumptions!$B85)*DX85*AG85,"")</f>
        <v>0</v>
      </c>
      <c r="CD85" s="40">
        <f ca="1">IFERROR(SUMIFS('TRA balance'!AE$5:AE$40,'TRA balance'!$C$5:$C$40,Assumptions!$C85,'TRA balance'!$D$5:$D$40,Assumptions!$B85)*DY85*AH85,"")</f>
        <v>0</v>
      </c>
      <c r="CE85" s="40">
        <f ca="1">IFERROR(SUMIFS('TRA balance'!AF$5:AF$40,'TRA balance'!$C$5:$C$40,Assumptions!$C85,'TRA balance'!$D$5:$D$40,Assumptions!$B85)*DZ85*AI85,"")</f>
        <v>0</v>
      </c>
      <c r="CF85" s="40">
        <f ca="1">IFERROR(SUMIFS('TRA balance'!AG$5:AG$40,'TRA balance'!$C$5:$C$40,Assumptions!$C85,'TRA balance'!$D$5:$D$40,Assumptions!$B85)*EA85*AJ85,"")</f>
        <v>0</v>
      </c>
      <c r="CG85" s="40">
        <f ca="1">IFERROR(SUMIFS('TRA balance'!AH$5:AH$40,'TRA balance'!$C$5:$C$40,Assumptions!$C85,'TRA balance'!$D$5:$D$40,Assumptions!$B85)*EB85*AK85,"")</f>
        <v>0</v>
      </c>
      <c r="CH85" s="40">
        <f ca="1">IFERROR(SUMIFS('TRA balance'!AI$5:AI$40,'TRA balance'!$C$5:$C$40,Assumptions!$C85,'TRA balance'!$D$5:$D$40,Assumptions!$B85)*EC85*AL85,"")</f>
        <v>0</v>
      </c>
      <c r="CI85" s="40">
        <f ca="1">IFERROR(SUMIFS('TRA balance'!AJ$5:AJ$40,'TRA balance'!$C$5:$C$40,Assumptions!$C85,'TRA balance'!$D$5:$D$40,Assumptions!$B85)*ED85*AM85,"")</f>
        <v>0</v>
      </c>
      <c r="CJ85" s="40">
        <f ca="1">IFERROR(SUMIFS('TRA balance'!AK$5:AK$40,'TRA balance'!$C$5:$C$40,Assumptions!$C85,'TRA balance'!$D$5:$D$40,Assumptions!$B85)*EE85*AN85,"")</f>
        <v>0</v>
      </c>
      <c r="CK85" s="40">
        <f ca="1">IFERROR(SUMIFS('TRA balance'!AL$5:AL$40,'TRA balance'!$C$5:$C$40,Assumptions!$C85,'TRA balance'!$D$5:$D$40,Assumptions!$B85)*EF85*AO85,"")</f>
        <v>0</v>
      </c>
      <c r="CL85" s="40">
        <f ca="1">IFERROR(SUMIFS('TRA balance'!AM$5:AM$40,'TRA balance'!$C$5:$C$40,Assumptions!$C85,'TRA balance'!$D$5:$D$40,Assumptions!$B85)*EG85*AP85,"")</f>
        <v>0</v>
      </c>
      <c r="CM85" s="40">
        <f ca="1">IFERROR(SUMIFS('TRA balance'!AN$5:AN$40,'TRA balance'!$C$5:$C$40,Assumptions!$C85,'TRA balance'!$D$5:$D$40,Assumptions!$B85)*EH85*AQ85,"")</f>
        <v>0</v>
      </c>
      <c r="CN85" s="40">
        <f ca="1">IFERROR(SUMIFS('TRA balance'!AO$5:AO$40,'TRA balance'!$C$5:$C$40,Assumptions!$C85,'TRA balance'!$D$5:$D$40,Assumptions!$B85)*EI85*AR85,"")</f>
        <v>0</v>
      </c>
      <c r="CO85" s="40">
        <f ca="1">IFERROR(SUMIFS('TRA balance'!AP$5:AP$40,'TRA balance'!$C$5:$C$40,Assumptions!$C85,'TRA balance'!$D$5:$D$40,Assumptions!$B85)*EJ85*AS85,"")</f>
        <v>0</v>
      </c>
      <c r="CP85" s="40">
        <f ca="1">IFERROR(SUMIFS('TRA balance'!AQ$5:AQ$40,'TRA balance'!$C$5:$C$40,Assumptions!$C85,'TRA balance'!$D$5:$D$40,Assumptions!$B85)*EK85*AT85,"")</f>
        <v>0</v>
      </c>
      <c r="CQ85" s="40">
        <f ca="1">IFERROR(SUMIFS('TRA balance'!AR$5:AR$40,'TRA balance'!$C$5:$C$40,Assumptions!$C85,'TRA balance'!$D$5:$D$40,Assumptions!$B85)*EL85*AU85,"")</f>
        <v>0</v>
      </c>
      <c r="CR85" s="40">
        <f ca="1">IFERROR(SUMIFS('TRA balance'!AS$5:AS$40,'TRA balance'!$C$5:$C$40,Assumptions!$C85,'TRA balance'!$D$5:$D$40,Assumptions!$B85)*EM85*AV85,"")</f>
        <v>0</v>
      </c>
      <c r="CS85" s="40">
        <f ca="1">IFERROR(SUMIFS('TRA balance'!AT$5:AT$40,'TRA balance'!$C$5:$C$40,Assumptions!$C85,'TRA balance'!$D$5:$D$40,Assumptions!$B85)*EN85*AW85,"")</f>
        <v>0</v>
      </c>
      <c r="CT85" s="40">
        <f ca="1">IFERROR(SUMIFS('TRA balance'!AU$5:AU$40,'TRA balance'!$C$5:$C$40,Assumptions!$C85,'TRA balance'!$D$5:$D$40,Assumptions!$B85)*EO85*AX85,"")</f>
        <v>0</v>
      </c>
      <c r="CU85" s="40">
        <f ca="1">IFERROR(SUMIFS('TRA balance'!AV$5:AV$40,'TRA balance'!$C$5:$C$40,Assumptions!$C85,'TRA balance'!$D$5:$D$40,Assumptions!$B85)*EP85*AY85,"")</f>
        <v>0</v>
      </c>
      <c r="CV85" s="40">
        <f ca="1">IFERROR(SUMIFS('TRA balance'!AW$5:AW$40,'TRA balance'!$C$5:$C$40,Assumptions!$C85,'TRA balance'!$D$5:$D$40,Assumptions!$B85)*EQ85*AZ85,"")</f>
        <v>0</v>
      </c>
      <c r="CW85" s="40">
        <f ca="1">IFERROR(SUMIFS('TRA balance'!AX$5:AX$40,'TRA balance'!$C$5:$C$40,Assumptions!$C85,'TRA balance'!$D$5:$D$40,Assumptions!$B85)*ER85*BA85,"")</f>
        <v>0</v>
      </c>
      <c r="CY85" s="39">
        <f ca="1" t="shared" si="86"/>
        <v>1</v>
      </c>
      <c r="CZ85" s="39">
        <f ca="1" t="shared" si="87"/>
        <v>1</v>
      </c>
      <c r="DA85" s="39">
        <f ca="1" t="shared" si="88"/>
        <v>1</v>
      </c>
      <c r="DB85" s="39">
        <f ca="1" t="shared" si="89"/>
        <v>1</v>
      </c>
      <c r="DC85" s="39">
        <f ca="1" t="shared" si="90"/>
        <v>1</v>
      </c>
      <c r="DD85" s="39">
        <f ca="1" t="shared" si="91"/>
        <v>1</v>
      </c>
      <c r="DE85" s="39">
        <f ca="1" t="shared" si="92"/>
        <v>1</v>
      </c>
      <c r="DF85" s="39">
        <f ca="1" t="shared" si="93"/>
        <v>1</v>
      </c>
      <c r="DG85" s="39">
        <f ca="1" t="shared" si="94"/>
        <v>1</v>
      </c>
      <c r="DH85" s="39">
        <f ca="1" t="shared" si="95"/>
        <v>1</v>
      </c>
      <c r="DI85" s="39">
        <f ca="1" t="shared" si="96"/>
        <v>1</v>
      </c>
      <c r="DJ85" s="39">
        <f ca="1" t="shared" si="97"/>
        <v>1</v>
      </c>
      <c r="DK85" s="39">
        <f ca="1" t="shared" si="98"/>
        <v>1</v>
      </c>
      <c r="DL85" s="39">
        <f ca="1" t="shared" si="99"/>
        <v>1</v>
      </c>
      <c r="DM85" s="39">
        <f ca="1" t="shared" si="100"/>
        <v>1</v>
      </c>
      <c r="DN85" s="39">
        <f ca="1" t="shared" si="101"/>
        <v>1</v>
      </c>
      <c r="DO85" s="39">
        <f ca="1" t="shared" si="102"/>
        <v>1</v>
      </c>
      <c r="DP85" s="39">
        <f ca="1" t="shared" si="103"/>
        <v>1</v>
      </c>
      <c r="DQ85" s="39">
        <f ca="1" t="shared" si="104"/>
        <v>1</v>
      </c>
      <c r="DR85" s="39">
        <f ca="1" t="shared" si="105"/>
        <v>1</v>
      </c>
      <c r="DS85" s="39">
        <f ca="1" t="shared" si="106"/>
        <v>1</v>
      </c>
      <c r="DT85" s="39">
        <f ca="1" t="shared" si="107"/>
        <v>1</v>
      </c>
      <c r="DU85" s="39">
        <f ca="1" t="shared" si="108"/>
        <v>1</v>
      </c>
      <c r="DV85" s="39">
        <f ca="1" t="shared" si="109"/>
        <v>1</v>
      </c>
      <c r="DW85" s="39">
        <f ca="1" t="shared" si="110"/>
        <v>1</v>
      </c>
      <c r="DX85" s="39">
        <f ca="1" t="shared" si="111"/>
        <v>1</v>
      </c>
      <c r="DY85" s="39">
        <f ca="1" t="shared" si="112"/>
        <v>1</v>
      </c>
      <c r="DZ85" s="39">
        <f ca="1" t="shared" si="113"/>
        <v>1</v>
      </c>
      <c r="EA85" s="39">
        <f ca="1" t="shared" si="114"/>
        <v>1</v>
      </c>
      <c r="EB85" s="39">
        <f ca="1" t="shared" si="115"/>
        <v>1</v>
      </c>
      <c r="EC85" s="39">
        <f ca="1" t="shared" si="116"/>
        <v>1</v>
      </c>
      <c r="ED85" s="39">
        <f ca="1" t="shared" si="117"/>
        <v>1</v>
      </c>
      <c r="EE85" s="39">
        <f ca="1" t="shared" si="118"/>
        <v>1</v>
      </c>
      <c r="EF85" s="39">
        <f ca="1" t="shared" si="119"/>
        <v>1</v>
      </c>
      <c r="EG85" s="39">
        <f ca="1" t="shared" si="120"/>
        <v>1</v>
      </c>
      <c r="EH85" s="39">
        <f ca="1" t="shared" si="121"/>
        <v>1</v>
      </c>
      <c r="EI85" s="39">
        <f ca="1" t="shared" si="122"/>
        <v>1</v>
      </c>
      <c r="EJ85" s="39">
        <f ca="1" t="shared" si="123"/>
        <v>1</v>
      </c>
      <c r="EK85" s="39">
        <f ca="1" t="shared" si="124"/>
        <v>1</v>
      </c>
      <c r="EL85" s="39">
        <f ca="1" t="shared" si="125"/>
        <v>1</v>
      </c>
      <c r="EM85" s="39">
        <f ca="1" t="shared" si="126"/>
        <v>1</v>
      </c>
      <c r="EN85" s="39">
        <f ca="1" t="shared" si="127"/>
        <v>1</v>
      </c>
      <c r="EO85" s="39">
        <f ca="1" t="shared" si="128"/>
        <v>1</v>
      </c>
      <c r="EP85" s="39">
        <f ca="1" t="shared" si="129"/>
        <v>1</v>
      </c>
      <c r="EQ85" s="39">
        <f ca="1" t="shared" si="130"/>
        <v>1</v>
      </c>
      <c r="ER85" s="39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4" t="str">
        <f t="shared" si="133"/>
        <v>TR</v>
      </c>
      <c r="D86" s="55" t="s">
        <v>200</v>
      </c>
      <c r="E86" s="66" t="s">
        <v>216</v>
      </c>
      <c r="F86" s="56" t="str">
        <f t="shared" si="141"/>
        <v>Bio Gasoline</v>
      </c>
      <c r="G86" s="54" t="s">
        <v>217</v>
      </c>
      <c r="H86" s="57">
        <f ca="1">OFFSET(TIAM15_assumptions!$G86,0,MATCH(VLOOKUP(Assumptions!H$2,TIAM15_assumptions!$Y$3:$Z$87,2,FALSE),TIAM15_assumptions!$H$2:$V$2,0))</f>
        <v>0</v>
      </c>
      <c r="I86" s="57">
        <f ca="1">OFFSET(TIAM15_assumptions!$G86,0,MATCH(VLOOKUP(Assumptions!I$2,TIAM15_assumptions!$Y$3:$Z$87,2,FALSE),TIAM15_assumptions!$H$2:$V$2,0))</f>
        <v>0</v>
      </c>
      <c r="J86" s="57">
        <f ca="1">OFFSET(TIAM15_assumptions!$G86,0,MATCH(VLOOKUP(Assumptions!J$2,TIAM15_assumptions!$Y$3:$Z$87,2,FALSE),TIAM15_assumptions!$H$2:$V$2,0))</f>
        <v>0</v>
      </c>
      <c r="K86" s="57">
        <f ca="1">OFFSET(TIAM15_assumptions!$G86,0,MATCH(VLOOKUP(Assumptions!K$2,TIAM15_assumptions!$Y$3:$Z$87,2,FALSE),TIAM15_assumptions!$H$2:$V$2,0))</f>
        <v>0</v>
      </c>
      <c r="L86" s="57">
        <f ca="1">OFFSET(TIAM15_assumptions!$G86,0,MATCH(VLOOKUP(Assumptions!L$2,TIAM15_assumptions!$Y$3:$Z$87,2,FALSE),TIAM15_assumptions!$H$2:$V$2,0))</f>
        <v>0</v>
      </c>
      <c r="M86" s="57">
        <f ca="1">OFFSET(TIAM15_assumptions!$G86,0,MATCH(VLOOKUP(Assumptions!M$2,TIAM15_assumptions!$Y$3:$Z$87,2,FALSE),TIAM15_assumptions!$H$2:$V$2,0))</f>
        <v>0</v>
      </c>
      <c r="N86" s="57">
        <f ca="1">OFFSET(TIAM15_assumptions!$G86,0,MATCH(VLOOKUP(Assumptions!N$2,TIAM15_assumptions!$Y$3:$Z$87,2,FALSE),TIAM15_assumptions!$H$2:$V$2,0))</f>
        <v>0</v>
      </c>
      <c r="O86" s="57">
        <f ca="1">OFFSET(TIAM15_assumptions!$G86,0,MATCH(VLOOKUP(Assumptions!O$2,TIAM15_assumptions!$Y$3:$Z$87,2,FALSE),TIAM15_assumptions!$H$2:$V$2,0))</f>
        <v>0</v>
      </c>
      <c r="P86" s="57">
        <f ca="1">OFFSET(TIAM15_assumptions!$G86,0,MATCH(VLOOKUP(Assumptions!P$2,TIAM15_assumptions!$Y$3:$Z$87,2,FALSE),TIAM15_assumptions!$H$2:$V$2,0))</f>
        <v>0</v>
      </c>
      <c r="Q86" s="57">
        <f ca="1">OFFSET(TIAM15_assumptions!$G86,0,MATCH(VLOOKUP(Assumptions!Q$2,TIAM15_assumptions!$Y$3:$Z$87,2,FALSE),TIAM15_assumptions!$H$2:$V$2,0))</f>
        <v>0</v>
      </c>
      <c r="R86" s="57">
        <f ca="1">OFFSET(TIAM15_assumptions!$G86,0,MATCH(VLOOKUP(Assumptions!R$2,TIAM15_assumptions!$Y$3:$Z$87,2,FALSE),TIAM15_assumptions!$H$2:$V$2,0))</f>
        <v>0</v>
      </c>
      <c r="S86" s="57">
        <f ca="1">OFFSET(TIAM15_assumptions!$G86,0,MATCH(VLOOKUP(Assumptions!S$2,TIAM15_assumptions!$Y$3:$Z$87,2,FALSE),TIAM15_assumptions!$H$2:$V$2,0))</f>
        <v>0</v>
      </c>
      <c r="T86" s="57">
        <f ca="1">OFFSET(TIAM15_assumptions!$G86,0,MATCH(VLOOKUP(Assumptions!T$2,TIAM15_assumptions!$Y$3:$Z$87,2,FALSE),TIAM15_assumptions!$H$2:$V$2,0))</f>
        <v>0</v>
      </c>
      <c r="U86" s="57">
        <f ca="1">OFFSET(TIAM15_assumptions!$G86,0,MATCH(VLOOKUP(Assumptions!U$2,TIAM15_assumptions!$Y$3:$Z$87,2,FALSE),TIAM15_assumptions!$H$2:$V$2,0))</f>
        <v>0</v>
      </c>
      <c r="V86" s="57">
        <f ca="1">OFFSET(TIAM15_assumptions!$G86,0,MATCH(VLOOKUP(Assumptions!V$2,TIAM15_assumptions!$Y$3:$Z$87,2,FALSE),TIAM15_assumptions!$H$2:$V$2,0))</f>
        <v>0</v>
      </c>
      <c r="W86" s="57">
        <f ca="1">OFFSET(TIAM15_assumptions!$G86,0,MATCH(VLOOKUP(Assumptions!W$2,TIAM15_assumptions!$Y$3:$Z$87,2,FALSE),TIAM15_assumptions!$H$2:$V$2,0))</f>
        <v>0</v>
      </c>
      <c r="X86" s="57">
        <f ca="1">OFFSET(TIAM15_assumptions!$G86,0,MATCH(VLOOKUP(Assumptions!X$2,TIAM15_assumptions!$Y$3:$Z$87,2,FALSE),TIAM15_assumptions!$H$2:$V$2,0))</f>
        <v>0</v>
      </c>
      <c r="Y86" s="57">
        <f ca="1">OFFSET(TIAM15_assumptions!$G86,0,MATCH(VLOOKUP(Assumptions!Y$2,TIAM15_assumptions!$Y$3:$Z$87,2,FALSE),TIAM15_assumptions!$H$2:$V$2,0))</f>
        <v>0</v>
      </c>
      <c r="Z86" s="57">
        <f ca="1">OFFSET(TIAM15_assumptions!$G86,0,MATCH(VLOOKUP(Assumptions!Z$2,TIAM15_assumptions!$Y$3:$Z$87,2,FALSE),TIAM15_assumptions!$H$2:$V$2,0))</f>
        <v>0</v>
      </c>
      <c r="AA86" s="57">
        <f ca="1">OFFSET(TIAM15_assumptions!$G86,0,MATCH(VLOOKUP(Assumptions!AA$2,TIAM15_assumptions!$Y$3:$Z$87,2,FALSE),TIAM15_assumptions!$H$2:$V$2,0))</f>
        <v>0</v>
      </c>
      <c r="AB86" s="57">
        <f ca="1">OFFSET(TIAM15_assumptions!$G86,0,MATCH(VLOOKUP(Assumptions!AB$2,TIAM15_assumptions!$Y$3:$Z$87,2,FALSE),TIAM15_assumptions!$H$2:$V$2,0))</f>
        <v>0</v>
      </c>
      <c r="AC86" s="57">
        <f ca="1">OFFSET(TIAM15_assumptions!$G86,0,MATCH(VLOOKUP(Assumptions!AC$2,TIAM15_assumptions!$Y$3:$Z$87,2,FALSE),TIAM15_assumptions!$H$2:$V$2,0))</f>
        <v>0</v>
      </c>
      <c r="AD86" s="57">
        <f ca="1">OFFSET(TIAM15_assumptions!$G86,0,MATCH(VLOOKUP(Assumptions!AD$2,TIAM15_assumptions!$Y$3:$Z$87,2,FALSE),TIAM15_assumptions!$H$2:$V$2,0))</f>
        <v>0</v>
      </c>
      <c r="AE86" s="57">
        <f ca="1">OFFSET(TIAM15_assumptions!$G86,0,MATCH(VLOOKUP(Assumptions!AE$2,TIAM15_assumptions!$Y$3:$Z$87,2,FALSE),TIAM15_assumptions!$H$2:$V$2,0))</f>
        <v>0</v>
      </c>
      <c r="AF86" s="57">
        <f ca="1">OFFSET(TIAM15_assumptions!$G86,0,MATCH(VLOOKUP(Assumptions!AF$2,TIAM15_assumptions!$Y$3:$Z$87,2,FALSE),TIAM15_assumptions!$H$2:$V$2,0))</f>
        <v>0</v>
      </c>
      <c r="AG86" s="57">
        <f ca="1">OFFSET(TIAM15_assumptions!$G86,0,MATCH(VLOOKUP(Assumptions!AG$2,TIAM15_assumptions!$Y$3:$Z$87,2,FALSE),TIAM15_assumptions!$H$2:$V$2,0))</f>
        <v>0</v>
      </c>
      <c r="AH86" s="57">
        <f ca="1">OFFSET(TIAM15_assumptions!$G86,0,MATCH(VLOOKUP(Assumptions!AH$2,TIAM15_assumptions!$Y$3:$Z$87,2,FALSE),TIAM15_assumptions!$H$2:$V$2,0))</f>
        <v>0</v>
      </c>
      <c r="AI86" s="57">
        <f ca="1">OFFSET(TIAM15_assumptions!$G86,0,MATCH(VLOOKUP(Assumptions!AI$2,TIAM15_assumptions!$Y$3:$Z$87,2,FALSE),TIAM15_assumptions!$H$2:$V$2,0))</f>
        <v>0</v>
      </c>
      <c r="AJ86" s="57">
        <f ca="1">OFFSET(TIAM15_assumptions!$G86,0,MATCH(VLOOKUP(Assumptions!AJ$2,TIAM15_assumptions!$Y$3:$Z$87,2,FALSE),TIAM15_assumptions!$H$2:$V$2,0))</f>
        <v>0</v>
      </c>
      <c r="AK86" s="57">
        <f ca="1">OFFSET(TIAM15_assumptions!$G86,0,MATCH(VLOOKUP(Assumptions!AK$2,TIAM15_assumptions!$Y$3:$Z$87,2,FALSE),TIAM15_assumptions!$H$2:$V$2,0))</f>
        <v>0</v>
      </c>
      <c r="AL86" s="57">
        <f ca="1">OFFSET(TIAM15_assumptions!$G86,0,MATCH(VLOOKUP(Assumptions!AL$2,TIAM15_assumptions!$Y$3:$Z$87,2,FALSE),TIAM15_assumptions!$H$2:$V$2,0))</f>
        <v>0</v>
      </c>
      <c r="AM86" s="57">
        <f ca="1">OFFSET(TIAM15_assumptions!$G86,0,MATCH(VLOOKUP(Assumptions!AM$2,TIAM15_assumptions!$Y$3:$Z$87,2,FALSE),TIAM15_assumptions!$H$2:$V$2,0))</f>
        <v>0</v>
      </c>
      <c r="AN86" s="57">
        <f ca="1">OFFSET(TIAM15_assumptions!$G86,0,MATCH(VLOOKUP(Assumptions!AN$2,TIAM15_assumptions!$Y$3:$Z$87,2,FALSE),TIAM15_assumptions!$H$2:$V$2,0))</f>
        <v>0</v>
      </c>
      <c r="AO86" s="57">
        <f ca="1">OFFSET(TIAM15_assumptions!$G86,0,MATCH(VLOOKUP(Assumptions!AO$2,TIAM15_assumptions!$Y$3:$Z$87,2,FALSE),TIAM15_assumptions!$H$2:$V$2,0))</f>
        <v>0</v>
      </c>
      <c r="AP86" s="57">
        <f ca="1">OFFSET(TIAM15_assumptions!$G86,0,MATCH(VLOOKUP(Assumptions!AP$2,TIAM15_assumptions!$Y$3:$Z$87,2,FALSE),TIAM15_assumptions!$H$2:$V$2,0))</f>
        <v>0</v>
      </c>
      <c r="AQ86" s="57">
        <f ca="1">OFFSET(TIAM15_assumptions!$G86,0,MATCH(VLOOKUP(Assumptions!AQ$2,TIAM15_assumptions!$Y$3:$Z$87,2,FALSE),TIAM15_assumptions!$H$2:$V$2,0))</f>
        <v>0</v>
      </c>
      <c r="AR86" s="57">
        <f ca="1">OFFSET(TIAM15_assumptions!$G86,0,MATCH(VLOOKUP(Assumptions!AR$2,TIAM15_assumptions!$Y$3:$Z$87,2,FALSE),TIAM15_assumptions!$H$2:$V$2,0))</f>
        <v>0</v>
      </c>
      <c r="AS86" s="57">
        <f ca="1">OFFSET(TIAM15_assumptions!$G86,0,MATCH(VLOOKUP(Assumptions!AS$2,TIAM15_assumptions!$Y$3:$Z$87,2,FALSE),TIAM15_assumptions!$H$2:$V$2,0))</f>
        <v>0</v>
      </c>
      <c r="AT86" s="57">
        <f ca="1">OFFSET(TIAM15_assumptions!$G86,0,MATCH(VLOOKUP(Assumptions!AT$2,TIAM15_assumptions!$Y$3:$Z$87,2,FALSE),TIAM15_assumptions!$H$2:$V$2,0))</f>
        <v>0</v>
      </c>
      <c r="AU86" s="57">
        <f ca="1">OFFSET(TIAM15_assumptions!$G86,0,MATCH(VLOOKUP(Assumptions!AU$2,TIAM15_assumptions!$Y$3:$Z$87,2,FALSE),TIAM15_assumptions!$H$2:$V$2,0))</f>
        <v>0</v>
      </c>
      <c r="AV86" s="57">
        <f ca="1">OFFSET(TIAM15_assumptions!$G86,0,MATCH(VLOOKUP(Assumptions!AV$2,TIAM15_assumptions!$Y$3:$Z$87,2,FALSE),TIAM15_assumptions!$H$2:$V$2,0))</f>
        <v>0</v>
      </c>
      <c r="AW86" s="57">
        <f ca="1">OFFSET(TIAM15_assumptions!$G86,0,MATCH(VLOOKUP(Assumptions!AW$2,TIAM15_assumptions!$Y$3:$Z$87,2,FALSE),TIAM15_assumptions!$H$2:$V$2,0))</f>
        <v>0</v>
      </c>
      <c r="AX86" s="57">
        <f ca="1">OFFSET(TIAM15_assumptions!$G86,0,MATCH(VLOOKUP(Assumptions!AX$2,TIAM15_assumptions!$Y$3:$Z$87,2,FALSE),TIAM15_assumptions!$H$2:$V$2,0))</f>
        <v>0</v>
      </c>
      <c r="AY86" s="57">
        <f ca="1">OFFSET(TIAM15_assumptions!$G86,0,MATCH(VLOOKUP(Assumptions!AY$2,TIAM15_assumptions!$Y$3:$Z$87,2,FALSE),TIAM15_assumptions!$H$2:$V$2,0))</f>
        <v>0</v>
      </c>
      <c r="AZ86" s="57">
        <f ca="1">OFFSET(TIAM15_assumptions!$G86,0,MATCH(VLOOKUP(Assumptions!AZ$2,TIAM15_assumptions!$Y$3:$Z$87,2,FALSE),TIAM15_assumptions!$H$2:$V$2,0))</f>
        <v>0</v>
      </c>
      <c r="BA86" s="57">
        <f ca="1">OFFSET(TIAM15_assumptions!$G86,0,MATCH(VLOOKUP(Assumptions!BA$2,TIAM15_assumptions!$Y$3:$Z$87,2,FALSE),TIAM15_assumptions!$H$2:$V$2,0))</f>
        <v>0</v>
      </c>
      <c r="BD86" s="40">
        <f ca="1">IFERROR(SUMIFS('TRA balance'!E$5:E$40,'TRA balance'!$C$5:$C$40,Assumptions!$C86,'TRA balance'!$D$5:$D$40,Assumptions!$B86)*CY86*H86,"")</f>
        <v>0</v>
      </c>
      <c r="BE86" s="40">
        <f ca="1">IFERROR(SUMIFS('TRA balance'!F$5:F$40,'TRA balance'!$C$5:$C$40,Assumptions!$C86,'TRA balance'!$D$5:$D$40,Assumptions!$B86)*CZ86*I86,"")</f>
        <v>0</v>
      </c>
      <c r="BF86" s="40">
        <f ca="1">IFERROR(SUMIFS('TRA balance'!G$5:G$40,'TRA balance'!$C$5:$C$40,Assumptions!$C86,'TRA balance'!$D$5:$D$40,Assumptions!$B86)*DA86*J86,"")</f>
        <v>0</v>
      </c>
      <c r="BG86" s="40">
        <f ca="1">IFERROR(SUMIFS('TRA balance'!H$5:H$40,'TRA balance'!$C$5:$C$40,Assumptions!$C86,'TRA balance'!$D$5:$D$40,Assumptions!$B86)*DB86*K86,"")</f>
        <v>0</v>
      </c>
      <c r="BH86" s="40">
        <f ca="1">IFERROR(SUMIFS('TRA balance'!I$5:I$40,'TRA balance'!$C$5:$C$40,Assumptions!$C86,'TRA balance'!$D$5:$D$40,Assumptions!$B86)*DC86*L86,"")</f>
        <v>0</v>
      </c>
      <c r="BI86" s="40">
        <f ca="1">IFERROR(SUMIFS('TRA balance'!J$5:J$40,'TRA balance'!$C$5:$C$40,Assumptions!$C86,'TRA balance'!$D$5:$D$40,Assumptions!$B86)*DD86*M86,"")</f>
        <v>0</v>
      </c>
      <c r="BJ86" s="40">
        <f ca="1">IFERROR(SUMIFS('TRA balance'!K$5:K$40,'TRA balance'!$C$5:$C$40,Assumptions!$C86,'TRA balance'!$D$5:$D$40,Assumptions!$B86)*DE86*N86,"")</f>
        <v>0</v>
      </c>
      <c r="BK86" s="40">
        <f ca="1">IFERROR(SUMIFS('TRA balance'!L$5:L$40,'TRA balance'!$C$5:$C$40,Assumptions!$C86,'TRA balance'!$D$5:$D$40,Assumptions!$B86)*DF86*O86,"")</f>
        <v>0</v>
      </c>
      <c r="BL86" s="40">
        <f ca="1">IFERROR(SUMIFS('TRA balance'!M$5:M$40,'TRA balance'!$C$5:$C$40,Assumptions!$C86,'TRA balance'!$D$5:$D$40,Assumptions!$B86)*DG86*P86,"")</f>
        <v>0</v>
      </c>
      <c r="BM86" s="40">
        <f ca="1">IFERROR(SUMIFS('TRA balance'!N$5:N$40,'TRA balance'!$C$5:$C$40,Assumptions!$C86,'TRA balance'!$D$5:$D$40,Assumptions!$B86)*DH86*Q86,"")</f>
        <v>0</v>
      </c>
      <c r="BN86" s="40">
        <f ca="1">IFERROR(SUMIFS('TRA balance'!O$5:O$40,'TRA balance'!$C$5:$C$40,Assumptions!$C86,'TRA balance'!$D$5:$D$40,Assumptions!$B86)*DI86*R86,"")</f>
        <v>0</v>
      </c>
      <c r="BO86" s="40">
        <f ca="1">IFERROR(SUMIFS('TRA balance'!P$5:P$40,'TRA balance'!$C$5:$C$40,Assumptions!$C86,'TRA balance'!$D$5:$D$40,Assumptions!$B86)*DJ86*S86,"")</f>
        <v>0</v>
      </c>
      <c r="BP86" s="40">
        <f ca="1">IFERROR(SUMIFS('TRA balance'!Q$5:Q$40,'TRA balance'!$C$5:$C$40,Assumptions!$C86,'TRA balance'!$D$5:$D$40,Assumptions!$B86)*DK86*T86,"")</f>
        <v>0</v>
      </c>
      <c r="BQ86" s="40">
        <f ca="1">IFERROR(SUMIFS('TRA balance'!R$5:R$40,'TRA balance'!$C$5:$C$40,Assumptions!$C86,'TRA balance'!$D$5:$D$40,Assumptions!$B86)*DL86*U86,"")</f>
        <v>0</v>
      </c>
      <c r="BR86" s="40">
        <f ca="1">IFERROR(SUMIFS('TRA balance'!S$5:S$40,'TRA balance'!$C$5:$C$40,Assumptions!$C86,'TRA balance'!$D$5:$D$40,Assumptions!$B86)*DM86*V86,"")</f>
        <v>0</v>
      </c>
      <c r="BS86" s="40">
        <f ca="1">IFERROR(SUMIFS('TRA balance'!T$5:T$40,'TRA balance'!$C$5:$C$40,Assumptions!$C86,'TRA balance'!$D$5:$D$40,Assumptions!$B86)*DN86*W86,"")</f>
        <v>0</v>
      </c>
      <c r="BT86" s="40">
        <f ca="1">IFERROR(SUMIFS('TRA balance'!U$5:U$40,'TRA balance'!$C$5:$C$40,Assumptions!$C86,'TRA balance'!$D$5:$D$40,Assumptions!$B86)*DO86*X86,"")</f>
        <v>0</v>
      </c>
      <c r="BU86" s="40">
        <f ca="1">IFERROR(SUMIFS('TRA balance'!V$5:V$40,'TRA balance'!$C$5:$C$40,Assumptions!$C86,'TRA balance'!$D$5:$D$40,Assumptions!$B86)*DP86*Y86,"")</f>
        <v>0</v>
      </c>
      <c r="BV86" s="40">
        <f ca="1">IFERROR(SUMIFS('TRA balance'!W$5:W$40,'TRA balance'!$C$5:$C$40,Assumptions!$C86,'TRA balance'!$D$5:$D$40,Assumptions!$B86)*DQ86*Z86,"")</f>
        <v>0</v>
      </c>
      <c r="BW86" s="40">
        <f ca="1">IFERROR(SUMIFS('TRA balance'!X$5:X$40,'TRA balance'!$C$5:$C$40,Assumptions!$C86,'TRA balance'!$D$5:$D$40,Assumptions!$B86)*DR86*AA86,"")</f>
        <v>0</v>
      </c>
      <c r="BX86" s="40">
        <f ca="1">IFERROR(SUMIFS('TRA balance'!Y$5:Y$40,'TRA balance'!$C$5:$C$40,Assumptions!$C86,'TRA balance'!$D$5:$D$40,Assumptions!$B86)*DS86*AB86,"")</f>
        <v>0</v>
      </c>
      <c r="BY86" s="40">
        <f ca="1">IFERROR(SUMIFS('TRA balance'!Z$5:Z$40,'TRA balance'!$C$5:$C$40,Assumptions!$C86,'TRA balance'!$D$5:$D$40,Assumptions!$B86)*DT86*AC86,"")</f>
        <v>0</v>
      </c>
      <c r="BZ86" s="40">
        <f ca="1">IFERROR(SUMIFS('TRA balance'!AA$5:AA$40,'TRA balance'!$C$5:$C$40,Assumptions!$C86,'TRA balance'!$D$5:$D$40,Assumptions!$B86)*DU86*AD86,"")</f>
        <v>0</v>
      </c>
      <c r="CA86" s="40">
        <f ca="1">IFERROR(SUMIFS('TRA balance'!AB$5:AB$40,'TRA balance'!$C$5:$C$40,Assumptions!$C86,'TRA balance'!$D$5:$D$40,Assumptions!$B86)*DV86*AE86,"")</f>
        <v>0</v>
      </c>
      <c r="CB86" s="40">
        <f ca="1">IFERROR(SUMIFS('TRA balance'!AC$5:AC$40,'TRA balance'!$C$5:$C$40,Assumptions!$C86,'TRA balance'!$D$5:$D$40,Assumptions!$B86)*DW86*AF86,"")</f>
        <v>0</v>
      </c>
      <c r="CC86" s="40">
        <f ca="1">IFERROR(SUMIFS('TRA balance'!AD$5:AD$40,'TRA balance'!$C$5:$C$40,Assumptions!$C86,'TRA balance'!$D$5:$D$40,Assumptions!$B86)*DX86*AG86,"")</f>
        <v>0</v>
      </c>
      <c r="CD86" s="40">
        <f ca="1">IFERROR(SUMIFS('TRA balance'!AE$5:AE$40,'TRA balance'!$C$5:$C$40,Assumptions!$C86,'TRA balance'!$D$5:$D$40,Assumptions!$B86)*DY86*AH86,"")</f>
        <v>0</v>
      </c>
      <c r="CE86" s="40">
        <f ca="1">IFERROR(SUMIFS('TRA balance'!AF$5:AF$40,'TRA balance'!$C$5:$C$40,Assumptions!$C86,'TRA balance'!$D$5:$D$40,Assumptions!$B86)*DZ86*AI86,"")</f>
        <v>0</v>
      </c>
      <c r="CF86" s="40">
        <f ca="1">IFERROR(SUMIFS('TRA balance'!AG$5:AG$40,'TRA balance'!$C$5:$C$40,Assumptions!$C86,'TRA balance'!$D$5:$D$40,Assumptions!$B86)*EA86*AJ86,"")</f>
        <v>0</v>
      </c>
      <c r="CG86" s="40">
        <f ca="1">IFERROR(SUMIFS('TRA balance'!AH$5:AH$40,'TRA balance'!$C$5:$C$40,Assumptions!$C86,'TRA balance'!$D$5:$D$40,Assumptions!$B86)*EB86*AK86,"")</f>
        <v>0</v>
      </c>
      <c r="CH86" s="40">
        <f ca="1">IFERROR(SUMIFS('TRA balance'!AI$5:AI$40,'TRA balance'!$C$5:$C$40,Assumptions!$C86,'TRA balance'!$D$5:$D$40,Assumptions!$B86)*EC86*AL86,"")</f>
        <v>0</v>
      </c>
      <c r="CI86" s="40">
        <f ca="1">IFERROR(SUMIFS('TRA balance'!AJ$5:AJ$40,'TRA balance'!$C$5:$C$40,Assumptions!$C86,'TRA balance'!$D$5:$D$40,Assumptions!$B86)*ED86*AM86,"")</f>
        <v>0</v>
      </c>
      <c r="CJ86" s="40">
        <f ca="1">IFERROR(SUMIFS('TRA balance'!AK$5:AK$40,'TRA balance'!$C$5:$C$40,Assumptions!$C86,'TRA balance'!$D$5:$D$40,Assumptions!$B86)*EE86*AN86,"")</f>
        <v>0</v>
      </c>
      <c r="CK86" s="40">
        <f ca="1">IFERROR(SUMIFS('TRA balance'!AL$5:AL$40,'TRA balance'!$C$5:$C$40,Assumptions!$C86,'TRA balance'!$D$5:$D$40,Assumptions!$B86)*EF86*AO86,"")</f>
        <v>0</v>
      </c>
      <c r="CL86" s="40">
        <f ca="1">IFERROR(SUMIFS('TRA balance'!AM$5:AM$40,'TRA balance'!$C$5:$C$40,Assumptions!$C86,'TRA balance'!$D$5:$D$40,Assumptions!$B86)*EG86*AP86,"")</f>
        <v>0</v>
      </c>
      <c r="CM86" s="40">
        <f ca="1">IFERROR(SUMIFS('TRA balance'!AN$5:AN$40,'TRA balance'!$C$5:$C$40,Assumptions!$C86,'TRA balance'!$D$5:$D$40,Assumptions!$B86)*EH86*AQ86,"")</f>
        <v>0</v>
      </c>
      <c r="CN86" s="40">
        <f ca="1">IFERROR(SUMIFS('TRA balance'!AO$5:AO$40,'TRA balance'!$C$5:$C$40,Assumptions!$C86,'TRA balance'!$D$5:$D$40,Assumptions!$B86)*EI86*AR86,"")</f>
        <v>0</v>
      </c>
      <c r="CO86" s="40">
        <f ca="1">IFERROR(SUMIFS('TRA balance'!AP$5:AP$40,'TRA balance'!$C$5:$C$40,Assumptions!$C86,'TRA balance'!$D$5:$D$40,Assumptions!$B86)*EJ86*AS86,"")</f>
        <v>0</v>
      </c>
      <c r="CP86" s="40">
        <f ca="1">IFERROR(SUMIFS('TRA balance'!AQ$5:AQ$40,'TRA balance'!$C$5:$C$40,Assumptions!$C86,'TRA balance'!$D$5:$D$40,Assumptions!$B86)*EK86*AT86,"")</f>
        <v>0</v>
      </c>
      <c r="CQ86" s="40">
        <f ca="1">IFERROR(SUMIFS('TRA balance'!AR$5:AR$40,'TRA balance'!$C$5:$C$40,Assumptions!$C86,'TRA balance'!$D$5:$D$40,Assumptions!$B86)*EL86*AU86,"")</f>
        <v>0</v>
      </c>
      <c r="CR86" s="40">
        <f ca="1">IFERROR(SUMIFS('TRA balance'!AS$5:AS$40,'TRA balance'!$C$5:$C$40,Assumptions!$C86,'TRA balance'!$D$5:$D$40,Assumptions!$B86)*EM86*AV86,"")</f>
        <v>0</v>
      </c>
      <c r="CS86" s="40">
        <f ca="1">IFERROR(SUMIFS('TRA balance'!AT$5:AT$40,'TRA balance'!$C$5:$C$40,Assumptions!$C86,'TRA balance'!$D$5:$D$40,Assumptions!$B86)*EN86*AW86,"")</f>
        <v>0</v>
      </c>
      <c r="CT86" s="40">
        <f ca="1">IFERROR(SUMIFS('TRA balance'!AU$5:AU$40,'TRA balance'!$C$5:$C$40,Assumptions!$C86,'TRA balance'!$D$5:$D$40,Assumptions!$B86)*EO86*AX86,"")</f>
        <v>0</v>
      </c>
      <c r="CU86" s="40">
        <f ca="1">IFERROR(SUMIFS('TRA balance'!AV$5:AV$40,'TRA balance'!$C$5:$C$40,Assumptions!$C86,'TRA balance'!$D$5:$D$40,Assumptions!$B86)*EP86*AY86,"")</f>
        <v>0</v>
      </c>
      <c r="CV86" s="40">
        <f ca="1">IFERROR(SUMIFS('TRA balance'!AW$5:AW$40,'TRA balance'!$C$5:$C$40,Assumptions!$C86,'TRA balance'!$D$5:$D$40,Assumptions!$B86)*EQ86*AZ86,"")</f>
        <v>0</v>
      </c>
      <c r="CW86" s="40">
        <f ca="1">IFERROR(SUMIFS('TRA balance'!AX$5:AX$40,'TRA balance'!$C$5:$C$40,Assumptions!$C86,'TRA balance'!$D$5:$D$40,Assumptions!$B86)*ER86*BA86,"")</f>
        <v>0</v>
      </c>
      <c r="CY86" s="39">
        <f ca="1" t="shared" si="86"/>
        <v>1</v>
      </c>
      <c r="CZ86" s="39">
        <f ca="1" t="shared" si="87"/>
        <v>1</v>
      </c>
      <c r="DA86" s="39">
        <f ca="1" t="shared" si="88"/>
        <v>1</v>
      </c>
      <c r="DB86" s="39">
        <f ca="1" t="shared" si="89"/>
        <v>1</v>
      </c>
      <c r="DC86" s="39">
        <f ca="1" t="shared" si="90"/>
        <v>1</v>
      </c>
      <c r="DD86" s="39">
        <f ca="1" t="shared" si="91"/>
        <v>1</v>
      </c>
      <c r="DE86" s="39">
        <f ca="1" t="shared" si="92"/>
        <v>1</v>
      </c>
      <c r="DF86" s="39">
        <f ca="1" t="shared" si="93"/>
        <v>1</v>
      </c>
      <c r="DG86" s="39">
        <f ca="1" t="shared" si="94"/>
        <v>1</v>
      </c>
      <c r="DH86" s="39">
        <f ca="1" t="shared" si="95"/>
        <v>1</v>
      </c>
      <c r="DI86" s="39">
        <f ca="1" t="shared" si="96"/>
        <v>1</v>
      </c>
      <c r="DJ86" s="39">
        <f ca="1" t="shared" si="97"/>
        <v>1</v>
      </c>
      <c r="DK86" s="39">
        <f ca="1" t="shared" si="98"/>
        <v>1</v>
      </c>
      <c r="DL86" s="39">
        <f ca="1" t="shared" si="99"/>
        <v>1</v>
      </c>
      <c r="DM86" s="39">
        <f ca="1" t="shared" si="100"/>
        <v>1</v>
      </c>
      <c r="DN86" s="39">
        <f ca="1" t="shared" si="101"/>
        <v>1</v>
      </c>
      <c r="DO86" s="39">
        <f ca="1" t="shared" si="102"/>
        <v>1</v>
      </c>
      <c r="DP86" s="39">
        <f ca="1" t="shared" si="103"/>
        <v>1</v>
      </c>
      <c r="DQ86" s="39">
        <f ca="1" t="shared" si="104"/>
        <v>1</v>
      </c>
      <c r="DR86" s="39">
        <f ca="1" t="shared" si="105"/>
        <v>1</v>
      </c>
      <c r="DS86" s="39">
        <f ca="1" t="shared" si="106"/>
        <v>1</v>
      </c>
      <c r="DT86" s="39">
        <f ca="1" t="shared" si="107"/>
        <v>1</v>
      </c>
      <c r="DU86" s="39">
        <f ca="1" t="shared" si="108"/>
        <v>1</v>
      </c>
      <c r="DV86" s="39">
        <f ca="1" t="shared" si="109"/>
        <v>1</v>
      </c>
      <c r="DW86" s="39">
        <f ca="1" t="shared" si="110"/>
        <v>1</v>
      </c>
      <c r="DX86" s="39">
        <f ca="1" t="shared" si="111"/>
        <v>1</v>
      </c>
      <c r="DY86" s="39">
        <f ca="1" t="shared" si="112"/>
        <v>1</v>
      </c>
      <c r="DZ86" s="39">
        <f ca="1" t="shared" si="113"/>
        <v>1</v>
      </c>
      <c r="EA86" s="39">
        <f ca="1" t="shared" si="114"/>
        <v>1</v>
      </c>
      <c r="EB86" s="39">
        <f ca="1" t="shared" si="115"/>
        <v>1</v>
      </c>
      <c r="EC86" s="39">
        <f ca="1" t="shared" si="116"/>
        <v>1</v>
      </c>
      <c r="ED86" s="39">
        <f ca="1" t="shared" si="117"/>
        <v>1</v>
      </c>
      <c r="EE86" s="39">
        <f ca="1" t="shared" si="118"/>
        <v>1</v>
      </c>
      <c r="EF86" s="39">
        <f ca="1" t="shared" si="119"/>
        <v>1</v>
      </c>
      <c r="EG86" s="39">
        <f ca="1" t="shared" si="120"/>
        <v>1</v>
      </c>
      <c r="EH86" s="39">
        <f ca="1" t="shared" si="121"/>
        <v>1</v>
      </c>
      <c r="EI86" s="39">
        <f ca="1" t="shared" si="122"/>
        <v>1</v>
      </c>
      <c r="EJ86" s="39">
        <f ca="1" t="shared" si="123"/>
        <v>1</v>
      </c>
      <c r="EK86" s="39">
        <f ca="1" t="shared" si="124"/>
        <v>1</v>
      </c>
      <c r="EL86" s="39">
        <f ca="1" t="shared" si="125"/>
        <v>1</v>
      </c>
      <c r="EM86" s="39">
        <f ca="1" t="shared" si="126"/>
        <v>1</v>
      </c>
      <c r="EN86" s="39">
        <f ca="1" t="shared" si="127"/>
        <v>1</v>
      </c>
      <c r="EO86" s="39">
        <f ca="1" t="shared" si="128"/>
        <v>1</v>
      </c>
      <c r="EP86" s="39">
        <f ca="1" t="shared" si="129"/>
        <v>1</v>
      </c>
      <c r="EQ86" s="39">
        <f ca="1" t="shared" si="130"/>
        <v>1</v>
      </c>
      <c r="ER86" s="39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4" t="str">
        <f t="shared" si="133"/>
        <v>TR</v>
      </c>
      <c r="D87" s="55" t="s">
        <v>200</v>
      </c>
      <c r="E87" s="66" t="s">
        <v>218</v>
      </c>
      <c r="F87" s="56" t="str">
        <f t="shared" si="141"/>
        <v>Bio Gasoline</v>
      </c>
      <c r="G87" s="54" t="s">
        <v>219</v>
      </c>
      <c r="H87" s="57">
        <f ca="1">OFFSET(TIAM15_assumptions!$G87,0,MATCH(VLOOKUP(Assumptions!H$2,TIAM15_assumptions!$Y$3:$Z$87,2,FALSE),TIAM15_assumptions!$H$2:$V$2,0))</f>
        <v>0</v>
      </c>
      <c r="I87" s="57">
        <f ca="1">OFFSET(TIAM15_assumptions!$G87,0,MATCH(VLOOKUP(Assumptions!I$2,TIAM15_assumptions!$Y$3:$Z$87,2,FALSE),TIAM15_assumptions!$H$2:$V$2,0))</f>
        <v>0</v>
      </c>
      <c r="J87" s="57">
        <f ca="1">OFFSET(TIAM15_assumptions!$G87,0,MATCH(VLOOKUP(Assumptions!J$2,TIAM15_assumptions!$Y$3:$Z$87,2,FALSE),TIAM15_assumptions!$H$2:$V$2,0))</f>
        <v>0</v>
      </c>
      <c r="K87" s="57">
        <f ca="1">OFFSET(TIAM15_assumptions!$G87,0,MATCH(VLOOKUP(Assumptions!K$2,TIAM15_assumptions!$Y$3:$Z$87,2,FALSE),TIAM15_assumptions!$H$2:$V$2,0))</f>
        <v>0</v>
      </c>
      <c r="L87" s="57">
        <f ca="1">OFFSET(TIAM15_assumptions!$G87,0,MATCH(VLOOKUP(Assumptions!L$2,TIAM15_assumptions!$Y$3:$Z$87,2,FALSE),TIAM15_assumptions!$H$2:$V$2,0))</f>
        <v>0</v>
      </c>
      <c r="M87" s="57">
        <f ca="1">OFFSET(TIAM15_assumptions!$G87,0,MATCH(VLOOKUP(Assumptions!M$2,TIAM15_assumptions!$Y$3:$Z$87,2,FALSE),TIAM15_assumptions!$H$2:$V$2,0))</f>
        <v>0</v>
      </c>
      <c r="N87" s="57">
        <f ca="1">OFFSET(TIAM15_assumptions!$G87,0,MATCH(VLOOKUP(Assumptions!N$2,TIAM15_assumptions!$Y$3:$Z$87,2,FALSE),TIAM15_assumptions!$H$2:$V$2,0))</f>
        <v>0</v>
      </c>
      <c r="O87" s="57">
        <f ca="1">OFFSET(TIAM15_assumptions!$G87,0,MATCH(VLOOKUP(Assumptions!O$2,TIAM15_assumptions!$Y$3:$Z$87,2,FALSE),TIAM15_assumptions!$H$2:$V$2,0))</f>
        <v>0</v>
      </c>
      <c r="P87" s="57">
        <f ca="1">OFFSET(TIAM15_assumptions!$G87,0,MATCH(VLOOKUP(Assumptions!P$2,TIAM15_assumptions!$Y$3:$Z$87,2,FALSE),TIAM15_assumptions!$H$2:$V$2,0))</f>
        <v>0</v>
      </c>
      <c r="Q87" s="57">
        <f ca="1">OFFSET(TIAM15_assumptions!$G87,0,MATCH(VLOOKUP(Assumptions!Q$2,TIAM15_assumptions!$Y$3:$Z$87,2,FALSE),TIAM15_assumptions!$H$2:$V$2,0))</f>
        <v>0</v>
      </c>
      <c r="R87" s="57">
        <f ca="1">OFFSET(TIAM15_assumptions!$G87,0,MATCH(VLOOKUP(Assumptions!R$2,TIAM15_assumptions!$Y$3:$Z$87,2,FALSE),TIAM15_assumptions!$H$2:$V$2,0))</f>
        <v>0</v>
      </c>
      <c r="S87" s="57">
        <f ca="1">OFFSET(TIAM15_assumptions!$G87,0,MATCH(VLOOKUP(Assumptions!S$2,TIAM15_assumptions!$Y$3:$Z$87,2,FALSE),TIAM15_assumptions!$H$2:$V$2,0))</f>
        <v>0</v>
      </c>
      <c r="T87" s="57">
        <f ca="1">OFFSET(TIAM15_assumptions!$G87,0,MATCH(VLOOKUP(Assumptions!T$2,TIAM15_assumptions!$Y$3:$Z$87,2,FALSE),TIAM15_assumptions!$H$2:$V$2,0))</f>
        <v>0</v>
      </c>
      <c r="U87" s="57">
        <f ca="1">OFFSET(TIAM15_assumptions!$G87,0,MATCH(VLOOKUP(Assumptions!U$2,TIAM15_assumptions!$Y$3:$Z$87,2,FALSE),TIAM15_assumptions!$H$2:$V$2,0))</f>
        <v>0</v>
      </c>
      <c r="V87" s="57">
        <f ca="1">OFFSET(TIAM15_assumptions!$G87,0,MATCH(VLOOKUP(Assumptions!V$2,TIAM15_assumptions!$Y$3:$Z$87,2,FALSE),TIAM15_assumptions!$H$2:$V$2,0))</f>
        <v>0</v>
      </c>
      <c r="W87" s="57">
        <f ca="1">OFFSET(TIAM15_assumptions!$G87,0,MATCH(VLOOKUP(Assumptions!W$2,TIAM15_assumptions!$Y$3:$Z$87,2,FALSE),TIAM15_assumptions!$H$2:$V$2,0))</f>
        <v>0</v>
      </c>
      <c r="X87" s="57">
        <f ca="1">OFFSET(TIAM15_assumptions!$G87,0,MATCH(VLOOKUP(Assumptions!X$2,TIAM15_assumptions!$Y$3:$Z$87,2,FALSE),TIAM15_assumptions!$H$2:$V$2,0))</f>
        <v>0</v>
      </c>
      <c r="Y87" s="57">
        <f ca="1">OFFSET(TIAM15_assumptions!$G87,0,MATCH(VLOOKUP(Assumptions!Y$2,TIAM15_assumptions!$Y$3:$Z$87,2,FALSE),TIAM15_assumptions!$H$2:$V$2,0))</f>
        <v>0</v>
      </c>
      <c r="Z87" s="57">
        <f ca="1">OFFSET(TIAM15_assumptions!$G87,0,MATCH(VLOOKUP(Assumptions!Z$2,TIAM15_assumptions!$Y$3:$Z$87,2,FALSE),TIAM15_assumptions!$H$2:$V$2,0))</f>
        <v>0</v>
      </c>
      <c r="AA87" s="57">
        <f ca="1">OFFSET(TIAM15_assumptions!$G87,0,MATCH(VLOOKUP(Assumptions!AA$2,TIAM15_assumptions!$Y$3:$Z$87,2,FALSE),TIAM15_assumptions!$H$2:$V$2,0))</f>
        <v>0</v>
      </c>
      <c r="AB87" s="57">
        <f ca="1">OFFSET(TIAM15_assumptions!$G87,0,MATCH(VLOOKUP(Assumptions!AB$2,TIAM15_assumptions!$Y$3:$Z$87,2,FALSE),TIAM15_assumptions!$H$2:$V$2,0))</f>
        <v>0</v>
      </c>
      <c r="AC87" s="57">
        <f ca="1">OFFSET(TIAM15_assumptions!$G87,0,MATCH(VLOOKUP(Assumptions!AC$2,TIAM15_assumptions!$Y$3:$Z$87,2,FALSE),TIAM15_assumptions!$H$2:$V$2,0))</f>
        <v>0</v>
      </c>
      <c r="AD87" s="57">
        <f ca="1">OFFSET(TIAM15_assumptions!$G87,0,MATCH(VLOOKUP(Assumptions!AD$2,TIAM15_assumptions!$Y$3:$Z$87,2,FALSE),TIAM15_assumptions!$H$2:$V$2,0))</f>
        <v>0</v>
      </c>
      <c r="AE87" s="57">
        <f ca="1">OFFSET(TIAM15_assumptions!$G87,0,MATCH(VLOOKUP(Assumptions!AE$2,TIAM15_assumptions!$Y$3:$Z$87,2,FALSE),TIAM15_assumptions!$H$2:$V$2,0))</f>
        <v>0</v>
      </c>
      <c r="AF87" s="57">
        <f ca="1">OFFSET(TIAM15_assumptions!$G87,0,MATCH(VLOOKUP(Assumptions!AF$2,TIAM15_assumptions!$Y$3:$Z$87,2,FALSE),TIAM15_assumptions!$H$2:$V$2,0))</f>
        <v>0</v>
      </c>
      <c r="AG87" s="57">
        <f ca="1">OFFSET(TIAM15_assumptions!$G87,0,MATCH(VLOOKUP(Assumptions!AG$2,TIAM15_assumptions!$Y$3:$Z$87,2,FALSE),TIAM15_assumptions!$H$2:$V$2,0))</f>
        <v>0</v>
      </c>
      <c r="AH87" s="57">
        <f ca="1">OFFSET(TIAM15_assumptions!$G87,0,MATCH(VLOOKUP(Assumptions!AH$2,TIAM15_assumptions!$Y$3:$Z$87,2,FALSE),TIAM15_assumptions!$H$2:$V$2,0))</f>
        <v>0</v>
      </c>
      <c r="AI87" s="57">
        <f ca="1">OFFSET(TIAM15_assumptions!$G87,0,MATCH(VLOOKUP(Assumptions!AI$2,TIAM15_assumptions!$Y$3:$Z$87,2,FALSE),TIAM15_assumptions!$H$2:$V$2,0))</f>
        <v>0</v>
      </c>
      <c r="AJ87" s="57">
        <f ca="1">OFFSET(TIAM15_assumptions!$G87,0,MATCH(VLOOKUP(Assumptions!AJ$2,TIAM15_assumptions!$Y$3:$Z$87,2,FALSE),TIAM15_assumptions!$H$2:$V$2,0))</f>
        <v>0</v>
      </c>
      <c r="AK87" s="57">
        <f ca="1">OFFSET(TIAM15_assumptions!$G87,0,MATCH(VLOOKUP(Assumptions!AK$2,TIAM15_assumptions!$Y$3:$Z$87,2,FALSE),TIAM15_assumptions!$H$2:$V$2,0))</f>
        <v>0</v>
      </c>
      <c r="AL87" s="57">
        <f ca="1">OFFSET(TIAM15_assumptions!$G87,0,MATCH(VLOOKUP(Assumptions!AL$2,TIAM15_assumptions!$Y$3:$Z$87,2,FALSE),TIAM15_assumptions!$H$2:$V$2,0))</f>
        <v>0</v>
      </c>
      <c r="AM87" s="57">
        <f ca="1">OFFSET(TIAM15_assumptions!$G87,0,MATCH(VLOOKUP(Assumptions!AM$2,TIAM15_assumptions!$Y$3:$Z$87,2,FALSE),TIAM15_assumptions!$H$2:$V$2,0))</f>
        <v>0</v>
      </c>
      <c r="AN87" s="57">
        <f ca="1">OFFSET(TIAM15_assumptions!$G87,0,MATCH(VLOOKUP(Assumptions!AN$2,TIAM15_assumptions!$Y$3:$Z$87,2,FALSE),TIAM15_assumptions!$H$2:$V$2,0))</f>
        <v>0</v>
      </c>
      <c r="AO87" s="57">
        <f ca="1">OFFSET(TIAM15_assumptions!$G87,0,MATCH(VLOOKUP(Assumptions!AO$2,TIAM15_assumptions!$Y$3:$Z$87,2,FALSE),TIAM15_assumptions!$H$2:$V$2,0))</f>
        <v>0</v>
      </c>
      <c r="AP87" s="57">
        <f ca="1">OFFSET(TIAM15_assumptions!$G87,0,MATCH(VLOOKUP(Assumptions!AP$2,TIAM15_assumptions!$Y$3:$Z$87,2,FALSE),TIAM15_assumptions!$H$2:$V$2,0))</f>
        <v>0</v>
      </c>
      <c r="AQ87" s="57">
        <f ca="1">OFFSET(TIAM15_assumptions!$G87,0,MATCH(VLOOKUP(Assumptions!AQ$2,TIAM15_assumptions!$Y$3:$Z$87,2,FALSE),TIAM15_assumptions!$H$2:$V$2,0))</f>
        <v>0</v>
      </c>
      <c r="AR87" s="57">
        <f ca="1">OFFSET(TIAM15_assumptions!$G87,0,MATCH(VLOOKUP(Assumptions!AR$2,TIAM15_assumptions!$Y$3:$Z$87,2,FALSE),TIAM15_assumptions!$H$2:$V$2,0))</f>
        <v>0</v>
      </c>
      <c r="AS87" s="57">
        <f ca="1">OFFSET(TIAM15_assumptions!$G87,0,MATCH(VLOOKUP(Assumptions!AS$2,TIAM15_assumptions!$Y$3:$Z$87,2,FALSE),TIAM15_assumptions!$H$2:$V$2,0))</f>
        <v>0</v>
      </c>
      <c r="AT87" s="57">
        <f ca="1">OFFSET(TIAM15_assumptions!$G87,0,MATCH(VLOOKUP(Assumptions!AT$2,TIAM15_assumptions!$Y$3:$Z$87,2,FALSE),TIAM15_assumptions!$H$2:$V$2,0))</f>
        <v>0</v>
      </c>
      <c r="AU87" s="57">
        <f ca="1">OFFSET(TIAM15_assumptions!$G87,0,MATCH(VLOOKUP(Assumptions!AU$2,TIAM15_assumptions!$Y$3:$Z$87,2,FALSE),TIAM15_assumptions!$H$2:$V$2,0))</f>
        <v>0</v>
      </c>
      <c r="AV87" s="57">
        <f ca="1">OFFSET(TIAM15_assumptions!$G87,0,MATCH(VLOOKUP(Assumptions!AV$2,TIAM15_assumptions!$Y$3:$Z$87,2,FALSE),TIAM15_assumptions!$H$2:$V$2,0))</f>
        <v>0</v>
      </c>
      <c r="AW87" s="57">
        <f ca="1">OFFSET(TIAM15_assumptions!$G87,0,MATCH(VLOOKUP(Assumptions!AW$2,TIAM15_assumptions!$Y$3:$Z$87,2,FALSE),TIAM15_assumptions!$H$2:$V$2,0))</f>
        <v>0</v>
      </c>
      <c r="AX87" s="57">
        <f ca="1">OFFSET(TIAM15_assumptions!$G87,0,MATCH(VLOOKUP(Assumptions!AX$2,TIAM15_assumptions!$Y$3:$Z$87,2,FALSE),TIAM15_assumptions!$H$2:$V$2,0))</f>
        <v>0</v>
      </c>
      <c r="AY87" s="57">
        <f ca="1">OFFSET(TIAM15_assumptions!$G87,0,MATCH(VLOOKUP(Assumptions!AY$2,TIAM15_assumptions!$Y$3:$Z$87,2,FALSE),TIAM15_assumptions!$H$2:$V$2,0))</f>
        <v>0</v>
      </c>
      <c r="AZ87" s="57">
        <f ca="1">OFFSET(TIAM15_assumptions!$G87,0,MATCH(VLOOKUP(Assumptions!AZ$2,TIAM15_assumptions!$Y$3:$Z$87,2,FALSE),TIAM15_assumptions!$H$2:$V$2,0))</f>
        <v>0</v>
      </c>
      <c r="BA87" s="57">
        <f ca="1">OFFSET(TIAM15_assumptions!$G87,0,MATCH(VLOOKUP(Assumptions!BA$2,TIAM15_assumptions!$Y$3:$Z$87,2,FALSE),TIAM15_assumptions!$H$2:$V$2,0))</f>
        <v>0</v>
      </c>
      <c r="BD87" s="40">
        <f ca="1">IFERROR(SUMIFS('TRA balance'!E$5:E$40,'TRA balance'!$C$5:$C$40,Assumptions!$C87,'TRA balance'!$D$5:$D$40,Assumptions!$B87)*CY87*H87,"")</f>
        <v>0</v>
      </c>
      <c r="BE87" s="40">
        <f ca="1">IFERROR(SUMIFS('TRA balance'!F$5:F$40,'TRA balance'!$C$5:$C$40,Assumptions!$C87,'TRA balance'!$D$5:$D$40,Assumptions!$B87)*CZ87*I87,"")</f>
        <v>0</v>
      </c>
      <c r="BF87" s="40">
        <f ca="1">IFERROR(SUMIFS('TRA balance'!G$5:G$40,'TRA balance'!$C$5:$C$40,Assumptions!$C87,'TRA balance'!$D$5:$D$40,Assumptions!$B87)*DA87*J87,"")</f>
        <v>0</v>
      </c>
      <c r="BG87" s="40">
        <f ca="1">IFERROR(SUMIFS('TRA balance'!H$5:H$40,'TRA balance'!$C$5:$C$40,Assumptions!$C87,'TRA balance'!$D$5:$D$40,Assumptions!$B87)*DB87*K87,"")</f>
        <v>0</v>
      </c>
      <c r="BH87" s="40">
        <f ca="1">IFERROR(SUMIFS('TRA balance'!I$5:I$40,'TRA balance'!$C$5:$C$40,Assumptions!$C87,'TRA balance'!$D$5:$D$40,Assumptions!$B87)*DC87*L87,"")</f>
        <v>0</v>
      </c>
      <c r="BI87" s="40">
        <f ca="1">IFERROR(SUMIFS('TRA balance'!J$5:J$40,'TRA balance'!$C$5:$C$40,Assumptions!$C87,'TRA balance'!$D$5:$D$40,Assumptions!$B87)*DD87*M87,"")</f>
        <v>0</v>
      </c>
      <c r="BJ87" s="40">
        <f ca="1">IFERROR(SUMIFS('TRA balance'!K$5:K$40,'TRA balance'!$C$5:$C$40,Assumptions!$C87,'TRA balance'!$D$5:$D$40,Assumptions!$B87)*DE87*N87,"")</f>
        <v>0</v>
      </c>
      <c r="BK87" s="40">
        <f ca="1">IFERROR(SUMIFS('TRA balance'!L$5:L$40,'TRA balance'!$C$5:$C$40,Assumptions!$C87,'TRA balance'!$D$5:$D$40,Assumptions!$B87)*DF87*O87,"")</f>
        <v>0</v>
      </c>
      <c r="BL87" s="40">
        <f ca="1">IFERROR(SUMIFS('TRA balance'!M$5:M$40,'TRA balance'!$C$5:$C$40,Assumptions!$C87,'TRA balance'!$D$5:$D$40,Assumptions!$B87)*DG87*P87,"")</f>
        <v>0</v>
      </c>
      <c r="BM87" s="40">
        <f ca="1">IFERROR(SUMIFS('TRA balance'!N$5:N$40,'TRA balance'!$C$5:$C$40,Assumptions!$C87,'TRA balance'!$D$5:$D$40,Assumptions!$B87)*DH87*Q87,"")</f>
        <v>0</v>
      </c>
      <c r="BN87" s="40">
        <f ca="1">IFERROR(SUMIFS('TRA balance'!O$5:O$40,'TRA balance'!$C$5:$C$40,Assumptions!$C87,'TRA balance'!$D$5:$D$40,Assumptions!$B87)*DI87*R87,"")</f>
        <v>0</v>
      </c>
      <c r="BO87" s="40">
        <f ca="1">IFERROR(SUMIFS('TRA balance'!P$5:P$40,'TRA balance'!$C$5:$C$40,Assumptions!$C87,'TRA balance'!$D$5:$D$40,Assumptions!$B87)*DJ87*S87,"")</f>
        <v>0</v>
      </c>
      <c r="BP87" s="40">
        <f ca="1">IFERROR(SUMIFS('TRA balance'!Q$5:Q$40,'TRA balance'!$C$5:$C$40,Assumptions!$C87,'TRA balance'!$D$5:$D$40,Assumptions!$B87)*DK87*T87,"")</f>
        <v>0</v>
      </c>
      <c r="BQ87" s="40">
        <f ca="1">IFERROR(SUMIFS('TRA balance'!R$5:R$40,'TRA balance'!$C$5:$C$40,Assumptions!$C87,'TRA balance'!$D$5:$D$40,Assumptions!$B87)*DL87*U87,"")</f>
        <v>0</v>
      </c>
      <c r="BR87" s="40">
        <f ca="1">IFERROR(SUMIFS('TRA balance'!S$5:S$40,'TRA balance'!$C$5:$C$40,Assumptions!$C87,'TRA balance'!$D$5:$D$40,Assumptions!$B87)*DM87*V87,"")</f>
        <v>0</v>
      </c>
      <c r="BS87" s="40">
        <f ca="1">IFERROR(SUMIFS('TRA balance'!T$5:T$40,'TRA balance'!$C$5:$C$40,Assumptions!$C87,'TRA balance'!$D$5:$D$40,Assumptions!$B87)*DN87*W87,"")</f>
        <v>0</v>
      </c>
      <c r="BT87" s="40">
        <f ca="1">IFERROR(SUMIFS('TRA balance'!U$5:U$40,'TRA balance'!$C$5:$C$40,Assumptions!$C87,'TRA balance'!$D$5:$D$40,Assumptions!$B87)*DO87*X87,"")</f>
        <v>0</v>
      </c>
      <c r="BU87" s="40">
        <f ca="1">IFERROR(SUMIFS('TRA balance'!V$5:V$40,'TRA balance'!$C$5:$C$40,Assumptions!$C87,'TRA balance'!$D$5:$D$40,Assumptions!$B87)*DP87*Y87,"")</f>
        <v>0</v>
      </c>
      <c r="BV87" s="40">
        <f ca="1">IFERROR(SUMIFS('TRA balance'!W$5:W$40,'TRA balance'!$C$5:$C$40,Assumptions!$C87,'TRA balance'!$D$5:$D$40,Assumptions!$B87)*DQ87*Z87,"")</f>
        <v>0</v>
      </c>
      <c r="BW87" s="40">
        <f ca="1">IFERROR(SUMIFS('TRA balance'!X$5:X$40,'TRA balance'!$C$5:$C$40,Assumptions!$C87,'TRA balance'!$D$5:$D$40,Assumptions!$B87)*DR87*AA87,"")</f>
        <v>0</v>
      </c>
      <c r="BX87" s="40">
        <f ca="1">IFERROR(SUMIFS('TRA balance'!Y$5:Y$40,'TRA balance'!$C$5:$C$40,Assumptions!$C87,'TRA balance'!$D$5:$D$40,Assumptions!$B87)*DS87*AB87,"")</f>
        <v>0</v>
      </c>
      <c r="BY87" s="40">
        <f ca="1">IFERROR(SUMIFS('TRA balance'!Z$5:Z$40,'TRA balance'!$C$5:$C$40,Assumptions!$C87,'TRA balance'!$D$5:$D$40,Assumptions!$B87)*DT87*AC87,"")</f>
        <v>0</v>
      </c>
      <c r="BZ87" s="40">
        <f ca="1">IFERROR(SUMIFS('TRA balance'!AA$5:AA$40,'TRA balance'!$C$5:$C$40,Assumptions!$C87,'TRA balance'!$D$5:$D$40,Assumptions!$B87)*DU87*AD87,"")</f>
        <v>0</v>
      </c>
      <c r="CA87" s="40">
        <f ca="1">IFERROR(SUMIFS('TRA balance'!AB$5:AB$40,'TRA balance'!$C$5:$C$40,Assumptions!$C87,'TRA balance'!$D$5:$D$40,Assumptions!$B87)*DV87*AE87,"")</f>
        <v>0</v>
      </c>
      <c r="CB87" s="40">
        <f ca="1">IFERROR(SUMIFS('TRA balance'!AC$5:AC$40,'TRA balance'!$C$5:$C$40,Assumptions!$C87,'TRA balance'!$D$5:$D$40,Assumptions!$B87)*DW87*AF87,"")</f>
        <v>0</v>
      </c>
      <c r="CC87" s="40">
        <f ca="1">IFERROR(SUMIFS('TRA balance'!AD$5:AD$40,'TRA balance'!$C$5:$C$40,Assumptions!$C87,'TRA balance'!$D$5:$D$40,Assumptions!$B87)*DX87*AG87,"")</f>
        <v>0</v>
      </c>
      <c r="CD87" s="40">
        <f ca="1">IFERROR(SUMIFS('TRA balance'!AE$5:AE$40,'TRA balance'!$C$5:$C$40,Assumptions!$C87,'TRA balance'!$D$5:$D$40,Assumptions!$B87)*DY87*AH87,"")</f>
        <v>0</v>
      </c>
      <c r="CE87" s="40">
        <f ca="1">IFERROR(SUMIFS('TRA balance'!AF$5:AF$40,'TRA balance'!$C$5:$C$40,Assumptions!$C87,'TRA balance'!$D$5:$D$40,Assumptions!$B87)*DZ87*AI87,"")</f>
        <v>0</v>
      </c>
      <c r="CF87" s="40">
        <f ca="1">IFERROR(SUMIFS('TRA balance'!AG$5:AG$40,'TRA balance'!$C$5:$C$40,Assumptions!$C87,'TRA balance'!$D$5:$D$40,Assumptions!$B87)*EA87*AJ87,"")</f>
        <v>0</v>
      </c>
      <c r="CG87" s="40">
        <f ca="1">IFERROR(SUMIFS('TRA balance'!AH$5:AH$40,'TRA balance'!$C$5:$C$40,Assumptions!$C87,'TRA balance'!$D$5:$D$40,Assumptions!$B87)*EB87*AK87,"")</f>
        <v>0</v>
      </c>
      <c r="CH87" s="40">
        <f ca="1">IFERROR(SUMIFS('TRA balance'!AI$5:AI$40,'TRA balance'!$C$5:$C$40,Assumptions!$C87,'TRA balance'!$D$5:$D$40,Assumptions!$B87)*EC87*AL87,"")</f>
        <v>0</v>
      </c>
      <c r="CI87" s="40">
        <f ca="1">IFERROR(SUMIFS('TRA balance'!AJ$5:AJ$40,'TRA balance'!$C$5:$C$40,Assumptions!$C87,'TRA balance'!$D$5:$D$40,Assumptions!$B87)*ED87*AM87,"")</f>
        <v>0</v>
      </c>
      <c r="CJ87" s="40">
        <f ca="1">IFERROR(SUMIFS('TRA balance'!AK$5:AK$40,'TRA balance'!$C$5:$C$40,Assumptions!$C87,'TRA balance'!$D$5:$D$40,Assumptions!$B87)*EE87*AN87,"")</f>
        <v>0</v>
      </c>
      <c r="CK87" s="40">
        <f ca="1">IFERROR(SUMIFS('TRA balance'!AL$5:AL$40,'TRA balance'!$C$5:$C$40,Assumptions!$C87,'TRA balance'!$D$5:$D$40,Assumptions!$B87)*EF87*AO87,"")</f>
        <v>0</v>
      </c>
      <c r="CL87" s="40">
        <f ca="1">IFERROR(SUMIFS('TRA balance'!AM$5:AM$40,'TRA balance'!$C$5:$C$40,Assumptions!$C87,'TRA balance'!$D$5:$D$40,Assumptions!$B87)*EG87*AP87,"")</f>
        <v>0</v>
      </c>
      <c r="CM87" s="40">
        <f ca="1">IFERROR(SUMIFS('TRA balance'!AN$5:AN$40,'TRA balance'!$C$5:$C$40,Assumptions!$C87,'TRA balance'!$D$5:$D$40,Assumptions!$B87)*EH87*AQ87,"")</f>
        <v>0</v>
      </c>
      <c r="CN87" s="40">
        <f ca="1">IFERROR(SUMIFS('TRA balance'!AO$5:AO$40,'TRA balance'!$C$5:$C$40,Assumptions!$C87,'TRA balance'!$D$5:$D$40,Assumptions!$B87)*EI87*AR87,"")</f>
        <v>0</v>
      </c>
      <c r="CO87" s="40">
        <f ca="1">IFERROR(SUMIFS('TRA balance'!AP$5:AP$40,'TRA balance'!$C$5:$C$40,Assumptions!$C87,'TRA balance'!$D$5:$D$40,Assumptions!$B87)*EJ87*AS87,"")</f>
        <v>0</v>
      </c>
      <c r="CP87" s="40">
        <f ca="1">IFERROR(SUMIFS('TRA balance'!AQ$5:AQ$40,'TRA balance'!$C$5:$C$40,Assumptions!$C87,'TRA balance'!$D$5:$D$40,Assumptions!$B87)*EK87*AT87,"")</f>
        <v>0</v>
      </c>
      <c r="CQ87" s="40">
        <f ca="1">IFERROR(SUMIFS('TRA balance'!AR$5:AR$40,'TRA balance'!$C$5:$C$40,Assumptions!$C87,'TRA balance'!$D$5:$D$40,Assumptions!$B87)*EL87*AU87,"")</f>
        <v>0</v>
      </c>
      <c r="CR87" s="40">
        <f ca="1">IFERROR(SUMIFS('TRA balance'!AS$5:AS$40,'TRA balance'!$C$5:$C$40,Assumptions!$C87,'TRA balance'!$D$5:$D$40,Assumptions!$B87)*EM87*AV87,"")</f>
        <v>0</v>
      </c>
      <c r="CS87" s="40">
        <f ca="1">IFERROR(SUMIFS('TRA balance'!AT$5:AT$40,'TRA balance'!$C$5:$C$40,Assumptions!$C87,'TRA balance'!$D$5:$D$40,Assumptions!$B87)*EN87*AW87,"")</f>
        <v>0</v>
      </c>
      <c r="CT87" s="40">
        <f ca="1">IFERROR(SUMIFS('TRA balance'!AU$5:AU$40,'TRA balance'!$C$5:$C$40,Assumptions!$C87,'TRA balance'!$D$5:$D$40,Assumptions!$B87)*EO87*AX87,"")</f>
        <v>0</v>
      </c>
      <c r="CU87" s="40">
        <f ca="1">IFERROR(SUMIFS('TRA balance'!AV$5:AV$40,'TRA balance'!$C$5:$C$40,Assumptions!$C87,'TRA balance'!$D$5:$D$40,Assumptions!$B87)*EP87*AY87,"")</f>
        <v>0</v>
      </c>
      <c r="CV87" s="40">
        <f ca="1">IFERROR(SUMIFS('TRA balance'!AW$5:AW$40,'TRA balance'!$C$5:$C$40,Assumptions!$C87,'TRA balance'!$D$5:$D$40,Assumptions!$B87)*EQ87*AZ87,"")</f>
        <v>0</v>
      </c>
      <c r="CW87" s="40">
        <f ca="1">IFERROR(SUMIFS('TRA balance'!AX$5:AX$40,'TRA balance'!$C$5:$C$40,Assumptions!$C87,'TRA balance'!$D$5:$D$40,Assumptions!$B87)*ER87*BA87,"")</f>
        <v>0</v>
      </c>
      <c r="CY87" s="39">
        <f ca="1" t="shared" si="86"/>
        <v>1</v>
      </c>
      <c r="CZ87" s="39">
        <f ca="1" t="shared" si="87"/>
        <v>1</v>
      </c>
      <c r="DA87" s="39">
        <f ca="1" t="shared" si="88"/>
        <v>1</v>
      </c>
      <c r="DB87" s="39">
        <f ca="1" t="shared" si="89"/>
        <v>1</v>
      </c>
      <c r="DC87" s="39">
        <f ca="1" t="shared" si="90"/>
        <v>1</v>
      </c>
      <c r="DD87" s="39">
        <f ca="1" t="shared" si="91"/>
        <v>1</v>
      </c>
      <c r="DE87" s="39">
        <f ca="1" t="shared" si="92"/>
        <v>1</v>
      </c>
      <c r="DF87" s="39">
        <f ca="1" t="shared" si="93"/>
        <v>1</v>
      </c>
      <c r="DG87" s="39">
        <f ca="1" t="shared" si="94"/>
        <v>1</v>
      </c>
      <c r="DH87" s="39">
        <f ca="1" t="shared" si="95"/>
        <v>1</v>
      </c>
      <c r="DI87" s="39">
        <f ca="1" t="shared" si="96"/>
        <v>1</v>
      </c>
      <c r="DJ87" s="39">
        <f ca="1" t="shared" si="97"/>
        <v>1</v>
      </c>
      <c r="DK87" s="39">
        <f ca="1" t="shared" si="98"/>
        <v>1</v>
      </c>
      <c r="DL87" s="39">
        <f ca="1" t="shared" si="99"/>
        <v>1</v>
      </c>
      <c r="DM87" s="39">
        <f ca="1" t="shared" si="100"/>
        <v>1</v>
      </c>
      <c r="DN87" s="39">
        <f ca="1" t="shared" si="101"/>
        <v>1</v>
      </c>
      <c r="DO87" s="39">
        <f ca="1" t="shared" si="102"/>
        <v>1</v>
      </c>
      <c r="DP87" s="39">
        <f ca="1" t="shared" si="103"/>
        <v>1</v>
      </c>
      <c r="DQ87" s="39">
        <f ca="1" t="shared" si="104"/>
        <v>1</v>
      </c>
      <c r="DR87" s="39">
        <f ca="1" t="shared" si="105"/>
        <v>1</v>
      </c>
      <c r="DS87" s="39">
        <f ca="1" t="shared" si="106"/>
        <v>1</v>
      </c>
      <c r="DT87" s="39">
        <f ca="1" t="shared" si="107"/>
        <v>1</v>
      </c>
      <c r="DU87" s="39">
        <f ca="1" t="shared" si="108"/>
        <v>1</v>
      </c>
      <c r="DV87" s="39">
        <f ca="1" t="shared" si="109"/>
        <v>1</v>
      </c>
      <c r="DW87" s="39">
        <f ca="1" t="shared" si="110"/>
        <v>1</v>
      </c>
      <c r="DX87" s="39">
        <f ca="1" t="shared" si="111"/>
        <v>1</v>
      </c>
      <c r="DY87" s="39">
        <f ca="1" t="shared" si="112"/>
        <v>1</v>
      </c>
      <c r="DZ87" s="39">
        <f ca="1" t="shared" si="113"/>
        <v>1</v>
      </c>
      <c r="EA87" s="39">
        <f ca="1" t="shared" si="114"/>
        <v>1</v>
      </c>
      <c r="EB87" s="39">
        <f ca="1" t="shared" si="115"/>
        <v>1</v>
      </c>
      <c r="EC87" s="39">
        <f ca="1" t="shared" si="116"/>
        <v>1</v>
      </c>
      <c r="ED87" s="39">
        <f ca="1" t="shared" si="117"/>
        <v>1</v>
      </c>
      <c r="EE87" s="39">
        <f ca="1" t="shared" si="118"/>
        <v>1</v>
      </c>
      <c r="EF87" s="39">
        <f ca="1" t="shared" si="119"/>
        <v>1</v>
      </c>
      <c r="EG87" s="39">
        <f ca="1" t="shared" si="120"/>
        <v>1</v>
      </c>
      <c r="EH87" s="39">
        <f ca="1" t="shared" si="121"/>
        <v>1</v>
      </c>
      <c r="EI87" s="39">
        <f ca="1" t="shared" si="122"/>
        <v>1</v>
      </c>
      <c r="EJ87" s="39">
        <f ca="1" t="shared" si="123"/>
        <v>1</v>
      </c>
      <c r="EK87" s="39">
        <f ca="1" t="shared" si="124"/>
        <v>1</v>
      </c>
      <c r="EL87" s="39">
        <f ca="1" t="shared" si="125"/>
        <v>1</v>
      </c>
      <c r="EM87" s="39">
        <f ca="1" t="shared" si="126"/>
        <v>1</v>
      </c>
      <c r="EN87" s="39">
        <f ca="1" t="shared" si="127"/>
        <v>1</v>
      </c>
      <c r="EO87" s="39">
        <f ca="1" t="shared" si="128"/>
        <v>1</v>
      </c>
      <c r="EP87" s="39">
        <f ca="1" t="shared" si="129"/>
        <v>1</v>
      </c>
      <c r="EQ87" s="39">
        <f ca="1" t="shared" si="130"/>
        <v>1</v>
      </c>
      <c r="ER87" s="39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58" t="str">
        <f t="shared" si="133"/>
        <v/>
      </c>
      <c r="D88" s="70"/>
      <c r="E88" s="59" t="s">
        <v>220</v>
      </c>
      <c r="F88" s="60" t="str">
        <f t="shared" si="141"/>
        <v>Bio Gasoline</v>
      </c>
      <c r="G88" s="58"/>
      <c r="H88" s="71" t="str">
        <f ca="1">IF(SUM(H84:H87)=1,"-","&lt;&gt;1!!")</f>
        <v>&lt;&gt;1!!</v>
      </c>
      <c r="I88" s="71" t="str">
        <f ca="1" t="shared" ref="I88:BA88" si="142">IF(SUM(I84:I87)=1,"-","&lt;&gt;1!!")</f>
        <v>&lt;&gt;1!!</v>
      </c>
      <c r="J88" s="71" t="str">
        <f ca="1" t="shared" si="142"/>
        <v>&lt;&gt;1!!</v>
      </c>
      <c r="K88" s="71" t="str">
        <f ca="1" t="shared" si="142"/>
        <v>&lt;&gt;1!!</v>
      </c>
      <c r="L88" s="71" t="str">
        <f ca="1" t="shared" si="142"/>
        <v>&lt;&gt;1!!</v>
      </c>
      <c r="M88" s="71" t="str">
        <f ca="1" t="shared" si="142"/>
        <v>&lt;&gt;1!!</v>
      </c>
      <c r="N88" s="71" t="str">
        <f ca="1" t="shared" si="142"/>
        <v>&lt;&gt;1!!</v>
      </c>
      <c r="O88" s="71" t="str">
        <f ca="1" t="shared" si="142"/>
        <v>&lt;&gt;1!!</v>
      </c>
      <c r="P88" s="71" t="str">
        <f ca="1" t="shared" si="142"/>
        <v>&lt;&gt;1!!</v>
      </c>
      <c r="Q88" s="71" t="str">
        <f ca="1" t="shared" si="142"/>
        <v>&lt;&gt;1!!</v>
      </c>
      <c r="R88" s="71" t="str">
        <f ca="1" t="shared" si="142"/>
        <v>&lt;&gt;1!!</v>
      </c>
      <c r="S88" s="71" t="str">
        <f ca="1" t="shared" si="142"/>
        <v>&lt;&gt;1!!</v>
      </c>
      <c r="T88" s="71" t="str">
        <f ca="1" t="shared" si="142"/>
        <v>&lt;&gt;1!!</v>
      </c>
      <c r="U88" s="71" t="str">
        <f ca="1" t="shared" si="142"/>
        <v>&lt;&gt;1!!</v>
      </c>
      <c r="V88" s="71" t="str">
        <f ca="1" t="shared" si="142"/>
        <v>&lt;&gt;1!!</v>
      </c>
      <c r="W88" s="71" t="str">
        <f ca="1" t="shared" si="142"/>
        <v>&lt;&gt;1!!</v>
      </c>
      <c r="X88" s="71" t="str">
        <f ca="1" t="shared" si="142"/>
        <v>&lt;&gt;1!!</v>
      </c>
      <c r="Y88" s="71" t="str">
        <f ca="1" t="shared" si="142"/>
        <v>&lt;&gt;1!!</v>
      </c>
      <c r="Z88" s="71" t="str">
        <f ca="1" t="shared" si="142"/>
        <v>&lt;&gt;1!!</v>
      </c>
      <c r="AA88" s="71" t="str">
        <f ca="1" t="shared" si="142"/>
        <v>&lt;&gt;1!!</v>
      </c>
      <c r="AB88" s="71" t="str">
        <f ca="1" t="shared" si="142"/>
        <v>&lt;&gt;1!!</v>
      </c>
      <c r="AC88" s="71" t="str">
        <f ca="1" t="shared" si="142"/>
        <v>&lt;&gt;1!!</v>
      </c>
      <c r="AD88" s="71" t="str">
        <f ca="1" t="shared" si="142"/>
        <v>&lt;&gt;1!!</v>
      </c>
      <c r="AE88" s="71" t="str">
        <f ca="1" t="shared" si="142"/>
        <v>&lt;&gt;1!!</v>
      </c>
      <c r="AF88" s="71" t="str">
        <f ca="1" t="shared" si="142"/>
        <v>&lt;&gt;1!!</v>
      </c>
      <c r="AG88" s="71" t="str">
        <f ca="1" t="shared" si="142"/>
        <v>&lt;&gt;1!!</v>
      </c>
      <c r="AH88" s="71" t="str">
        <f ca="1" t="shared" si="142"/>
        <v>&lt;&gt;1!!</v>
      </c>
      <c r="AI88" s="71" t="str">
        <f ca="1" t="shared" si="142"/>
        <v>&lt;&gt;1!!</v>
      </c>
      <c r="AJ88" s="71" t="str">
        <f ca="1" t="shared" si="142"/>
        <v>&lt;&gt;1!!</v>
      </c>
      <c r="AK88" s="71" t="str">
        <f ca="1" t="shared" si="142"/>
        <v>&lt;&gt;1!!</v>
      </c>
      <c r="AL88" s="71" t="str">
        <f ca="1" t="shared" si="142"/>
        <v>&lt;&gt;1!!</v>
      </c>
      <c r="AM88" s="71" t="str">
        <f ca="1" t="shared" si="142"/>
        <v>&lt;&gt;1!!</v>
      </c>
      <c r="AN88" s="71" t="str">
        <f ca="1" t="shared" si="142"/>
        <v>&lt;&gt;1!!</v>
      </c>
      <c r="AO88" s="71" t="str">
        <f ca="1" t="shared" si="142"/>
        <v>&lt;&gt;1!!</v>
      </c>
      <c r="AP88" s="71" t="str">
        <f ca="1" t="shared" si="142"/>
        <v>&lt;&gt;1!!</v>
      </c>
      <c r="AQ88" s="71" t="str">
        <f ca="1" t="shared" si="142"/>
        <v>&lt;&gt;1!!</v>
      </c>
      <c r="AR88" s="71" t="str">
        <f ca="1" t="shared" si="142"/>
        <v>&lt;&gt;1!!</v>
      </c>
      <c r="AS88" s="71" t="str">
        <f ca="1" t="shared" si="142"/>
        <v>&lt;&gt;1!!</v>
      </c>
      <c r="AT88" s="71" t="str">
        <f ca="1" t="shared" si="142"/>
        <v>&lt;&gt;1!!</v>
      </c>
      <c r="AU88" s="71" t="str">
        <f ca="1" t="shared" si="142"/>
        <v>&lt;&gt;1!!</v>
      </c>
      <c r="AV88" s="71" t="str">
        <f ca="1" t="shared" si="142"/>
        <v>&lt;&gt;1!!</v>
      </c>
      <c r="AW88" s="71" t="str">
        <f ca="1" t="shared" si="142"/>
        <v>&lt;&gt;1!!</v>
      </c>
      <c r="AX88" s="71" t="str">
        <f ca="1" t="shared" si="142"/>
        <v>&lt;&gt;1!!</v>
      </c>
      <c r="AY88" s="71" t="str">
        <f ca="1" t="shared" si="142"/>
        <v>&lt;&gt;1!!</v>
      </c>
      <c r="AZ88" s="71" t="str">
        <f ca="1" t="shared" si="142"/>
        <v>&lt;&gt;1!!</v>
      </c>
      <c r="BA88" s="71" t="str">
        <f ca="1" t="shared" si="142"/>
        <v>&lt;&gt;1!!</v>
      </c>
      <c r="BD88" s="40" t="str">
        <f ca="1">IFERROR(SUMIFS('TRA balance'!E$5:E$40,'TRA balance'!$C$5:$C$40,Assumptions!$C88,'TRA balance'!$D$5:$D$40,Assumptions!$B88)*CY88*H88,"")</f>
        <v/>
      </c>
      <c r="BE88" s="40" t="str">
        <f ca="1">IFERROR(SUMIFS('TRA balance'!F$5:F$40,'TRA balance'!$C$5:$C$40,Assumptions!$C88,'TRA balance'!$D$5:$D$40,Assumptions!$B88)*CZ88*I88,"")</f>
        <v/>
      </c>
      <c r="BF88" s="40" t="str">
        <f ca="1">IFERROR(SUMIFS('TRA balance'!G$5:G$40,'TRA balance'!$C$5:$C$40,Assumptions!$C88,'TRA balance'!$D$5:$D$40,Assumptions!$B88)*DA88*J88,"")</f>
        <v/>
      </c>
      <c r="BG88" s="40" t="str">
        <f ca="1">IFERROR(SUMIFS('TRA balance'!H$5:H$40,'TRA balance'!$C$5:$C$40,Assumptions!$C88,'TRA balance'!$D$5:$D$40,Assumptions!$B88)*DB88*K88,"")</f>
        <v/>
      </c>
      <c r="BH88" s="40" t="str">
        <f ca="1">IFERROR(SUMIFS('TRA balance'!I$5:I$40,'TRA balance'!$C$5:$C$40,Assumptions!$C88,'TRA balance'!$D$5:$D$40,Assumptions!$B88)*DC88*L88,"")</f>
        <v/>
      </c>
      <c r="BI88" s="40" t="str">
        <f ca="1">IFERROR(SUMIFS('TRA balance'!J$5:J$40,'TRA balance'!$C$5:$C$40,Assumptions!$C88,'TRA balance'!$D$5:$D$40,Assumptions!$B88)*DD88*M88,"")</f>
        <v/>
      </c>
      <c r="BJ88" s="40" t="str">
        <f ca="1">IFERROR(SUMIFS('TRA balance'!K$5:K$40,'TRA balance'!$C$5:$C$40,Assumptions!$C88,'TRA balance'!$D$5:$D$40,Assumptions!$B88)*DE88*N88,"")</f>
        <v/>
      </c>
      <c r="BK88" s="40" t="str">
        <f ca="1">IFERROR(SUMIFS('TRA balance'!L$5:L$40,'TRA balance'!$C$5:$C$40,Assumptions!$C88,'TRA balance'!$D$5:$D$40,Assumptions!$B88)*DF88*O88,"")</f>
        <v/>
      </c>
      <c r="BL88" s="40" t="str">
        <f ca="1">IFERROR(SUMIFS('TRA balance'!M$5:M$40,'TRA balance'!$C$5:$C$40,Assumptions!$C88,'TRA balance'!$D$5:$D$40,Assumptions!$B88)*DG88*P88,"")</f>
        <v/>
      </c>
      <c r="BM88" s="40" t="str">
        <f ca="1">IFERROR(SUMIFS('TRA balance'!N$5:N$40,'TRA balance'!$C$5:$C$40,Assumptions!$C88,'TRA balance'!$D$5:$D$40,Assumptions!$B88)*DH88*Q88,"")</f>
        <v/>
      </c>
      <c r="BN88" s="40" t="str">
        <f ca="1">IFERROR(SUMIFS('TRA balance'!O$5:O$40,'TRA balance'!$C$5:$C$40,Assumptions!$C88,'TRA balance'!$D$5:$D$40,Assumptions!$B88)*DI88*R88,"")</f>
        <v/>
      </c>
      <c r="BO88" s="40" t="str">
        <f ca="1">IFERROR(SUMIFS('TRA balance'!P$5:P$40,'TRA balance'!$C$5:$C$40,Assumptions!$C88,'TRA balance'!$D$5:$D$40,Assumptions!$B88)*DJ88*S88,"")</f>
        <v/>
      </c>
      <c r="BP88" s="40" t="str">
        <f ca="1">IFERROR(SUMIFS('TRA balance'!Q$5:Q$40,'TRA balance'!$C$5:$C$40,Assumptions!$C88,'TRA balance'!$D$5:$D$40,Assumptions!$B88)*DK88*T88,"")</f>
        <v/>
      </c>
      <c r="BQ88" s="40" t="str">
        <f ca="1">IFERROR(SUMIFS('TRA balance'!R$5:R$40,'TRA balance'!$C$5:$C$40,Assumptions!$C88,'TRA balance'!$D$5:$D$40,Assumptions!$B88)*DL88*U88,"")</f>
        <v/>
      </c>
      <c r="BR88" s="40" t="str">
        <f ca="1">IFERROR(SUMIFS('TRA balance'!S$5:S$40,'TRA balance'!$C$5:$C$40,Assumptions!$C88,'TRA balance'!$D$5:$D$40,Assumptions!$B88)*DM88*V88,"")</f>
        <v/>
      </c>
      <c r="BS88" s="40" t="str">
        <f ca="1">IFERROR(SUMIFS('TRA balance'!T$5:T$40,'TRA balance'!$C$5:$C$40,Assumptions!$C88,'TRA balance'!$D$5:$D$40,Assumptions!$B88)*DN88*W88,"")</f>
        <v/>
      </c>
      <c r="BT88" s="40" t="str">
        <f ca="1">IFERROR(SUMIFS('TRA balance'!U$5:U$40,'TRA balance'!$C$5:$C$40,Assumptions!$C88,'TRA balance'!$D$5:$D$40,Assumptions!$B88)*DO88*X88,"")</f>
        <v/>
      </c>
      <c r="BU88" s="40" t="str">
        <f ca="1">IFERROR(SUMIFS('TRA balance'!V$5:V$40,'TRA balance'!$C$5:$C$40,Assumptions!$C88,'TRA balance'!$D$5:$D$40,Assumptions!$B88)*DP88*Y88,"")</f>
        <v/>
      </c>
      <c r="BV88" s="40" t="str">
        <f ca="1">IFERROR(SUMIFS('TRA balance'!W$5:W$40,'TRA balance'!$C$5:$C$40,Assumptions!$C88,'TRA balance'!$D$5:$D$40,Assumptions!$B88)*DQ88*Z88,"")</f>
        <v/>
      </c>
      <c r="BW88" s="40" t="str">
        <f ca="1">IFERROR(SUMIFS('TRA balance'!X$5:X$40,'TRA balance'!$C$5:$C$40,Assumptions!$C88,'TRA balance'!$D$5:$D$40,Assumptions!$B88)*DR88*AA88,"")</f>
        <v/>
      </c>
      <c r="BX88" s="40" t="str">
        <f ca="1">IFERROR(SUMIFS('TRA balance'!Y$5:Y$40,'TRA balance'!$C$5:$C$40,Assumptions!$C88,'TRA balance'!$D$5:$D$40,Assumptions!$B88)*DS88*AB88,"")</f>
        <v/>
      </c>
      <c r="BY88" s="40" t="str">
        <f ca="1">IFERROR(SUMIFS('TRA balance'!Z$5:Z$40,'TRA balance'!$C$5:$C$40,Assumptions!$C88,'TRA balance'!$D$5:$D$40,Assumptions!$B88)*DT88*AC88,"")</f>
        <v/>
      </c>
      <c r="BZ88" s="40" t="str">
        <f ca="1">IFERROR(SUMIFS('TRA balance'!AA$5:AA$40,'TRA balance'!$C$5:$C$40,Assumptions!$C88,'TRA balance'!$D$5:$D$40,Assumptions!$B88)*DU88*AD88,"")</f>
        <v/>
      </c>
      <c r="CA88" s="40" t="str">
        <f ca="1">IFERROR(SUMIFS('TRA balance'!AB$5:AB$40,'TRA balance'!$C$5:$C$40,Assumptions!$C88,'TRA balance'!$D$5:$D$40,Assumptions!$B88)*DV88*AE88,"")</f>
        <v/>
      </c>
      <c r="CB88" s="40" t="str">
        <f ca="1">IFERROR(SUMIFS('TRA balance'!AC$5:AC$40,'TRA balance'!$C$5:$C$40,Assumptions!$C88,'TRA balance'!$D$5:$D$40,Assumptions!$B88)*DW88*AF88,"")</f>
        <v/>
      </c>
      <c r="CC88" s="40" t="str">
        <f ca="1">IFERROR(SUMIFS('TRA balance'!AD$5:AD$40,'TRA balance'!$C$5:$C$40,Assumptions!$C88,'TRA balance'!$D$5:$D$40,Assumptions!$B88)*DX88*AG88,"")</f>
        <v/>
      </c>
      <c r="CD88" s="40" t="str">
        <f ca="1">IFERROR(SUMIFS('TRA balance'!AE$5:AE$40,'TRA balance'!$C$5:$C$40,Assumptions!$C88,'TRA balance'!$D$5:$D$40,Assumptions!$B88)*DY88*AH88,"")</f>
        <v/>
      </c>
      <c r="CE88" s="40" t="str">
        <f ca="1">IFERROR(SUMIFS('TRA balance'!AF$5:AF$40,'TRA balance'!$C$5:$C$40,Assumptions!$C88,'TRA balance'!$D$5:$D$40,Assumptions!$B88)*DZ88*AI88,"")</f>
        <v/>
      </c>
      <c r="CF88" s="40" t="str">
        <f ca="1">IFERROR(SUMIFS('TRA balance'!AG$5:AG$40,'TRA balance'!$C$5:$C$40,Assumptions!$C88,'TRA balance'!$D$5:$D$40,Assumptions!$B88)*EA88*AJ88,"")</f>
        <v/>
      </c>
      <c r="CG88" s="40" t="str">
        <f ca="1">IFERROR(SUMIFS('TRA balance'!AH$5:AH$40,'TRA balance'!$C$5:$C$40,Assumptions!$C88,'TRA balance'!$D$5:$D$40,Assumptions!$B88)*EB88*AK88,"")</f>
        <v/>
      </c>
      <c r="CH88" s="40" t="str">
        <f ca="1">IFERROR(SUMIFS('TRA balance'!AI$5:AI$40,'TRA balance'!$C$5:$C$40,Assumptions!$C88,'TRA balance'!$D$5:$D$40,Assumptions!$B88)*EC88*AL88,"")</f>
        <v/>
      </c>
      <c r="CI88" s="40" t="str">
        <f ca="1">IFERROR(SUMIFS('TRA balance'!AJ$5:AJ$40,'TRA balance'!$C$5:$C$40,Assumptions!$C88,'TRA balance'!$D$5:$D$40,Assumptions!$B88)*ED88*AM88,"")</f>
        <v/>
      </c>
      <c r="CJ88" s="40" t="str">
        <f ca="1">IFERROR(SUMIFS('TRA balance'!AK$5:AK$40,'TRA balance'!$C$5:$C$40,Assumptions!$C88,'TRA balance'!$D$5:$D$40,Assumptions!$B88)*EE88*AN88,"")</f>
        <v/>
      </c>
      <c r="CK88" s="40" t="str">
        <f ca="1">IFERROR(SUMIFS('TRA balance'!AL$5:AL$40,'TRA balance'!$C$5:$C$40,Assumptions!$C88,'TRA balance'!$D$5:$D$40,Assumptions!$B88)*EF88*AO88,"")</f>
        <v/>
      </c>
      <c r="CL88" s="40" t="str">
        <f ca="1">IFERROR(SUMIFS('TRA balance'!AM$5:AM$40,'TRA balance'!$C$5:$C$40,Assumptions!$C88,'TRA balance'!$D$5:$D$40,Assumptions!$B88)*EG88*AP88,"")</f>
        <v/>
      </c>
      <c r="CM88" s="40" t="str">
        <f ca="1">IFERROR(SUMIFS('TRA balance'!AN$5:AN$40,'TRA balance'!$C$5:$C$40,Assumptions!$C88,'TRA balance'!$D$5:$D$40,Assumptions!$B88)*EH88*AQ88,"")</f>
        <v/>
      </c>
      <c r="CN88" s="40" t="str">
        <f ca="1">IFERROR(SUMIFS('TRA balance'!AO$5:AO$40,'TRA balance'!$C$5:$C$40,Assumptions!$C88,'TRA balance'!$D$5:$D$40,Assumptions!$B88)*EI88*AR88,"")</f>
        <v/>
      </c>
      <c r="CO88" s="40" t="str">
        <f ca="1">IFERROR(SUMIFS('TRA balance'!AP$5:AP$40,'TRA balance'!$C$5:$C$40,Assumptions!$C88,'TRA balance'!$D$5:$D$40,Assumptions!$B88)*EJ88*AS88,"")</f>
        <v/>
      </c>
      <c r="CP88" s="40" t="str">
        <f ca="1">IFERROR(SUMIFS('TRA balance'!AQ$5:AQ$40,'TRA balance'!$C$5:$C$40,Assumptions!$C88,'TRA balance'!$D$5:$D$40,Assumptions!$B88)*EK88*AT88,"")</f>
        <v/>
      </c>
      <c r="CQ88" s="40" t="str">
        <f ca="1">IFERROR(SUMIFS('TRA balance'!AR$5:AR$40,'TRA balance'!$C$5:$C$40,Assumptions!$C88,'TRA balance'!$D$5:$D$40,Assumptions!$B88)*EL88*AU88,"")</f>
        <v/>
      </c>
      <c r="CR88" s="40" t="str">
        <f ca="1">IFERROR(SUMIFS('TRA balance'!AS$5:AS$40,'TRA balance'!$C$5:$C$40,Assumptions!$C88,'TRA balance'!$D$5:$D$40,Assumptions!$B88)*EM88*AV88,"")</f>
        <v/>
      </c>
      <c r="CS88" s="40" t="str">
        <f ca="1">IFERROR(SUMIFS('TRA balance'!AT$5:AT$40,'TRA balance'!$C$5:$C$40,Assumptions!$C88,'TRA balance'!$D$5:$D$40,Assumptions!$B88)*EN88*AW88,"")</f>
        <v/>
      </c>
      <c r="CT88" s="40" t="str">
        <f ca="1">IFERROR(SUMIFS('TRA balance'!AU$5:AU$40,'TRA balance'!$C$5:$C$40,Assumptions!$C88,'TRA balance'!$D$5:$D$40,Assumptions!$B88)*EO88*AX88,"")</f>
        <v/>
      </c>
      <c r="CU88" s="40" t="str">
        <f ca="1">IFERROR(SUMIFS('TRA balance'!AV$5:AV$40,'TRA balance'!$C$5:$C$40,Assumptions!$C88,'TRA balance'!$D$5:$D$40,Assumptions!$B88)*EP88*AY88,"")</f>
        <v/>
      </c>
      <c r="CV88" s="40" t="str">
        <f ca="1">IFERROR(SUMIFS('TRA balance'!AW$5:AW$40,'TRA balance'!$C$5:$C$40,Assumptions!$C88,'TRA balance'!$D$5:$D$40,Assumptions!$B88)*EQ88*AZ88,"")</f>
        <v/>
      </c>
      <c r="CW88" s="40" t="str">
        <f ca="1">IFERROR(SUMIFS('TRA balance'!AX$5:AX$40,'TRA balance'!$C$5:$C$40,Assumptions!$C88,'TRA balance'!$D$5:$D$40,Assumptions!$B88)*ER88*BA88,"")</f>
        <v/>
      </c>
      <c r="CY88" s="39">
        <f ca="1" t="shared" si="86"/>
        <v>1</v>
      </c>
      <c r="CZ88" s="39">
        <f ca="1" t="shared" si="87"/>
        <v>1</v>
      </c>
      <c r="DA88" s="39">
        <f ca="1" t="shared" si="88"/>
        <v>1</v>
      </c>
      <c r="DB88" s="39">
        <f ca="1" t="shared" si="89"/>
        <v>1</v>
      </c>
      <c r="DC88" s="39">
        <f ca="1" t="shared" si="90"/>
        <v>1</v>
      </c>
      <c r="DD88" s="39">
        <f ca="1" t="shared" si="91"/>
        <v>1</v>
      </c>
      <c r="DE88" s="39">
        <f ca="1" t="shared" si="92"/>
        <v>1</v>
      </c>
      <c r="DF88" s="39">
        <f ca="1" t="shared" si="93"/>
        <v>1</v>
      </c>
      <c r="DG88" s="39">
        <f ca="1" t="shared" si="94"/>
        <v>1</v>
      </c>
      <c r="DH88" s="39">
        <f ca="1" t="shared" si="95"/>
        <v>1</v>
      </c>
      <c r="DI88" s="39">
        <f ca="1" t="shared" si="96"/>
        <v>1</v>
      </c>
      <c r="DJ88" s="39">
        <f ca="1" t="shared" si="97"/>
        <v>1</v>
      </c>
      <c r="DK88" s="39">
        <f ca="1" t="shared" si="98"/>
        <v>1</v>
      </c>
      <c r="DL88" s="39">
        <f ca="1" t="shared" si="99"/>
        <v>1</v>
      </c>
      <c r="DM88" s="39">
        <f ca="1" t="shared" si="100"/>
        <v>1</v>
      </c>
      <c r="DN88" s="39">
        <f ca="1" t="shared" si="101"/>
        <v>1</v>
      </c>
      <c r="DO88" s="39">
        <f ca="1" t="shared" si="102"/>
        <v>1</v>
      </c>
      <c r="DP88" s="39">
        <f ca="1" t="shared" si="103"/>
        <v>1</v>
      </c>
      <c r="DQ88" s="39">
        <f ca="1" t="shared" si="104"/>
        <v>1</v>
      </c>
      <c r="DR88" s="39">
        <f ca="1" t="shared" si="105"/>
        <v>1</v>
      </c>
      <c r="DS88" s="39">
        <f ca="1" t="shared" si="106"/>
        <v>1</v>
      </c>
      <c r="DT88" s="39">
        <f ca="1" t="shared" si="107"/>
        <v>1</v>
      </c>
      <c r="DU88" s="39">
        <f ca="1" t="shared" si="108"/>
        <v>1</v>
      </c>
      <c r="DV88" s="39">
        <f ca="1" t="shared" si="109"/>
        <v>1</v>
      </c>
      <c r="DW88" s="39">
        <f ca="1" t="shared" si="110"/>
        <v>1</v>
      </c>
      <c r="DX88" s="39">
        <f ca="1" t="shared" si="111"/>
        <v>1</v>
      </c>
      <c r="DY88" s="39">
        <f ca="1" t="shared" si="112"/>
        <v>1</v>
      </c>
      <c r="DZ88" s="39">
        <f ca="1" t="shared" si="113"/>
        <v>1</v>
      </c>
      <c r="EA88" s="39">
        <f ca="1" t="shared" si="114"/>
        <v>1</v>
      </c>
      <c r="EB88" s="39">
        <f ca="1" t="shared" si="115"/>
        <v>1</v>
      </c>
      <c r="EC88" s="39">
        <f ca="1" t="shared" si="116"/>
        <v>1</v>
      </c>
      <c r="ED88" s="39">
        <f ca="1" t="shared" si="117"/>
        <v>1</v>
      </c>
      <c r="EE88" s="39">
        <f ca="1" t="shared" si="118"/>
        <v>1</v>
      </c>
      <c r="EF88" s="39">
        <f ca="1" t="shared" si="119"/>
        <v>1</v>
      </c>
      <c r="EG88" s="39">
        <f ca="1" t="shared" si="120"/>
        <v>1</v>
      </c>
      <c r="EH88" s="39">
        <f ca="1" t="shared" si="121"/>
        <v>1</v>
      </c>
      <c r="EI88" s="39">
        <f ca="1" t="shared" si="122"/>
        <v>1</v>
      </c>
      <c r="EJ88" s="39">
        <f ca="1" t="shared" si="123"/>
        <v>1</v>
      </c>
      <c r="EK88" s="39">
        <f ca="1" t="shared" si="124"/>
        <v>1</v>
      </c>
      <c r="EL88" s="39">
        <f ca="1" t="shared" si="125"/>
        <v>1</v>
      </c>
      <c r="EM88" s="39">
        <f ca="1" t="shared" si="126"/>
        <v>1</v>
      </c>
      <c r="EN88" s="39">
        <f ca="1" t="shared" si="127"/>
        <v>1</v>
      </c>
      <c r="EO88" s="39">
        <f ca="1" t="shared" si="128"/>
        <v>1</v>
      </c>
      <c r="EP88" s="39">
        <f ca="1" t="shared" si="129"/>
        <v>1</v>
      </c>
      <c r="EQ88" s="39">
        <f ca="1" t="shared" si="130"/>
        <v>1</v>
      </c>
      <c r="ER88" s="39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2">
        <v>1</v>
      </c>
      <c r="D89" s="63" t="s">
        <v>200</v>
      </c>
      <c r="E89" s="63" t="s">
        <v>201</v>
      </c>
      <c r="F89" s="64" t="s">
        <v>63</v>
      </c>
      <c r="G89" s="62"/>
      <c r="H89" s="57">
        <f ca="1">OFFSET(TIAM15_assumptions!$G89,0,MATCH(VLOOKUP(Assumptions!H$2,TIAM15_assumptions!$Y$3:$Z$87,2,FALSE),TIAM15_assumptions!$H$2:$V$2,0))</f>
        <v>0</v>
      </c>
      <c r="I89" s="57">
        <f ca="1">OFFSET(TIAM15_assumptions!$G89,0,MATCH(VLOOKUP(Assumptions!I$2,TIAM15_assumptions!$Y$3:$Z$87,2,FALSE),TIAM15_assumptions!$H$2:$V$2,0))</f>
        <v>0</v>
      </c>
      <c r="J89" s="57">
        <f ca="1">OFFSET(TIAM15_assumptions!$G89,0,MATCH(VLOOKUP(Assumptions!J$2,TIAM15_assumptions!$Y$3:$Z$87,2,FALSE),TIAM15_assumptions!$H$2:$V$2,0))</f>
        <v>1</v>
      </c>
      <c r="K89" s="57">
        <f ca="1">OFFSET(TIAM15_assumptions!$G89,0,MATCH(VLOOKUP(Assumptions!K$2,TIAM15_assumptions!$Y$3:$Z$87,2,FALSE),TIAM15_assumptions!$H$2:$V$2,0))</f>
        <v>1</v>
      </c>
      <c r="L89" s="57">
        <f ca="1">OFFSET(TIAM15_assumptions!$G89,0,MATCH(VLOOKUP(Assumptions!L$2,TIAM15_assumptions!$Y$3:$Z$87,2,FALSE),TIAM15_assumptions!$H$2:$V$2,0))</f>
        <v>0</v>
      </c>
      <c r="M89" s="57">
        <f ca="1">OFFSET(TIAM15_assumptions!$G89,0,MATCH(VLOOKUP(Assumptions!M$2,TIAM15_assumptions!$Y$3:$Z$87,2,FALSE),TIAM15_assumptions!$H$2:$V$2,0))</f>
        <v>1</v>
      </c>
      <c r="N89" s="57">
        <f ca="1">OFFSET(TIAM15_assumptions!$G89,0,MATCH(VLOOKUP(Assumptions!N$2,TIAM15_assumptions!$Y$3:$Z$87,2,FALSE),TIAM15_assumptions!$H$2:$V$2,0))</f>
        <v>0.5</v>
      </c>
      <c r="O89" s="57">
        <f ca="1">OFFSET(TIAM15_assumptions!$G89,0,MATCH(VLOOKUP(Assumptions!O$2,TIAM15_assumptions!$Y$3:$Z$87,2,FALSE),TIAM15_assumptions!$H$2:$V$2,0))</f>
        <v>0.8</v>
      </c>
      <c r="P89" s="57">
        <f ca="1">OFFSET(TIAM15_assumptions!$G89,0,MATCH(VLOOKUP(Assumptions!P$2,TIAM15_assumptions!$Y$3:$Z$87,2,FALSE),TIAM15_assumptions!$H$2:$V$2,0))</f>
        <v>0</v>
      </c>
      <c r="Q89" s="57">
        <f ca="1">OFFSET(TIAM15_assumptions!$G89,0,MATCH(VLOOKUP(Assumptions!Q$2,TIAM15_assumptions!$Y$3:$Z$87,2,FALSE),TIAM15_assumptions!$H$2:$V$2,0))</f>
        <v>0</v>
      </c>
      <c r="R89" s="57">
        <f ca="1">OFFSET(TIAM15_assumptions!$G89,0,MATCH(VLOOKUP(Assumptions!R$2,TIAM15_assumptions!$Y$3:$Z$87,2,FALSE),TIAM15_assumptions!$H$2:$V$2,0))</f>
        <v>1</v>
      </c>
      <c r="S89" s="57">
        <f ca="1">OFFSET(TIAM15_assumptions!$G89,0,MATCH(VLOOKUP(Assumptions!S$2,TIAM15_assumptions!$Y$3:$Z$87,2,FALSE),TIAM15_assumptions!$H$2:$V$2,0))</f>
        <v>1</v>
      </c>
      <c r="T89" s="57">
        <f ca="1">OFFSET(TIAM15_assumptions!$G89,0,MATCH(VLOOKUP(Assumptions!T$2,TIAM15_assumptions!$Y$3:$Z$87,2,FALSE),TIAM15_assumptions!$H$2:$V$2,0))</f>
        <v>1</v>
      </c>
      <c r="U89" s="57">
        <f ca="1">OFFSET(TIAM15_assumptions!$G89,0,MATCH(VLOOKUP(Assumptions!U$2,TIAM15_assumptions!$Y$3:$Z$87,2,FALSE),TIAM15_assumptions!$H$2:$V$2,0))</f>
        <v>0</v>
      </c>
      <c r="V89" s="57">
        <f ca="1">OFFSET(TIAM15_assumptions!$G89,0,MATCH(VLOOKUP(Assumptions!V$2,TIAM15_assumptions!$Y$3:$Z$87,2,FALSE),TIAM15_assumptions!$H$2:$V$2,0))</f>
        <v>1</v>
      </c>
      <c r="W89" s="57">
        <f ca="1">OFFSET(TIAM15_assumptions!$G89,0,MATCH(VLOOKUP(Assumptions!W$2,TIAM15_assumptions!$Y$3:$Z$87,2,FALSE),TIAM15_assumptions!$H$2:$V$2,0))</f>
        <v>0</v>
      </c>
      <c r="X89" s="57">
        <f ca="1">OFFSET(TIAM15_assumptions!$G89,0,MATCH(VLOOKUP(Assumptions!X$2,TIAM15_assumptions!$Y$3:$Z$87,2,FALSE),TIAM15_assumptions!$H$2:$V$2,0))</f>
        <v>1</v>
      </c>
      <c r="Y89" s="57">
        <f ca="1">OFFSET(TIAM15_assumptions!$G89,0,MATCH(VLOOKUP(Assumptions!Y$2,TIAM15_assumptions!$Y$3:$Z$87,2,FALSE),TIAM15_assumptions!$H$2:$V$2,0))</f>
        <v>1</v>
      </c>
      <c r="Z89" s="57">
        <f ca="1">OFFSET(TIAM15_assumptions!$G89,0,MATCH(VLOOKUP(Assumptions!Z$2,TIAM15_assumptions!$Y$3:$Z$87,2,FALSE),TIAM15_assumptions!$H$2:$V$2,0))</f>
        <v>1</v>
      </c>
      <c r="AA89" s="57">
        <f ca="1">OFFSET(TIAM15_assumptions!$G89,0,MATCH(VLOOKUP(Assumptions!AA$2,TIAM15_assumptions!$Y$3:$Z$87,2,FALSE),TIAM15_assumptions!$H$2:$V$2,0))</f>
        <v>0.5</v>
      </c>
      <c r="AB89" s="57">
        <f ca="1">OFFSET(TIAM15_assumptions!$G89,0,MATCH(VLOOKUP(Assumptions!AB$2,TIAM15_assumptions!$Y$3:$Z$87,2,FALSE),TIAM15_assumptions!$H$2:$V$2,0))</f>
        <v>0</v>
      </c>
      <c r="AC89" s="57">
        <f ca="1">OFFSET(TIAM15_assumptions!$G89,0,MATCH(VLOOKUP(Assumptions!AC$2,TIAM15_assumptions!$Y$3:$Z$87,2,FALSE),TIAM15_assumptions!$H$2:$V$2,0))</f>
        <v>1</v>
      </c>
      <c r="AD89" s="57">
        <f ca="1">OFFSET(TIAM15_assumptions!$G89,0,MATCH(VLOOKUP(Assumptions!AD$2,TIAM15_assumptions!$Y$3:$Z$87,2,FALSE),TIAM15_assumptions!$H$2:$V$2,0))</f>
        <v>1</v>
      </c>
      <c r="AE89" s="57">
        <f ca="1">OFFSET(TIAM15_assumptions!$G89,0,MATCH(VLOOKUP(Assumptions!AE$2,TIAM15_assumptions!$Y$3:$Z$87,2,FALSE),TIAM15_assumptions!$H$2:$V$2,0))</f>
        <v>0</v>
      </c>
      <c r="AF89" s="57">
        <f ca="1">OFFSET(TIAM15_assumptions!$G89,0,MATCH(VLOOKUP(Assumptions!AF$2,TIAM15_assumptions!$Y$3:$Z$87,2,FALSE),TIAM15_assumptions!$H$2:$V$2,0))</f>
        <v>1</v>
      </c>
      <c r="AG89" s="57">
        <f ca="1">OFFSET(TIAM15_assumptions!$G89,0,MATCH(VLOOKUP(Assumptions!AG$2,TIAM15_assumptions!$Y$3:$Z$87,2,FALSE),TIAM15_assumptions!$H$2:$V$2,0))</f>
        <v>0</v>
      </c>
      <c r="AH89" s="57">
        <f ca="1">OFFSET(TIAM15_assumptions!$G89,0,MATCH(VLOOKUP(Assumptions!AH$2,TIAM15_assumptions!$Y$3:$Z$87,2,FALSE),TIAM15_assumptions!$H$2:$V$2,0))</f>
        <v>0</v>
      </c>
      <c r="AI89" s="57">
        <f ca="1">OFFSET(TIAM15_assumptions!$G89,0,MATCH(VLOOKUP(Assumptions!AI$2,TIAM15_assumptions!$Y$3:$Z$87,2,FALSE),TIAM15_assumptions!$H$2:$V$2,0))</f>
        <v>0</v>
      </c>
      <c r="AJ89" s="57">
        <f ca="1">OFFSET(TIAM15_assumptions!$G89,0,MATCH(VLOOKUP(Assumptions!AJ$2,TIAM15_assumptions!$Y$3:$Z$87,2,FALSE),TIAM15_assumptions!$H$2:$V$2,0))</f>
        <v>1</v>
      </c>
      <c r="AK89" s="57">
        <f ca="1">OFFSET(TIAM15_assumptions!$G89,0,MATCH(VLOOKUP(Assumptions!AK$2,TIAM15_assumptions!$Y$3:$Z$87,2,FALSE),TIAM15_assumptions!$H$2:$V$2,0))</f>
        <v>1</v>
      </c>
      <c r="AL89" s="57">
        <f ca="1">OFFSET(TIAM15_assumptions!$G89,0,MATCH(VLOOKUP(Assumptions!AL$2,TIAM15_assumptions!$Y$3:$Z$87,2,FALSE),TIAM15_assumptions!$H$2:$V$2,0))</f>
        <v>1</v>
      </c>
      <c r="AM89" s="57">
        <f ca="1">OFFSET(TIAM15_assumptions!$G89,0,MATCH(VLOOKUP(Assumptions!AM$2,TIAM15_assumptions!$Y$3:$Z$87,2,FALSE),TIAM15_assumptions!$H$2:$V$2,0))</f>
        <v>0</v>
      </c>
      <c r="AN89" s="57">
        <f ca="1">OFFSET(TIAM15_assumptions!$G89,0,MATCH(VLOOKUP(Assumptions!AN$2,TIAM15_assumptions!$Y$3:$Z$87,2,FALSE),TIAM15_assumptions!$H$2:$V$2,0))</f>
        <v>1</v>
      </c>
      <c r="AO89" s="57">
        <f ca="1">OFFSET(TIAM15_assumptions!$G89,0,MATCH(VLOOKUP(Assumptions!AO$2,TIAM15_assumptions!$Y$3:$Z$87,2,FALSE),TIAM15_assumptions!$H$2:$V$2,0))</f>
        <v>0</v>
      </c>
      <c r="AP89" s="57">
        <f ca="1">OFFSET(TIAM15_assumptions!$G89,0,MATCH(VLOOKUP(Assumptions!AP$2,TIAM15_assumptions!$Y$3:$Z$87,2,FALSE),TIAM15_assumptions!$H$2:$V$2,0))</f>
        <v>0</v>
      </c>
      <c r="AQ89" s="57">
        <f ca="1">OFFSET(TIAM15_assumptions!$G89,0,MATCH(VLOOKUP(Assumptions!AQ$2,TIAM15_assumptions!$Y$3:$Z$87,2,FALSE),TIAM15_assumptions!$H$2:$V$2,0))</f>
        <v>1</v>
      </c>
      <c r="AR89" s="57">
        <f ca="1">OFFSET(TIAM15_assumptions!$G89,0,MATCH(VLOOKUP(Assumptions!AR$2,TIAM15_assumptions!$Y$3:$Z$87,2,FALSE),TIAM15_assumptions!$H$2:$V$2,0))</f>
        <v>1</v>
      </c>
      <c r="AS89" s="57">
        <f ca="1">OFFSET(TIAM15_assumptions!$G89,0,MATCH(VLOOKUP(Assumptions!AS$2,TIAM15_assumptions!$Y$3:$Z$87,2,FALSE),TIAM15_assumptions!$H$2:$V$2,0))</f>
        <v>1</v>
      </c>
      <c r="AT89" s="57">
        <f ca="1">OFFSET(TIAM15_assumptions!$G89,0,MATCH(VLOOKUP(Assumptions!AT$2,TIAM15_assumptions!$Y$3:$Z$87,2,FALSE),TIAM15_assumptions!$H$2:$V$2,0))</f>
        <v>1</v>
      </c>
      <c r="AU89" s="57">
        <f ca="1">OFFSET(TIAM15_assumptions!$G89,0,MATCH(VLOOKUP(Assumptions!AU$2,TIAM15_assumptions!$Y$3:$Z$87,2,FALSE),TIAM15_assumptions!$H$2:$V$2,0))</f>
        <v>1</v>
      </c>
      <c r="AV89" s="57">
        <f ca="1">OFFSET(TIAM15_assumptions!$G89,0,MATCH(VLOOKUP(Assumptions!AV$2,TIAM15_assumptions!$Y$3:$Z$87,2,FALSE),TIAM15_assumptions!$H$2:$V$2,0))</f>
        <v>1</v>
      </c>
      <c r="AW89" s="57">
        <f ca="1">OFFSET(TIAM15_assumptions!$G89,0,MATCH(VLOOKUP(Assumptions!AW$2,TIAM15_assumptions!$Y$3:$Z$87,2,FALSE),TIAM15_assumptions!$H$2:$V$2,0))</f>
        <v>1</v>
      </c>
      <c r="AX89" s="57">
        <f ca="1">OFFSET(TIAM15_assumptions!$G89,0,MATCH(VLOOKUP(Assumptions!AX$2,TIAM15_assumptions!$Y$3:$Z$87,2,FALSE),TIAM15_assumptions!$H$2:$V$2,0))</f>
        <v>1</v>
      </c>
      <c r="AY89" s="57">
        <f ca="1">OFFSET(TIAM15_assumptions!$G89,0,MATCH(VLOOKUP(Assumptions!AY$2,TIAM15_assumptions!$Y$3:$Z$87,2,FALSE),TIAM15_assumptions!$H$2:$V$2,0))</f>
        <v>1</v>
      </c>
      <c r="AZ89" s="57">
        <f ca="1">OFFSET(TIAM15_assumptions!$G89,0,MATCH(VLOOKUP(Assumptions!AZ$2,TIAM15_assumptions!$Y$3:$Z$87,2,FALSE),TIAM15_assumptions!$H$2:$V$2,0))</f>
        <v>1</v>
      </c>
      <c r="BA89" s="57">
        <f ca="1">OFFSET(TIAM15_assumptions!$G89,0,MATCH(VLOOKUP(Assumptions!BA$2,TIAM15_assumptions!$Y$3:$Z$87,2,FALSE),TIAM15_assumptions!$H$2:$V$2,0))</f>
        <v>1</v>
      </c>
      <c r="BD89" s="40">
        <f ca="1">IFERROR(SUMIFS('TRA balance'!E$5:E$40,'TRA balance'!$C$5:$C$40,Assumptions!$C89,'TRA balance'!$D$5:$D$40,Assumptions!$B89)*CY89*H89,"")</f>
        <v>0</v>
      </c>
      <c r="BE89" s="40">
        <f ca="1">IFERROR(SUMIFS('TRA balance'!F$5:F$40,'TRA balance'!$C$5:$C$40,Assumptions!$C89,'TRA balance'!$D$5:$D$40,Assumptions!$B89)*CZ89*I89,"")</f>
        <v>0</v>
      </c>
      <c r="BF89" s="40">
        <f ca="1">IFERROR(SUMIFS('TRA balance'!G$5:G$40,'TRA balance'!$C$5:$C$40,Assumptions!$C89,'TRA balance'!$D$5:$D$40,Assumptions!$B89)*DA89*J89,"")</f>
        <v>0</v>
      </c>
      <c r="BG89" s="40">
        <f ca="1">IFERROR(SUMIFS('TRA balance'!H$5:H$40,'TRA balance'!$C$5:$C$40,Assumptions!$C89,'TRA balance'!$D$5:$D$40,Assumptions!$B89)*DB89*K89,"")</f>
        <v>0</v>
      </c>
      <c r="BH89" s="40">
        <f ca="1">IFERROR(SUMIFS('TRA balance'!I$5:I$40,'TRA balance'!$C$5:$C$40,Assumptions!$C89,'TRA balance'!$D$5:$D$40,Assumptions!$B89)*DC89*L89,"")</f>
        <v>0</v>
      </c>
      <c r="BI89" s="40">
        <f ca="1">IFERROR(SUMIFS('TRA balance'!J$5:J$40,'TRA balance'!$C$5:$C$40,Assumptions!$C89,'TRA balance'!$D$5:$D$40,Assumptions!$B89)*DD89*M89,"")</f>
        <v>0</v>
      </c>
      <c r="BJ89" s="40">
        <f ca="1">IFERROR(SUMIFS('TRA balance'!K$5:K$40,'TRA balance'!$C$5:$C$40,Assumptions!$C89,'TRA balance'!$D$5:$D$40,Assumptions!$B89)*DE89*N89,"")</f>
        <v>0</v>
      </c>
      <c r="BK89" s="40">
        <f ca="1">IFERROR(SUMIFS('TRA balance'!L$5:L$40,'TRA balance'!$C$5:$C$40,Assumptions!$C89,'TRA balance'!$D$5:$D$40,Assumptions!$B89)*DF89*O89,"")</f>
        <v>0</v>
      </c>
      <c r="BL89" s="40">
        <f ca="1">IFERROR(SUMIFS('TRA balance'!M$5:M$40,'TRA balance'!$C$5:$C$40,Assumptions!$C89,'TRA balance'!$D$5:$D$40,Assumptions!$B89)*DG89*P89,"")</f>
        <v>0</v>
      </c>
      <c r="BM89" s="40">
        <f ca="1">IFERROR(SUMIFS('TRA balance'!N$5:N$40,'TRA balance'!$C$5:$C$40,Assumptions!$C89,'TRA balance'!$D$5:$D$40,Assumptions!$B89)*DH89*Q89,"")</f>
        <v>0</v>
      </c>
      <c r="BN89" s="40">
        <f ca="1">IFERROR(SUMIFS('TRA balance'!O$5:O$40,'TRA balance'!$C$5:$C$40,Assumptions!$C89,'TRA balance'!$D$5:$D$40,Assumptions!$B89)*DI89*R89,"")</f>
        <v>0</v>
      </c>
      <c r="BO89" s="40">
        <f ca="1">IFERROR(SUMIFS('TRA balance'!P$5:P$40,'TRA balance'!$C$5:$C$40,Assumptions!$C89,'TRA balance'!$D$5:$D$40,Assumptions!$B89)*DJ89*S89,"")</f>
        <v>0</v>
      </c>
      <c r="BP89" s="40">
        <f ca="1">IFERROR(SUMIFS('TRA balance'!Q$5:Q$40,'TRA balance'!$C$5:$C$40,Assumptions!$C89,'TRA balance'!$D$5:$D$40,Assumptions!$B89)*DK89*T89,"")</f>
        <v>0</v>
      </c>
      <c r="BQ89" s="40">
        <f ca="1">IFERROR(SUMIFS('TRA balance'!R$5:R$40,'TRA balance'!$C$5:$C$40,Assumptions!$C89,'TRA balance'!$D$5:$D$40,Assumptions!$B89)*DL89*U89,"")</f>
        <v>0</v>
      </c>
      <c r="BR89" s="40">
        <f ca="1">IFERROR(SUMIFS('TRA balance'!S$5:S$40,'TRA balance'!$C$5:$C$40,Assumptions!$C89,'TRA balance'!$D$5:$D$40,Assumptions!$B89)*DM89*V89,"")</f>
        <v>0</v>
      </c>
      <c r="BS89" s="40">
        <f ca="1">IFERROR(SUMIFS('TRA balance'!T$5:T$40,'TRA balance'!$C$5:$C$40,Assumptions!$C89,'TRA balance'!$D$5:$D$40,Assumptions!$B89)*DN89*W89,"")</f>
        <v>0</v>
      </c>
      <c r="BT89" s="40">
        <f ca="1">IFERROR(SUMIFS('TRA balance'!U$5:U$40,'TRA balance'!$C$5:$C$40,Assumptions!$C89,'TRA balance'!$D$5:$D$40,Assumptions!$B89)*DO89*X89,"")</f>
        <v>0</v>
      </c>
      <c r="BU89" s="40">
        <f ca="1">IFERROR(SUMIFS('TRA balance'!V$5:V$40,'TRA balance'!$C$5:$C$40,Assumptions!$C89,'TRA balance'!$D$5:$D$40,Assumptions!$B89)*DP89*Y89,"")</f>
        <v>0</v>
      </c>
      <c r="BV89" s="40">
        <f ca="1">IFERROR(SUMIFS('TRA balance'!W$5:W$40,'TRA balance'!$C$5:$C$40,Assumptions!$C89,'TRA balance'!$D$5:$D$40,Assumptions!$B89)*DQ89*Z89,"")</f>
        <v>0</v>
      </c>
      <c r="BW89" s="40">
        <f ca="1">IFERROR(SUMIFS('TRA balance'!X$5:X$40,'TRA balance'!$C$5:$C$40,Assumptions!$C89,'TRA balance'!$D$5:$D$40,Assumptions!$B89)*DR89*AA89,"")</f>
        <v>0</v>
      </c>
      <c r="BX89" s="40">
        <f ca="1">IFERROR(SUMIFS('TRA balance'!Y$5:Y$40,'TRA balance'!$C$5:$C$40,Assumptions!$C89,'TRA balance'!$D$5:$D$40,Assumptions!$B89)*DS89*AB89,"")</f>
        <v>0</v>
      </c>
      <c r="BY89" s="40">
        <f ca="1">IFERROR(SUMIFS('TRA balance'!Z$5:Z$40,'TRA balance'!$C$5:$C$40,Assumptions!$C89,'TRA balance'!$D$5:$D$40,Assumptions!$B89)*DT89*AC89,"")</f>
        <v>0</v>
      </c>
      <c r="BZ89" s="40">
        <f ca="1">IFERROR(SUMIFS('TRA balance'!AA$5:AA$40,'TRA balance'!$C$5:$C$40,Assumptions!$C89,'TRA balance'!$D$5:$D$40,Assumptions!$B89)*DU89*AD89,"")</f>
        <v>0</v>
      </c>
      <c r="CA89" s="40">
        <f ca="1">IFERROR(SUMIFS('TRA balance'!AB$5:AB$40,'TRA balance'!$C$5:$C$40,Assumptions!$C89,'TRA balance'!$D$5:$D$40,Assumptions!$B89)*DV89*AE89,"")</f>
        <v>0</v>
      </c>
      <c r="CB89" s="40">
        <f ca="1">IFERROR(SUMIFS('TRA balance'!AC$5:AC$40,'TRA balance'!$C$5:$C$40,Assumptions!$C89,'TRA balance'!$D$5:$D$40,Assumptions!$B89)*DW89*AF89,"")</f>
        <v>0</v>
      </c>
      <c r="CC89" s="40">
        <f ca="1">IFERROR(SUMIFS('TRA balance'!AD$5:AD$40,'TRA balance'!$C$5:$C$40,Assumptions!$C89,'TRA balance'!$D$5:$D$40,Assumptions!$B89)*DX89*AG89,"")</f>
        <v>0</v>
      </c>
      <c r="CD89" s="40">
        <f ca="1">IFERROR(SUMIFS('TRA balance'!AE$5:AE$40,'TRA balance'!$C$5:$C$40,Assumptions!$C89,'TRA balance'!$D$5:$D$40,Assumptions!$B89)*DY89*AH89,"")</f>
        <v>0</v>
      </c>
      <c r="CE89" s="40">
        <f ca="1">IFERROR(SUMIFS('TRA balance'!AF$5:AF$40,'TRA balance'!$C$5:$C$40,Assumptions!$C89,'TRA balance'!$D$5:$D$40,Assumptions!$B89)*DZ89*AI89,"")</f>
        <v>0</v>
      </c>
      <c r="CF89" s="40">
        <f ca="1">IFERROR(SUMIFS('TRA balance'!AG$5:AG$40,'TRA balance'!$C$5:$C$40,Assumptions!$C89,'TRA balance'!$D$5:$D$40,Assumptions!$B89)*EA89*AJ89,"")</f>
        <v>0</v>
      </c>
      <c r="CG89" s="40">
        <f ca="1">IFERROR(SUMIFS('TRA balance'!AH$5:AH$40,'TRA balance'!$C$5:$C$40,Assumptions!$C89,'TRA balance'!$D$5:$D$40,Assumptions!$B89)*EB89*AK89,"")</f>
        <v>0</v>
      </c>
      <c r="CH89" s="40">
        <f ca="1">IFERROR(SUMIFS('TRA balance'!AI$5:AI$40,'TRA balance'!$C$5:$C$40,Assumptions!$C89,'TRA balance'!$D$5:$D$40,Assumptions!$B89)*EC89*AL89,"")</f>
        <v>0</v>
      </c>
      <c r="CI89" s="40">
        <f ca="1">IFERROR(SUMIFS('TRA balance'!AJ$5:AJ$40,'TRA balance'!$C$5:$C$40,Assumptions!$C89,'TRA balance'!$D$5:$D$40,Assumptions!$B89)*ED89*AM89,"")</f>
        <v>0</v>
      </c>
      <c r="CJ89" s="40">
        <f ca="1">IFERROR(SUMIFS('TRA balance'!AK$5:AK$40,'TRA balance'!$C$5:$C$40,Assumptions!$C89,'TRA balance'!$D$5:$D$40,Assumptions!$B89)*EE89*AN89,"")</f>
        <v>0</v>
      </c>
      <c r="CK89" s="40">
        <f ca="1">IFERROR(SUMIFS('TRA balance'!AL$5:AL$40,'TRA balance'!$C$5:$C$40,Assumptions!$C89,'TRA balance'!$D$5:$D$40,Assumptions!$B89)*EF89*AO89,"")</f>
        <v>0</v>
      </c>
      <c r="CL89" s="40">
        <f ca="1">IFERROR(SUMIFS('TRA balance'!AM$5:AM$40,'TRA balance'!$C$5:$C$40,Assumptions!$C89,'TRA balance'!$D$5:$D$40,Assumptions!$B89)*EG89*AP89,"")</f>
        <v>0</v>
      </c>
      <c r="CM89" s="40">
        <f ca="1">IFERROR(SUMIFS('TRA balance'!AN$5:AN$40,'TRA balance'!$C$5:$C$40,Assumptions!$C89,'TRA balance'!$D$5:$D$40,Assumptions!$B89)*EH89*AQ89,"")</f>
        <v>0</v>
      </c>
      <c r="CN89" s="40">
        <f ca="1">IFERROR(SUMIFS('TRA balance'!AO$5:AO$40,'TRA balance'!$C$5:$C$40,Assumptions!$C89,'TRA balance'!$D$5:$D$40,Assumptions!$B89)*EI89*AR89,"")</f>
        <v>0</v>
      </c>
      <c r="CO89" s="40">
        <f ca="1">IFERROR(SUMIFS('TRA balance'!AP$5:AP$40,'TRA balance'!$C$5:$C$40,Assumptions!$C89,'TRA balance'!$D$5:$D$40,Assumptions!$B89)*EJ89*AS89,"")</f>
        <v>0</v>
      </c>
      <c r="CP89" s="40">
        <f ca="1">IFERROR(SUMIFS('TRA balance'!AQ$5:AQ$40,'TRA balance'!$C$5:$C$40,Assumptions!$C89,'TRA balance'!$D$5:$D$40,Assumptions!$B89)*EK89*AT89,"")</f>
        <v>0</v>
      </c>
      <c r="CQ89" s="40">
        <f ca="1">IFERROR(SUMIFS('TRA balance'!AR$5:AR$40,'TRA balance'!$C$5:$C$40,Assumptions!$C89,'TRA balance'!$D$5:$D$40,Assumptions!$B89)*EL89*AU89,"")</f>
        <v>0</v>
      </c>
      <c r="CR89" s="40">
        <f ca="1">IFERROR(SUMIFS('TRA balance'!AS$5:AS$40,'TRA balance'!$C$5:$C$40,Assumptions!$C89,'TRA balance'!$D$5:$D$40,Assumptions!$B89)*EM89*AV89,"")</f>
        <v>0</v>
      </c>
      <c r="CS89" s="40">
        <f ca="1">IFERROR(SUMIFS('TRA balance'!AT$5:AT$40,'TRA balance'!$C$5:$C$40,Assumptions!$C89,'TRA balance'!$D$5:$D$40,Assumptions!$B89)*EN89*AW89,"")</f>
        <v>0</v>
      </c>
      <c r="CT89" s="40">
        <f ca="1">IFERROR(SUMIFS('TRA balance'!AU$5:AU$40,'TRA balance'!$C$5:$C$40,Assumptions!$C89,'TRA balance'!$D$5:$D$40,Assumptions!$B89)*EO89*AX89,"")</f>
        <v>0</v>
      </c>
      <c r="CU89" s="40">
        <f ca="1">IFERROR(SUMIFS('TRA balance'!AV$5:AV$40,'TRA balance'!$C$5:$C$40,Assumptions!$C89,'TRA balance'!$D$5:$D$40,Assumptions!$B89)*EP89*AY89,"")</f>
        <v>0</v>
      </c>
      <c r="CV89" s="40">
        <f ca="1">IFERROR(SUMIFS('TRA balance'!AW$5:AW$40,'TRA balance'!$C$5:$C$40,Assumptions!$C89,'TRA balance'!$D$5:$D$40,Assumptions!$B89)*EQ89*AZ89,"")</f>
        <v>0</v>
      </c>
      <c r="CW89" s="40">
        <f ca="1">IFERROR(SUMIFS('TRA balance'!AX$5:AX$40,'TRA balance'!$C$5:$C$40,Assumptions!$C89,'TRA balance'!$D$5:$D$40,Assumptions!$B89)*ER89*BA89,"")</f>
        <v>0</v>
      </c>
      <c r="CY89" s="39">
        <f ca="1" t="shared" si="86"/>
        <v>1</v>
      </c>
      <c r="CZ89" s="39">
        <f ca="1" t="shared" si="87"/>
        <v>1</v>
      </c>
      <c r="DA89" s="39">
        <f ca="1" t="shared" si="88"/>
        <v>1</v>
      </c>
      <c r="DB89" s="39">
        <f ca="1" t="shared" si="89"/>
        <v>1</v>
      </c>
      <c r="DC89" s="39">
        <f ca="1" t="shared" si="90"/>
        <v>1</v>
      </c>
      <c r="DD89" s="39">
        <f ca="1" t="shared" si="91"/>
        <v>1</v>
      </c>
      <c r="DE89" s="39">
        <f ca="1" t="shared" si="92"/>
        <v>1</v>
      </c>
      <c r="DF89" s="39">
        <f ca="1" t="shared" si="93"/>
        <v>1</v>
      </c>
      <c r="DG89" s="39">
        <f ca="1" t="shared" si="94"/>
        <v>1</v>
      </c>
      <c r="DH89" s="39">
        <f ca="1" t="shared" si="95"/>
        <v>1</v>
      </c>
      <c r="DI89" s="39">
        <f ca="1" t="shared" si="96"/>
        <v>1</v>
      </c>
      <c r="DJ89" s="39">
        <f ca="1" t="shared" si="97"/>
        <v>1</v>
      </c>
      <c r="DK89" s="39">
        <f ca="1" t="shared" si="98"/>
        <v>1</v>
      </c>
      <c r="DL89" s="39">
        <f ca="1" t="shared" si="99"/>
        <v>1</v>
      </c>
      <c r="DM89" s="39">
        <f ca="1" t="shared" si="100"/>
        <v>1</v>
      </c>
      <c r="DN89" s="39">
        <f ca="1" t="shared" si="101"/>
        <v>1</v>
      </c>
      <c r="DO89" s="39">
        <f ca="1" t="shared" si="102"/>
        <v>1</v>
      </c>
      <c r="DP89" s="39">
        <f ca="1" t="shared" si="103"/>
        <v>1</v>
      </c>
      <c r="DQ89" s="39">
        <f ca="1" t="shared" si="104"/>
        <v>1</v>
      </c>
      <c r="DR89" s="39">
        <f ca="1" t="shared" si="105"/>
        <v>1</v>
      </c>
      <c r="DS89" s="39">
        <f ca="1" t="shared" si="106"/>
        <v>1</v>
      </c>
      <c r="DT89" s="39">
        <f ca="1" t="shared" si="107"/>
        <v>1</v>
      </c>
      <c r="DU89" s="39">
        <f ca="1" t="shared" si="108"/>
        <v>1</v>
      </c>
      <c r="DV89" s="39">
        <f ca="1" t="shared" si="109"/>
        <v>1</v>
      </c>
      <c r="DW89" s="39">
        <f ca="1" t="shared" si="110"/>
        <v>1</v>
      </c>
      <c r="DX89" s="39">
        <f ca="1" t="shared" si="111"/>
        <v>1</v>
      </c>
      <c r="DY89" s="39">
        <f ca="1" t="shared" si="112"/>
        <v>1</v>
      </c>
      <c r="DZ89" s="39">
        <f ca="1" t="shared" si="113"/>
        <v>1</v>
      </c>
      <c r="EA89" s="39">
        <f ca="1" t="shared" si="114"/>
        <v>1</v>
      </c>
      <c r="EB89" s="39">
        <f ca="1" t="shared" si="115"/>
        <v>1</v>
      </c>
      <c r="EC89" s="39">
        <f ca="1" t="shared" si="116"/>
        <v>1</v>
      </c>
      <c r="ED89" s="39">
        <f ca="1" t="shared" si="117"/>
        <v>1</v>
      </c>
      <c r="EE89" s="39">
        <f ca="1" t="shared" si="118"/>
        <v>1</v>
      </c>
      <c r="EF89" s="39">
        <f ca="1" t="shared" si="119"/>
        <v>1</v>
      </c>
      <c r="EG89" s="39">
        <f ca="1" t="shared" si="120"/>
        <v>1</v>
      </c>
      <c r="EH89" s="39">
        <f ca="1" t="shared" si="121"/>
        <v>1</v>
      </c>
      <c r="EI89" s="39">
        <f ca="1" t="shared" si="122"/>
        <v>1</v>
      </c>
      <c r="EJ89" s="39">
        <f ca="1" t="shared" si="123"/>
        <v>1</v>
      </c>
      <c r="EK89" s="39">
        <f ca="1" t="shared" si="124"/>
        <v>1</v>
      </c>
      <c r="EL89" s="39">
        <f ca="1" t="shared" si="125"/>
        <v>1</v>
      </c>
      <c r="EM89" s="39">
        <f ca="1" t="shared" si="126"/>
        <v>1</v>
      </c>
      <c r="EN89" s="39">
        <f ca="1" t="shared" si="127"/>
        <v>1</v>
      </c>
      <c r="EO89" s="39">
        <f ca="1" t="shared" si="128"/>
        <v>1</v>
      </c>
      <c r="EP89" s="39">
        <f ca="1" t="shared" si="129"/>
        <v>1</v>
      </c>
      <c r="EQ89" s="39">
        <f ca="1" t="shared" si="130"/>
        <v>1</v>
      </c>
      <c r="ER89" s="39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4" t="str">
        <f t="shared" si="133"/>
        <v>TR</v>
      </c>
      <c r="D90" s="55" t="s">
        <v>200</v>
      </c>
      <c r="E90" s="66" t="s">
        <v>202</v>
      </c>
      <c r="F90" s="56" t="str">
        <f>F89</f>
        <v>Electricity</v>
      </c>
      <c r="G90" s="54" t="s">
        <v>203</v>
      </c>
      <c r="H90" s="57">
        <f ca="1">OFFSET(TIAM15_assumptions!$G90,0,MATCH(VLOOKUP(Assumptions!H$2,TIAM15_assumptions!$Y$3:$Z$87,2,FALSE),TIAM15_assumptions!$H$2:$V$2,0))</f>
        <v>0.2</v>
      </c>
      <c r="I90" s="57">
        <f ca="1">OFFSET(TIAM15_assumptions!$G90,0,MATCH(VLOOKUP(Assumptions!I$2,TIAM15_assumptions!$Y$3:$Z$87,2,FALSE),TIAM15_assumptions!$H$2:$V$2,0))</f>
        <v>0.2</v>
      </c>
      <c r="J90" s="57">
        <f ca="1">OFFSET(TIAM15_assumptions!$G90,0,MATCH(VLOOKUP(Assumptions!J$2,TIAM15_assumptions!$Y$3:$Z$87,2,FALSE),TIAM15_assumptions!$H$2:$V$2,0))</f>
        <v>0.2</v>
      </c>
      <c r="K90" s="57">
        <f ca="1">OFFSET(TIAM15_assumptions!$G90,0,MATCH(VLOOKUP(Assumptions!K$2,TIAM15_assumptions!$Y$3:$Z$87,2,FALSE),TIAM15_assumptions!$H$2:$V$2,0))</f>
        <v>0.2</v>
      </c>
      <c r="L90" s="57">
        <f ca="1">OFFSET(TIAM15_assumptions!$G90,0,MATCH(VLOOKUP(Assumptions!L$2,TIAM15_assumptions!$Y$3:$Z$87,2,FALSE),TIAM15_assumptions!$H$2:$V$2,0))</f>
        <v>0.2</v>
      </c>
      <c r="M90" s="57">
        <f ca="1">OFFSET(TIAM15_assumptions!$G90,0,MATCH(VLOOKUP(Assumptions!M$2,TIAM15_assumptions!$Y$3:$Z$87,2,FALSE),TIAM15_assumptions!$H$2:$V$2,0))</f>
        <v>0.2</v>
      </c>
      <c r="N90" s="57">
        <f ca="1">OFFSET(TIAM15_assumptions!$G90,0,MATCH(VLOOKUP(Assumptions!N$2,TIAM15_assumptions!$Y$3:$Z$87,2,FALSE),TIAM15_assumptions!$H$2:$V$2,0))</f>
        <v>0.2</v>
      </c>
      <c r="O90" s="57">
        <f ca="1">OFFSET(TIAM15_assumptions!$G90,0,MATCH(VLOOKUP(Assumptions!O$2,TIAM15_assumptions!$Y$3:$Z$87,2,FALSE),TIAM15_assumptions!$H$2:$V$2,0))</f>
        <v>0.2</v>
      </c>
      <c r="P90" s="57">
        <f ca="1">OFFSET(TIAM15_assumptions!$G90,0,MATCH(VLOOKUP(Assumptions!P$2,TIAM15_assumptions!$Y$3:$Z$87,2,FALSE),TIAM15_assumptions!$H$2:$V$2,0))</f>
        <v>0.2</v>
      </c>
      <c r="Q90" s="57">
        <f ca="1">OFFSET(TIAM15_assumptions!$G90,0,MATCH(VLOOKUP(Assumptions!Q$2,TIAM15_assumptions!$Y$3:$Z$87,2,FALSE),TIAM15_assumptions!$H$2:$V$2,0))</f>
        <v>0.2</v>
      </c>
      <c r="R90" s="57">
        <f ca="1">OFFSET(TIAM15_assumptions!$G90,0,MATCH(VLOOKUP(Assumptions!R$2,TIAM15_assumptions!$Y$3:$Z$87,2,FALSE),TIAM15_assumptions!$H$2:$V$2,0))</f>
        <v>0.2</v>
      </c>
      <c r="S90" s="57">
        <f ca="1">OFFSET(TIAM15_assumptions!$G90,0,MATCH(VLOOKUP(Assumptions!S$2,TIAM15_assumptions!$Y$3:$Z$87,2,FALSE),TIAM15_assumptions!$H$2:$V$2,0))</f>
        <v>0.2</v>
      </c>
      <c r="T90" s="57">
        <f ca="1">OFFSET(TIAM15_assumptions!$G90,0,MATCH(VLOOKUP(Assumptions!T$2,TIAM15_assumptions!$Y$3:$Z$87,2,FALSE),TIAM15_assumptions!$H$2:$V$2,0))</f>
        <v>0.2</v>
      </c>
      <c r="U90" s="57">
        <f ca="1">OFFSET(TIAM15_assumptions!$G90,0,MATCH(VLOOKUP(Assumptions!U$2,TIAM15_assumptions!$Y$3:$Z$87,2,FALSE),TIAM15_assumptions!$H$2:$V$2,0))</f>
        <v>0.2</v>
      </c>
      <c r="V90" s="57">
        <f ca="1">OFFSET(TIAM15_assumptions!$G90,0,MATCH(VLOOKUP(Assumptions!V$2,TIAM15_assumptions!$Y$3:$Z$87,2,FALSE),TIAM15_assumptions!$H$2:$V$2,0))</f>
        <v>0.2</v>
      </c>
      <c r="W90" s="57">
        <f ca="1">OFFSET(TIAM15_assumptions!$G90,0,MATCH(VLOOKUP(Assumptions!W$2,TIAM15_assumptions!$Y$3:$Z$87,2,FALSE),TIAM15_assumptions!$H$2:$V$2,0))</f>
        <v>0.2</v>
      </c>
      <c r="X90" s="57">
        <f ca="1">OFFSET(TIAM15_assumptions!$G90,0,MATCH(VLOOKUP(Assumptions!X$2,TIAM15_assumptions!$Y$3:$Z$87,2,FALSE),TIAM15_assumptions!$H$2:$V$2,0))</f>
        <v>0.2</v>
      </c>
      <c r="Y90" s="57">
        <f ca="1">OFFSET(TIAM15_assumptions!$G90,0,MATCH(VLOOKUP(Assumptions!Y$2,TIAM15_assumptions!$Y$3:$Z$87,2,FALSE),TIAM15_assumptions!$H$2:$V$2,0))</f>
        <v>0.2</v>
      </c>
      <c r="Z90" s="57">
        <f ca="1">OFFSET(TIAM15_assumptions!$G90,0,MATCH(VLOOKUP(Assumptions!Z$2,TIAM15_assumptions!$Y$3:$Z$87,2,FALSE),TIAM15_assumptions!$H$2:$V$2,0))</f>
        <v>0.2</v>
      </c>
      <c r="AA90" s="57">
        <f ca="1">OFFSET(TIAM15_assumptions!$G90,0,MATCH(VLOOKUP(Assumptions!AA$2,TIAM15_assumptions!$Y$3:$Z$87,2,FALSE),TIAM15_assumptions!$H$2:$V$2,0))</f>
        <v>0.2</v>
      </c>
      <c r="AB90" s="57">
        <f ca="1">OFFSET(TIAM15_assumptions!$G90,0,MATCH(VLOOKUP(Assumptions!AB$2,TIAM15_assumptions!$Y$3:$Z$87,2,FALSE),TIAM15_assumptions!$H$2:$V$2,0))</f>
        <v>0.2</v>
      </c>
      <c r="AC90" s="57">
        <f ca="1">OFFSET(TIAM15_assumptions!$G90,0,MATCH(VLOOKUP(Assumptions!AC$2,TIAM15_assumptions!$Y$3:$Z$87,2,FALSE),TIAM15_assumptions!$H$2:$V$2,0))</f>
        <v>0.2</v>
      </c>
      <c r="AD90" s="57">
        <f ca="1">OFFSET(TIAM15_assumptions!$G90,0,MATCH(VLOOKUP(Assumptions!AD$2,TIAM15_assumptions!$Y$3:$Z$87,2,FALSE),TIAM15_assumptions!$H$2:$V$2,0))</f>
        <v>0.2</v>
      </c>
      <c r="AE90" s="57">
        <f ca="1">OFFSET(TIAM15_assumptions!$G90,0,MATCH(VLOOKUP(Assumptions!AE$2,TIAM15_assumptions!$Y$3:$Z$87,2,FALSE),TIAM15_assumptions!$H$2:$V$2,0))</f>
        <v>0.2</v>
      </c>
      <c r="AF90" s="57">
        <f ca="1">OFFSET(TIAM15_assumptions!$G90,0,MATCH(VLOOKUP(Assumptions!AF$2,TIAM15_assumptions!$Y$3:$Z$87,2,FALSE),TIAM15_assumptions!$H$2:$V$2,0))</f>
        <v>0.2</v>
      </c>
      <c r="AG90" s="57">
        <f ca="1">OFFSET(TIAM15_assumptions!$G90,0,MATCH(VLOOKUP(Assumptions!AG$2,TIAM15_assumptions!$Y$3:$Z$87,2,FALSE),TIAM15_assumptions!$H$2:$V$2,0))</f>
        <v>0.2</v>
      </c>
      <c r="AH90" s="57">
        <f ca="1">OFFSET(TIAM15_assumptions!$G90,0,MATCH(VLOOKUP(Assumptions!AH$2,TIAM15_assumptions!$Y$3:$Z$87,2,FALSE),TIAM15_assumptions!$H$2:$V$2,0))</f>
        <v>0.2</v>
      </c>
      <c r="AI90" s="57">
        <f ca="1">OFFSET(TIAM15_assumptions!$G90,0,MATCH(VLOOKUP(Assumptions!AI$2,TIAM15_assumptions!$Y$3:$Z$87,2,FALSE),TIAM15_assumptions!$H$2:$V$2,0))</f>
        <v>0.2</v>
      </c>
      <c r="AJ90" s="57">
        <f ca="1">OFFSET(TIAM15_assumptions!$G90,0,MATCH(VLOOKUP(Assumptions!AJ$2,TIAM15_assumptions!$Y$3:$Z$87,2,FALSE),TIAM15_assumptions!$H$2:$V$2,0))</f>
        <v>0.2</v>
      </c>
      <c r="AK90" s="57">
        <f ca="1">OFFSET(TIAM15_assumptions!$G90,0,MATCH(VLOOKUP(Assumptions!AK$2,TIAM15_assumptions!$Y$3:$Z$87,2,FALSE),TIAM15_assumptions!$H$2:$V$2,0))</f>
        <v>0.2</v>
      </c>
      <c r="AL90" s="57">
        <f ca="1">OFFSET(TIAM15_assumptions!$G90,0,MATCH(VLOOKUP(Assumptions!AL$2,TIAM15_assumptions!$Y$3:$Z$87,2,FALSE),TIAM15_assumptions!$H$2:$V$2,0))</f>
        <v>0.2</v>
      </c>
      <c r="AM90" s="57">
        <f ca="1">OFFSET(TIAM15_assumptions!$G90,0,MATCH(VLOOKUP(Assumptions!AM$2,TIAM15_assumptions!$Y$3:$Z$87,2,FALSE),TIAM15_assumptions!$H$2:$V$2,0))</f>
        <v>0.2</v>
      </c>
      <c r="AN90" s="57">
        <f ca="1">OFFSET(TIAM15_assumptions!$G90,0,MATCH(VLOOKUP(Assumptions!AN$2,TIAM15_assumptions!$Y$3:$Z$87,2,FALSE),TIAM15_assumptions!$H$2:$V$2,0))</f>
        <v>0.2</v>
      </c>
      <c r="AO90" s="57">
        <f ca="1">OFFSET(TIAM15_assumptions!$G90,0,MATCH(VLOOKUP(Assumptions!AO$2,TIAM15_assumptions!$Y$3:$Z$87,2,FALSE),TIAM15_assumptions!$H$2:$V$2,0))</f>
        <v>0.2</v>
      </c>
      <c r="AP90" s="57">
        <f ca="1">OFFSET(TIAM15_assumptions!$G90,0,MATCH(VLOOKUP(Assumptions!AP$2,TIAM15_assumptions!$Y$3:$Z$87,2,FALSE),TIAM15_assumptions!$H$2:$V$2,0))</f>
        <v>0.2</v>
      </c>
      <c r="AQ90" s="57">
        <f ca="1">OFFSET(TIAM15_assumptions!$G90,0,MATCH(VLOOKUP(Assumptions!AQ$2,TIAM15_assumptions!$Y$3:$Z$87,2,FALSE),TIAM15_assumptions!$H$2:$V$2,0))</f>
        <v>0.2</v>
      </c>
      <c r="AR90" s="57">
        <f ca="1">OFFSET(TIAM15_assumptions!$G90,0,MATCH(VLOOKUP(Assumptions!AR$2,TIAM15_assumptions!$Y$3:$Z$87,2,FALSE),TIAM15_assumptions!$H$2:$V$2,0))</f>
        <v>0.2</v>
      </c>
      <c r="AS90" s="57">
        <f ca="1">OFFSET(TIAM15_assumptions!$G90,0,MATCH(VLOOKUP(Assumptions!AS$2,TIAM15_assumptions!$Y$3:$Z$87,2,FALSE),TIAM15_assumptions!$H$2:$V$2,0))</f>
        <v>0.2</v>
      </c>
      <c r="AT90" s="57">
        <f ca="1">OFFSET(TIAM15_assumptions!$G90,0,MATCH(VLOOKUP(Assumptions!AT$2,TIAM15_assumptions!$Y$3:$Z$87,2,FALSE),TIAM15_assumptions!$H$2:$V$2,0))</f>
        <v>0.2</v>
      </c>
      <c r="AU90" s="57">
        <f ca="1">OFFSET(TIAM15_assumptions!$G90,0,MATCH(VLOOKUP(Assumptions!AU$2,TIAM15_assumptions!$Y$3:$Z$87,2,FALSE),TIAM15_assumptions!$H$2:$V$2,0))</f>
        <v>0.2</v>
      </c>
      <c r="AV90" s="57">
        <f ca="1">OFFSET(TIAM15_assumptions!$G90,0,MATCH(VLOOKUP(Assumptions!AV$2,TIAM15_assumptions!$Y$3:$Z$87,2,FALSE),TIAM15_assumptions!$H$2:$V$2,0))</f>
        <v>0.2</v>
      </c>
      <c r="AW90" s="57">
        <f ca="1">OFFSET(TIAM15_assumptions!$G90,0,MATCH(VLOOKUP(Assumptions!AW$2,TIAM15_assumptions!$Y$3:$Z$87,2,FALSE),TIAM15_assumptions!$H$2:$V$2,0))</f>
        <v>0.2</v>
      </c>
      <c r="AX90" s="57">
        <f ca="1">OFFSET(TIAM15_assumptions!$G90,0,MATCH(VLOOKUP(Assumptions!AX$2,TIAM15_assumptions!$Y$3:$Z$87,2,FALSE),TIAM15_assumptions!$H$2:$V$2,0))</f>
        <v>0.2</v>
      </c>
      <c r="AY90" s="57">
        <f ca="1">OFFSET(TIAM15_assumptions!$G90,0,MATCH(VLOOKUP(Assumptions!AY$2,TIAM15_assumptions!$Y$3:$Z$87,2,FALSE),TIAM15_assumptions!$H$2:$V$2,0))</f>
        <v>0.2</v>
      </c>
      <c r="AZ90" s="57">
        <f ca="1">OFFSET(TIAM15_assumptions!$G90,0,MATCH(VLOOKUP(Assumptions!AZ$2,TIAM15_assumptions!$Y$3:$Z$87,2,FALSE),TIAM15_assumptions!$H$2:$V$2,0))</f>
        <v>0.2</v>
      </c>
      <c r="BA90" s="57">
        <f ca="1">OFFSET(TIAM15_assumptions!$G90,0,MATCH(VLOOKUP(Assumptions!BA$2,TIAM15_assumptions!$Y$3:$Z$87,2,FALSE),TIAM15_assumptions!$H$2:$V$2,0))</f>
        <v>0.2</v>
      </c>
      <c r="BD90" s="40">
        <f ca="1">IFERROR(SUMIFS('TRA balance'!E$5:E$40,'TRA balance'!$C$5:$C$40,Assumptions!$C90,'TRA balance'!$D$5:$D$40,Assumptions!$B90)*CY90*H90,"")</f>
        <v>0</v>
      </c>
      <c r="BE90" s="40">
        <f ca="1">IFERROR(SUMIFS('TRA balance'!F$5:F$40,'TRA balance'!$C$5:$C$40,Assumptions!$C90,'TRA balance'!$D$5:$D$40,Assumptions!$B90)*CZ90*I90,"")</f>
        <v>0</v>
      </c>
      <c r="BF90" s="40">
        <f ca="1">IFERROR(SUMIFS('TRA balance'!G$5:G$40,'TRA balance'!$C$5:$C$40,Assumptions!$C90,'TRA balance'!$D$5:$D$40,Assumptions!$B90)*DA90*J90,"")</f>
        <v>0.01727976096</v>
      </c>
      <c r="BG90" s="40">
        <f ca="1">IFERROR(SUMIFS('TRA balance'!H$5:H$40,'TRA balance'!$C$5:$C$40,Assumptions!$C90,'TRA balance'!$D$5:$D$40,Assumptions!$B90)*DB90*K90,"")</f>
        <v>0.01027105776</v>
      </c>
      <c r="BH90" s="40">
        <f ca="1">IFERROR(SUMIFS('TRA balance'!I$5:I$40,'TRA balance'!$C$5:$C$40,Assumptions!$C90,'TRA balance'!$D$5:$D$40,Assumptions!$B90)*DC90*L90,"")</f>
        <v>0</v>
      </c>
      <c r="BI90" s="40">
        <f ca="1">IFERROR(SUMIFS('TRA balance'!J$5:J$40,'TRA balance'!$C$5:$C$40,Assumptions!$C90,'TRA balance'!$D$5:$D$40,Assumptions!$B90)*DD90*M90,"")</f>
        <v>0.4638053304</v>
      </c>
      <c r="BJ90" s="40">
        <f ca="1">IFERROR(SUMIFS('TRA balance'!K$5:K$40,'TRA balance'!$C$5:$C$40,Assumptions!$C90,'TRA balance'!$D$5:$D$40,Assumptions!$B90)*DE90*N90,"")</f>
        <v>0</v>
      </c>
      <c r="BK90" s="40">
        <f ca="1">IFERROR(SUMIFS('TRA balance'!L$5:L$40,'TRA balance'!$C$5:$C$40,Assumptions!$C90,'TRA balance'!$D$5:$D$40,Assumptions!$B90)*DF90*O90,"")</f>
        <v>39.258082187712</v>
      </c>
      <c r="BL90" s="40">
        <f ca="1">IFERROR(SUMIFS('TRA balance'!M$5:M$40,'TRA balance'!$C$5:$C$40,Assumptions!$C90,'TRA balance'!$D$5:$D$40,Assumptions!$B90)*DG90*P90,"")</f>
        <v>0</v>
      </c>
      <c r="BM90" s="40">
        <f ca="1">IFERROR(SUMIFS('TRA balance'!N$5:N$40,'TRA balance'!$C$5:$C$40,Assumptions!$C90,'TRA balance'!$D$5:$D$40,Assumptions!$B90)*DH90*Q90,"")</f>
        <v>0</v>
      </c>
      <c r="BN90" s="40">
        <f ca="1">IFERROR(SUMIFS('TRA balance'!O$5:O$40,'TRA balance'!$C$5:$C$40,Assumptions!$C90,'TRA balance'!$D$5:$D$40,Assumptions!$B90)*DI90*R90,"")</f>
        <v>0.23581146168</v>
      </c>
      <c r="BO90" s="40">
        <f ca="1">IFERROR(SUMIFS('TRA balance'!P$5:P$40,'TRA balance'!$C$5:$C$40,Assumptions!$C90,'TRA balance'!$D$5:$D$40,Assumptions!$B90)*DJ90*S90,"")</f>
        <v>0.24192000288</v>
      </c>
      <c r="BP90" s="40">
        <f ca="1">IFERROR(SUMIFS('TRA balance'!Q$5:Q$40,'TRA balance'!$C$5:$C$40,Assumptions!$C90,'TRA balance'!$D$5:$D$40,Assumptions!$B90)*DK90*T90,"")</f>
        <v>0.01477186776</v>
      </c>
      <c r="BQ90" s="40">
        <f ca="1">IFERROR(SUMIFS('TRA balance'!R$5:R$40,'TRA balance'!$C$5:$C$40,Assumptions!$C90,'TRA balance'!$D$5:$D$40,Assumptions!$B90)*DL90*U90,"")</f>
        <v>0</v>
      </c>
      <c r="BR90" s="40">
        <f ca="1">IFERROR(SUMIFS('TRA balance'!S$5:S$40,'TRA balance'!$C$5:$C$40,Assumptions!$C90,'TRA balance'!$D$5:$D$40,Assumptions!$B90)*DM90*V90,"")</f>
        <v>0.01623975984</v>
      </c>
      <c r="BS90" s="40">
        <f ca="1">IFERROR(SUMIFS('TRA balance'!T$5:T$40,'TRA balance'!$C$5:$C$40,Assumptions!$C90,'TRA balance'!$D$5:$D$40,Assumptions!$B90)*DN90*W90,"")</f>
        <v>0</v>
      </c>
      <c r="BT90" s="40">
        <f ca="1">IFERROR(SUMIFS('TRA balance'!U$5:U$40,'TRA balance'!$C$5:$C$40,Assumptions!$C90,'TRA balance'!$D$5:$D$40,Assumptions!$B90)*DO90*X90,"")</f>
        <v>0.01951802424</v>
      </c>
      <c r="BU90" s="40">
        <f ca="1">IFERROR(SUMIFS('TRA balance'!V$5:V$40,'TRA balance'!$C$5:$C$40,Assumptions!$C90,'TRA balance'!$D$5:$D$40,Assumptions!$B90)*DP90*Y90,"")</f>
        <v>0.09948925368</v>
      </c>
      <c r="BV90" s="40">
        <f ca="1">IFERROR(SUMIFS('TRA balance'!W$5:W$40,'TRA balance'!$C$5:$C$40,Assumptions!$C90,'TRA balance'!$D$5:$D$40,Assumptions!$B90)*DQ90*Z90,"")</f>
        <v>0</v>
      </c>
      <c r="BW90" s="40">
        <f ca="1">IFERROR(SUMIFS('TRA balance'!X$5:X$40,'TRA balance'!$C$5:$C$40,Assumptions!$C90,'TRA balance'!$D$5:$D$40,Assumptions!$B90)*DR90*AA90,"")</f>
        <v>0.29411097696</v>
      </c>
      <c r="BX90" s="40">
        <f ca="1">IFERROR(SUMIFS('TRA balance'!Y$5:Y$40,'TRA balance'!$C$5:$C$40,Assumptions!$C90,'TRA balance'!$D$5:$D$40,Assumptions!$B90)*DS90*AB90,"")</f>
        <v>0</v>
      </c>
      <c r="BY90" s="40">
        <f ca="1">IFERROR(SUMIFS('TRA balance'!Z$5:Z$40,'TRA balance'!$C$5:$C$40,Assumptions!$C90,'TRA balance'!$D$5:$D$40,Assumptions!$B90)*DT90*AC90,"")</f>
        <v>5.60890272312</v>
      </c>
      <c r="BZ90" s="40">
        <f ca="1">IFERROR(SUMIFS('TRA balance'!AA$5:AA$40,'TRA balance'!$C$5:$C$40,Assumptions!$C90,'TRA balance'!$D$5:$D$40,Assumptions!$B90)*DU90*AD90,"")</f>
        <v>0.61847995752</v>
      </c>
      <c r="CA90" s="40">
        <f ca="1">IFERROR(SUMIFS('TRA balance'!AB$5:AB$40,'TRA balance'!$C$5:$C$40,Assumptions!$C90,'TRA balance'!$D$5:$D$40,Assumptions!$B90)*DV90*AE90,"")</f>
        <v>0</v>
      </c>
      <c r="CB90" s="40">
        <f ca="1">IFERROR(SUMIFS('TRA balance'!AC$5:AC$40,'TRA balance'!$C$5:$C$40,Assumptions!$C90,'TRA balance'!$D$5:$D$40,Assumptions!$B90)*DW90*AF90,"")</f>
        <v>0.35345300544</v>
      </c>
      <c r="CC90" s="40">
        <f ca="1">IFERROR(SUMIFS('TRA balance'!AD$5:AD$40,'TRA balance'!$C$5:$C$40,Assumptions!$C90,'TRA balance'!$D$5:$D$40,Assumptions!$B90)*DX90*AG90,"")</f>
        <v>0</v>
      </c>
      <c r="CD90" s="40">
        <f ca="1">IFERROR(SUMIFS('TRA balance'!AE$5:AE$40,'TRA balance'!$C$5:$C$40,Assumptions!$C90,'TRA balance'!$D$5:$D$40,Assumptions!$B90)*DY90*AH90,"")</f>
        <v>0</v>
      </c>
      <c r="CE90" s="40">
        <f ca="1">IFERROR(SUMIFS('TRA balance'!AF$5:AF$40,'TRA balance'!$C$5:$C$40,Assumptions!$C90,'TRA balance'!$D$5:$D$40,Assumptions!$B90)*DZ90*AI90,"")</f>
        <v>0</v>
      </c>
      <c r="CF90" s="40">
        <f ca="1">IFERROR(SUMIFS('TRA balance'!AG$5:AG$40,'TRA balance'!$C$5:$C$40,Assumptions!$C90,'TRA balance'!$D$5:$D$40,Assumptions!$B90)*EA90*AJ90,"")</f>
        <v>0.12008412288</v>
      </c>
      <c r="CG90" s="40">
        <f ca="1">IFERROR(SUMIFS('TRA balance'!AH$5:AH$40,'TRA balance'!$C$5:$C$40,Assumptions!$C90,'TRA balance'!$D$5:$D$40,Assumptions!$B90)*EB90*AK90,"")</f>
        <v>0.27168731352</v>
      </c>
      <c r="CH90" s="40">
        <f ca="1">IFERROR(SUMIFS('TRA balance'!AI$5:AI$40,'TRA balance'!$C$5:$C$40,Assumptions!$C90,'TRA balance'!$D$5:$D$40,Assumptions!$B90)*EC90*AL90,"")</f>
        <v>0</v>
      </c>
      <c r="CI90" s="40">
        <f ca="1">IFERROR(SUMIFS('TRA balance'!AJ$5:AJ$40,'TRA balance'!$C$5:$C$40,Assumptions!$C90,'TRA balance'!$D$5:$D$40,Assumptions!$B90)*ED90*AM90,"")</f>
        <v>0</v>
      </c>
      <c r="CJ90" s="40">
        <f ca="1">IFERROR(SUMIFS('TRA balance'!AK$5:AK$40,'TRA balance'!$C$5:$C$40,Assumptions!$C90,'TRA balance'!$D$5:$D$40,Assumptions!$B90)*EE90*AN90,"")</f>
        <v>0.26387307</v>
      </c>
      <c r="CK90" s="40">
        <f ca="1">IFERROR(SUMIFS('TRA balance'!AL$5:AL$40,'TRA balance'!$C$5:$C$40,Assumptions!$C90,'TRA balance'!$D$5:$D$40,Assumptions!$B90)*EF90*AO90,"")</f>
        <v>0</v>
      </c>
      <c r="CL90" s="40">
        <f ca="1">IFERROR(SUMIFS('TRA balance'!AM$5:AM$40,'TRA balance'!$C$5:$C$40,Assumptions!$C90,'TRA balance'!$D$5:$D$40,Assumptions!$B90)*EG90*AP90,"")</f>
        <v>0</v>
      </c>
      <c r="CM90" s="40">
        <f ca="1">IFERROR(SUMIFS('TRA balance'!AN$5:AN$40,'TRA balance'!$C$5:$C$40,Assumptions!$C90,'TRA balance'!$D$5:$D$40,Assumptions!$B90)*EH90*AQ90,"")</f>
        <v>0</v>
      </c>
      <c r="CN90" s="40">
        <f ca="1">IFERROR(SUMIFS('TRA balance'!AO$5:AO$40,'TRA balance'!$C$5:$C$40,Assumptions!$C90,'TRA balance'!$D$5:$D$40,Assumptions!$B90)*EI90*AR90,"")</f>
        <v>0</v>
      </c>
      <c r="CO90" s="40">
        <f ca="1">IFERROR(SUMIFS('TRA balance'!AP$5:AP$40,'TRA balance'!$C$5:$C$40,Assumptions!$C90,'TRA balance'!$D$5:$D$40,Assumptions!$B90)*EJ90*AS90,"")</f>
        <v>0</v>
      </c>
      <c r="CP90" s="40">
        <f ca="1">IFERROR(SUMIFS('TRA balance'!AQ$5:AQ$40,'TRA balance'!$C$5:$C$40,Assumptions!$C90,'TRA balance'!$D$5:$D$40,Assumptions!$B90)*EK90*AT90,"")</f>
        <v>0</v>
      </c>
      <c r="CQ90" s="40">
        <f ca="1">IFERROR(SUMIFS('TRA balance'!AR$5:AR$40,'TRA balance'!$C$5:$C$40,Assumptions!$C90,'TRA balance'!$D$5:$D$40,Assumptions!$B90)*EL90*AU90,"")</f>
        <v>0</v>
      </c>
      <c r="CR90" s="40">
        <f ca="1">IFERROR(SUMIFS('TRA balance'!AS$5:AS$40,'TRA balance'!$C$5:$C$40,Assumptions!$C90,'TRA balance'!$D$5:$D$40,Assumptions!$B90)*EM90*AV90,"")</f>
        <v>0</v>
      </c>
      <c r="CS90" s="40">
        <f ca="1">IFERROR(SUMIFS('TRA balance'!AT$5:AT$40,'TRA balance'!$C$5:$C$40,Assumptions!$C90,'TRA balance'!$D$5:$D$40,Assumptions!$B90)*EN90*AW90,"")</f>
        <v>0</v>
      </c>
      <c r="CT90" s="40">
        <f ca="1">IFERROR(SUMIFS('TRA balance'!AU$5:AU$40,'TRA balance'!$C$5:$C$40,Assumptions!$C90,'TRA balance'!$D$5:$D$40,Assumptions!$B90)*EO90*AX90,"")</f>
        <v>0</v>
      </c>
      <c r="CU90" s="40">
        <f ca="1">IFERROR(SUMIFS('TRA balance'!AV$5:AV$40,'TRA balance'!$C$5:$C$40,Assumptions!$C90,'TRA balance'!$D$5:$D$40,Assumptions!$B90)*EP90*AY90,"")</f>
        <v>0</v>
      </c>
      <c r="CV90" s="40">
        <f ca="1">IFERROR(SUMIFS('TRA balance'!AW$5:AW$40,'TRA balance'!$C$5:$C$40,Assumptions!$C90,'TRA balance'!$D$5:$D$40,Assumptions!$B90)*EQ90*AZ90,"")</f>
        <v>0</v>
      </c>
      <c r="CW90" s="40">
        <f ca="1">IFERROR(SUMIFS('TRA balance'!AX$5:AX$40,'TRA balance'!$C$5:$C$40,Assumptions!$C90,'TRA balance'!$D$5:$D$40,Assumptions!$B90)*ER90*BA90,"")</f>
        <v>0</v>
      </c>
      <c r="CY90" s="39">
        <f ca="1" t="shared" si="86"/>
        <v>0</v>
      </c>
      <c r="CZ90" s="39">
        <f ca="1" t="shared" si="87"/>
        <v>0</v>
      </c>
      <c r="DA90" s="39">
        <f ca="1" t="shared" si="88"/>
        <v>1</v>
      </c>
      <c r="DB90" s="39">
        <f ca="1" t="shared" si="89"/>
        <v>1</v>
      </c>
      <c r="DC90" s="39">
        <f ca="1" t="shared" si="90"/>
        <v>0</v>
      </c>
      <c r="DD90" s="39">
        <f ca="1" t="shared" si="91"/>
        <v>1</v>
      </c>
      <c r="DE90" s="39">
        <f ca="1" t="shared" si="92"/>
        <v>0.5</v>
      </c>
      <c r="DF90" s="39">
        <f ca="1" t="shared" si="93"/>
        <v>0.8</v>
      </c>
      <c r="DG90" s="39">
        <f ca="1" t="shared" si="94"/>
        <v>0</v>
      </c>
      <c r="DH90" s="39">
        <f ca="1" t="shared" si="95"/>
        <v>0</v>
      </c>
      <c r="DI90" s="39">
        <f ca="1" t="shared" si="96"/>
        <v>1</v>
      </c>
      <c r="DJ90" s="39">
        <f ca="1" t="shared" si="97"/>
        <v>1</v>
      </c>
      <c r="DK90" s="39">
        <f ca="1" t="shared" si="98"/>
        <v>1</v>
      </c>
      <c r="DL90" s="39">
        <f ca="1" t="shared" si="99"/>
        <v>0</v>
      </c>
      <c r="DM90" s="39">
        <f ca="1" t="shared" si="100"/>
        <v>1</v>
      </c>
      <c r="DN90" s="39">
        <f ca="1" t="shared" si="101"/>
        <v>0</v>
      </c>
      <c r="DO90" s="39">
        <f ca="1" t="shared" si="102"/>
        <v>1</v>
      </c>
      <c r="DP90" s="39">
        <f ca="1" t="shared" si="103"/>
        <v>1</v>
      </c>
      <c r="DQ90" s="39">
        <f ca="1" t="shared" si="104"/>
        <v>1</v>
      </c>
      <c r="DR90" s="39">
        <f ca="1" t="shared" si="105"/>
        <v>0.5</v>
      </c>
      <c r="DS90" s="39">
        <f ca="1" t="shared" si="106"/>
        <v>0</v>
      </c>
      <c r="DT90" s="39">
        <f ca="1" t="shared" si="107"/>
        <v>1</v>
      </c>
      <c r="DU90" s="39">
        <f ca="1" t="shared" si="108"/>
        <v>1</v>
      </c>
      <c r="DV90" s="39">
        <f ca="1" t="shared" si="109"/>
        <v>0</v>
      </c>
      <c r="DW90" s="39">
        <f ca="1" t="shared" si="110"/>
        <v>1</v>
      </c>
      <c r="DX90" s="39">
        <f ca="1" t="shared" si="111"/>
        <v>0</v>
      </c>
      <c r="DY90" s="39">
        <f ca="1" t="shared" si="112"/>
        <v>0</v>
      </c>
      <c r="DZ90" s="39">
        <f ca="1" t="shared" si="113"/>
        <v>0</v>
      </c>
      <c r="EA90" s="39">
        <f ca="1" t="shared" si="114"/>
        <v>1</v>
      </c>
      <c r="EB90" s="39">
        <f ca="1" t="shared" si="115"/>
        <v>1</v>
      </c>
      <c r="EC90" s="39">
        <f ca="1" t="shared" si="116"/>
        <v>1</v>
      </c>
      <c r="ED90" s="39">
        <f ca="1" t="shared" si="117"/>
        <v>0</v>
      </c>
      <c r="EE90" s="39">
        <f ca="1" t="shared" si="118"/>
        <v>1</v>
      </c>
      <c r="EF90" s="39">
        <f ca="1" t="shared" si="119"/>
        <v>0</v>
      </c>
      <c r="EG90" s="39">
        <f ca="1" t="shared" si="120"/>
        <v>0</v>
      </c>
      <c r="EH90" s="39">
        <f ca="1" t="shared" si="121"/>
        <v>1</v>
      </c>
      <c r="EI90" s="39">
        <f ca="1" t="shared" si="122"/>
        <v>1</v>
      </c>
      <c r="EJ90" s="39">
        <f ca="1" t="shared" si="123"/>
        <v>1</v>
      </c>
      <c r="EK90" s="39">
        <f ca="1" t="shared" si="124"/>
        <v>1</v>
      </c>
      <c r="EL90" s="39">
        <f ca="1" t="shared" si="125"/>
        <v>1</v>
      </c>
      <c r="EM90" s="39">
        <f ca="1" t="shared" si="126"/>
        <v>1</v>
      </c>
      <c r="EN90" s="39">
        <f ca="1" t="shared" si="127"/>
        <v>1</v>
      </c>
      <c r="EO90" s="39">
        <f ca="1" t="shared" si="128"/>
        <v>1</v>
      </c>
      <c r="EP90" s="39">
        <f ca="1" t="shared" si="129"/>
        <v>1</v>
      </c>
      <c r="EQ90" s="39">
        <f ca="1" t="shared" si="130"/>
        <v>1</v>
      </c>
      <c r="ER90" s="39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4" t="str">
        <f t="shared" si="133"/>
        <v>TR</v>
      </c>
      <c r="D91" s="55" t="s">
        <v>200</v>
      </c>
      <c r="E91" s="66" t="s">
        <v>204</v>
      </c>
      <c r="F91" s="56" t="str">
        <f t="shared" ref="F91:F96" si="143">F90</f>
        <v>Electricity</v>
      </c>
      <c r="G91" s="54" t="s">
        <v>205</v>
      </c>
      <c r="H91" s="57">
        <f ca="1">OFFSET(TIAM15_assumptions!$G91,0,MATCH(VLOOKUP(Assumptions!H$2,TIAM15_assumptions!$Y$3:$Z$87,2,FALSE),TIAM15_assumptions!$H$2:$V$2,0))</f>
        <v>0.05</v>
      </c>
      <c r="I91" s="57">
        <f ca="1">OFFSET(TIAM15_assumptions!$G91,0,MATCH(VLOOKUP(Assumptions!I$2,TIAM15_assumptions!$Y$3:$Z$87,2,FALSE),TIAM15_assumptions!$H$2:$V$2,0))</f>
        <v>0.05</v>
      </c>
      <c r="J91" s="57">
        <f ca="1">OFFSET(TIAM15_assumptions!$G91,0,MATCH(VLOOKUP(Assumptions!J$2,TIAM15_assumptions!$Y$3:$Z$87,2,FALSE),TIAM15_assumptions!$H$2:$V$2,0))</f>
        <v>0.05</v>
      </c>
      <c r="K91" s="57">
        <f ca="1">OFFSET(TIAM15_assumptions!$G91,0,MATCH(VLOOKUP(Assumptions!K$2,TIAM15_assumptions!$Y$3:$Z$87,2,FALSE),TIAM15_assumptions!$H$2:$V$2,0))</f>
        <v>0.05</v>
      </c>
      <c r="L91" s="57">
        <f ca="1">OFFSET(TIAM15_assumptions!$G91,0,MATCH(VLOOKUP(Assumptions!L$2,TIAM15_assumptions!$Y$3:$Z$87,2,FALSE),TIAM15_assumptions!$H$2:$V$2,0))</f>
        <v>0.05</v>
      </c>
      <c r="M91" s="57">
        <f ca="1">OFFSET(TIAM15_assumptions!$G91,0,MATCH(VLOOKUP(Assumptions!M$2,TIAM15_assumptions!$Y$3:$Z$87,2,FALSE),TIAM15_assumptions!$H$2:$V$2,0))</f>
        <v>0.05</v>
      </c>
      <c r="N91" s="57">
        <f ca="1">OFFSET(TIAM15_assumptions!$G91,0,MATCH(VLOOKUP(Assumptions!N$2,TIAM15_assumptions!$Y$3:$Z$87,2,FALSE),TIAM15_assumptions!$H$2:$V$2,0))</f>
        <v>0.05</v>
      </c>
      <c r="O91" s="57">
        <f ca="1">OFFSET(TIAM15_assumptions!$G91,0,MATCH(VLOOKUP(Assumptions!O$2,TIAM15_assumptions!$Y$3:$Z$87,2,FALSE),TIAM15_assumptions!$H$2:$V$2,0))</f>
        <v>0.05</v>
      </c>
      <c r="P91" s="57">
        <f ca="1">OFFSET(TIAM15_assumptions!$G91,0,MATCH(VLOOKUP(Assumptions!P$2,TIAM15_assumptions!$Y$3:$Z$87,2,FALSE),TIAM15_assumptions!$H$2:$V$2,0))</f>
        <v>0.05</v>
      </c>
      <c r="Q91" s="57">
        <f ca="1">OFFSET(TIAM15_assumptions!$G91,0,MATCH(VLOOKUP(Assumptions!Q$2,TIAM15_assumptions!$Y$3:$Z$87,2,FALSE),TIAM15_assumptions!$H$2:$V$2,0))</f>
        <v>0.05</v>
      </c>
      <c r="R91" s="57">
        <f ca="1">OFFSET(TIAM15_assumptions!$G91,0,MATCH(VLOOKUP(Assumptions!R$2,TIAM15_assumptions!$Y$3:$Z$87,2,FALSE),TIAM15_assumptions!$H$2:$V$2,0))</f>
        <v>0.05</v>
      </c>
      <c r="S91" s="57">
        <f ca="1">OFFSET(TIAM15_assumptions!$G91,0,MATCH(VLOOKUP(Assumptions!S$2,TIAM15_assumptions!$Y$3:$Z$87,2,FALSE),TIAM15_assumptions!$H$2:$V$2,0))</f>
        <v>0.05</v>
      </c>
      <c r="T91" s="57">
        <f ca="1">OFFSET(TIAM15_assumptions!$G91,0,MATCH(VLOOKUP(Assumptions!T$2,TIAM15_assumptions!$Y$3:$Z$87,2,FALSE),TIAM15_assumptions!$H$2:$V$2,0))</f>
        <v>0.05</v>
      </c>
      <c r="U91" s="57">
        <f ca="1">OFFSET(TIAM15_assumptions!$G91,0,MATCH(VLOOKUP(Assumptions!U$2,TIAM15_assumptions!$Y$3:$Z$87,2,FALSE),TIAM15_assumptions!$H$2:$V$2,0))</f>
        <v>0.05</v>
      </c>
      <c r="V91" s="57">
        <f ca="1">OFFSET(TIAM15_assumptions!$G91,0,MATCH(VLOOKUP(Assumptions!V$2,TIAM15_assumptions!$Y$3:$Z$87,2,FALSE),TIAM15_assumptions!$H$2:$V$2,0))</f>
        <v>0.05</v>
      </c>
      <c r="W91" s="57">
        <f ca="1">OFFSET(TIAM15_assumptions!$G91,0,MATCH(VLOOKUP(Assumptions!W$2,TIAM15_assumptions!$Y$3:$Z$87,2,FALSE),TIAM15_assumptions!$H$2:$V$2,0))</f>
        <v>0.05</v>
      </c>
      <c r="X91" s="57">
        <f ca="1">OFFSET(TIAM15_assumptions!$G91,0,MATCH(VLOOKUP(Assumptions!X$2,TIAM15_assumptions!$Y$3:$Z$87,2,FALSE),TIAM15_assumptions!$H$2:$V$2,0))</f>
        <v>0.05</v>
      </c>
      <c r="Y91" s="57">
        <f ca="1">OFFSET(TIAM15_assumptions!$G91,0,MATCH(VLOOKUP(Assumptions!Y$2,TIAM15_assumptions!$Y$3:$Z$87,2,FALSE),TIAM15_assumptions!$H$2:$V$2,0))</f>
        <v>0.05</v>
      </c>
      <c r="Z91" s="57">
        <f ca="1">OFFSET(TIAM15_assumptions!$G91,0,MATCH(VLOOKUP(Assumptions!Z$2,TIAM15_assumptions!$Y$3:$Z$87,2,FALSE),TIAM15_assumptions!$H$2:$V$2,0))</f>
        <v>0.05</v>
      </c>
      <c r="AA91" s="57">
        <f ca="1">OFFSET(TIAM15_assumptions!$G91,0,MATCH(VLOOKUP(Assumptions!AA$2,TIAM15_assumptions!$Y$3:$Z$87,2,FALSE),TIAM15_assumptions!$H$2:$V$2,0))</f>
        <v>0.05</v>
      </c>
      <c r="AB91" s="57">
        <f ca="1">OFFSET(TIAM15_assumptions!$G91,0,MATCH(VLOOKUP(Assumptions!AB$2,TIAM15_assumptions!$Y$3:$Z$87,2,FALSE),TIAM15_assumptions!$H$2:$V$2,0))</f>
        <v>0.05</v>
      </c>
      <c r="AC91" s="57">
        <f ca="1">OFFSET(TIAM15_assumptions!$G91,0,MATCH(VLOOKUP(Assumptions!AC$2,TIAM15_assumptions!$Y$3:$Z$87,2,FALSE),TIAM15_assumptions!$H$2:$V$2,0))</f>
        <v>0.05</v>
      </c>
      <c r="AD91" s="57">
        <f ca="1">OFFSET(TIAM15_assumptions!$G91,0,MATCH(VLOOKUP(Assumptions!AD$2,TIAM15_assumptions!$Y$3:$Z$87,2,FALSE),TIAM15_assumptions!$H$2:$V$2,0))</f>
        <v>0.05</v>
      </c>
      <c r="AE91" s="57">
        <f ca="1">OFFSET(TIAM15_assumptions!$G91,0,MATCH(VLOOKUP(Assumptions!AE$2,TIAM15_assumptions!$Y$3:$Z$87,2,FALSE),TIAM15_assumptions!$H$2:$V$2,0))</f>
        <v>0.05</v>
      </c>
      <c r="AF91" s="57">
        <f ca="1">OFFSET(TIAM15_assumptions!$G91,0,MATCH(VLOOKUP(Assumptions!AF$2,TIAM15_assumptions!$Y$3:$Z$87,2,FALSE),TIAM15_assumptions!$H$2:$V$2,0))</f>
        <v>0.05</v>
      </c>
      <c r="AG91" s="57">
        <f ca="1">OFFSET(TIAM15_assumptions!$G91,0,MATCH(VLOOKUP(Assumptions!AG$2,TIAM15_assumptions!$Y$3:$Z$87,2,FALSE),TIAM15_assumptions!$H$2:$V$2,0))</f>
        <v>0.05</v>
      </c>
      <c r="AH91" s="57">
        <f ca="1">OFFSET(TIAM15_assumptions!$G91,0,MATCH(VLOOKUP(Assumptions!AH$2,TIAM15_assumptions!$Y$3:$Z$87,2,FALSE),TIAM15_assumptions!$H$2:$V$2,0))</f>
        <v>0.05</v>
      </c>
      <c r="AI91" s="57">
        <f ca="1">OFFSET(TIAM15_assumptions!$G91,0,MATCH(VLOOKUP(Assumptions!AI$2,TIAM15_assumptions!$Y$3:$Z$87,2,FALSE),TIAM15_assumptions!$H$2:$V$2,0))</f>
        <v>0.05</v>
      </c>
      <c r="AJ91" s="57">
        <f ca="1">OFFSET(TIAM15_assumptions!$G91,0,MATCH(VLOOKUP(Assumptions!AJ$2,TIAM15_assumptions!$Y$3:$Z$87,2,FALSE),TIAM15_assumptions!$H$2:$V$2,0))</f>
        <v>0.05</v>
      </c>
      <c r="AK91" s="57">
        <f ca="1">OFFSET(TIAM15_assumptions!$G91,0,MATCH(VLOOKUP(Assumptions!AK$2,TIAM15_assumptions!$Y$3:$Z$87,2,FALSE),TIAM15_assumptions!$H$2:$V$2,0))</f>
        <v>0.05</v>
      </c>
      <c r="AL91" s="57">
        <f ca="1">OFFSET(TIAM15_assumptions!$G91,0,MATCH(VLOOKUP(Assumptions!AL$2,TIAM15_assumptions!$Y$3:$Z$87,2,FALSE),TIAM15_assumptions!$H$2:$V$2,0))</f>
        <v>0.05</v>
      </c>
      <c r="AM91" s="57">
        <f ca="1">OFFSET(TIAM15_assumptions!$G91,0,MATCH(VLOOKUP(Assumptions!AM$2,TIAM15_assumptions!$Y$3:$Z$87,2,FALSE),TIAM15_assumptions!$H$2:$V$2,0))</f>
        <v>0.05</v>
      </c>
      <c r="AN91" s="57">
        <f ca="1">OFFSET(TIAM15_assumptions!$G91,0,MATCH(VLOOKUP(Assumptions!AN$2,TIAM15_assumptions!$Y$3:$Z$87,2,FALSE),TIAM15_assumptions!$H$2:$V$2,0))</f>
        <v>0.05</v>
      </c>
      <c r="AO91" s="57">
        <f ca="1">OFFSET(TIAM15_assumptions!$G91,0,MATCH(VLOOKUP(Assumptions!AO$2,TIAM15_assumptions!$Y$3:$Z$87,2,FALSE),TIAM15_assumptions!$H$2:$V$2,0))</f>
        <v>0.05</v>
      </c>
      <c r="AP91" s="57">
        <f ca="1">OFFSET(TIAM15_assumptions!$G91,0,MATCH(VLOOKUP(Assumptions!AP$2,TIAM15_assumptions!$Y$3:$Z$87,2,FALSE),TIAM15_assumptions!$H$2:$V$2,0))</f>
        <v>0.05</v>
      </c>
      <c r="AQ91" s="57">
        <f ca="1">OFFSET(TIAM15_assumptions!$G91,0,MATCH(VLOOKUP(Assumptions!AQ$2,TIAM15_assumptions!$Y$3:$Z$87,2,FALSE),TIAM15_assumptions!$H$2:$V$2,0))</f>
        <v>0.05</v>
      </c>
      <c r="AR91" s="57">
        <f ca="1">OFFSET(TIAM15_assumptions!$G91,0,MATCH(VLOOKUP(Assumptions!AR$2,TIAM15_assumptions!$Y$3:$Z$87,2,FALSE),TIAM15_assumptions!$H$2:$V$2,0))</f>
        <v>0.05</v>
      </c>
      <c r="AS91" s="57">
        <f ca="1">OFFSET(TIAM15_assumptions!$G91,0,MATCH(VLOOKUP(Assumptions!AS$2,TIAM15_assumptions!$Y$3:$Z$87,2,FALSE),TIAM15_assumptions!$H$2:$V$2,0))</f>
        <v>0.05</v>
      </c>
      <c r="AT91" s="57">
        <f ca="1">OFFSET(TIAM15_assumptions!$G91,0,MATCH(VLOOKUP(Assumptions!AT$2,TIAM15_assumptions!$Y$3:$Z$87,2,FALSE),TIAM15_assumptions!$H$2:$V$2,0))</f>
        <v>0.05</v>
      </c>
      <c r="AU91" s="57">
        <f ca="1">OFFSET(TIAM15_assumptions!$G91,0,MATCH(VLOOKUP(Assumptions!AU$2,TIAM15_assumptions!$Y$3:$Z$87,2,FALSE),TIAM15_assumptions!$H$2:$V$2,0))</f>
        <v>0.05</v>
      </c>
      <c r="AV91" s="57">
        <f ca="1">OFFSET(TIAM15_assumptions!$G91,0,MATCH(VLOOKUP(Assumptions!AV$2,TIAM15_assumptions!$Y$3:$Z$87,2,FALSE),TIAM15_assumptions!$H$2:$V$2,0))</f>
        <v>0.05</v>
      </c>
      <c r="AW91" s="57">
        <f ca="1">OFFSET(TIAM15_assumptions!$G91,0,MATCH(VLOOKUP(Assumptions!AW$2,TIAM15_assumptions!$Y$3:$Z$87,2,FALSE),TIAM15_assumptions!$H$2:$V$2,0))</f>
        <v>0.05</v>
      </c>
      <c r="AX91" s="57">
        <f ca="1">OFFSET(TIAM15_assumptions!$G91,0,MATCH(VLOOKUP(Assumptions!AX$2,TIAM15_assumptions!$Y$3:$Z$87,2,FALSE),TIAM15_assumptions!$H$2:$V$2,0))</f>
        <v>0.05</v>
      </c>
      <c r="AY91" s="57">
        <f ca="1">OFFSET(TIAM15_assumptions!$G91,0,MATCH(VLOOKUP(Assumptions!AY$2,TIAM15_assumptions!$Y$3:$Z$87,2,FALSE),TIAM15_assumptions!$H$2:$V$2,0))</f>
        <v>0.05</v>
      </c>
      <c r="AZ91" s="57">
        <f ca="1">OFFSET(TIAM15_assumptions!$G91,0,MATCH(VLOOKUP(Assumptions!AZ$2,TIAM15_assumptions!$Y$3:$Z$87,2,FALSE),TIAM15_assumptions!$H$2:$V$2,0))</f>
        <v>0.05</v>
      </c>
      <c r="BA91" s="57">
        <f ca="1">OFFSET(TIAM15_assumptions!$G91,0,MATCH(VLOOKUP(Assumptions!BA$2,TIAM15_assumptions!$Y$3:$Z$87,2,FALSE),TIAM15_assumptions!$H$2:$V$2,0))</f>
        <v>0.05</v>
      </c>
      <c r="BD91" s="40">
        <f ca="1">IFERROR(SUMIFS('TRA balance'!E$5:E$40,'TRA balance'!$C$5:$C$40,Assumptions!$C91,'TRA balance'!$D$5:$D$40,Assumptions!$B91)*CY91*H91,"")</f>
        <v>0</v>
      </c>
      <c r="BE91" s="40">
        <f ca="1">IFERROR(SUMIFS('TRA balance'!F$5:F$40,'TRA balance'!$C$5:$C$40,Assumptions!$C91,'TRA balance'!$D$5:$D$40,Assumptions!$B91)*CZ91*I91,"")</f>
        <v>0</v>
      </c>
      <c r="BF91" s="40">
        <f ca="1">IFERROR(SUMIFS('TRA balance'!G$5:G$40,'TRA balance'!$C$5:$C$40,Assumptions!$C91,'TRA balance'!$D$5:$D$40,Assumptions!$B91)*DA91*J91,"")</f>
        <v>0.00431994024</v>
      </c>
      <c r="BG91" s="40">
        <f ca="1">IFERROR(SUMIFS('TRA balance'!H$5:H$40,'TRA balance'!$C$5:$C$40,Assumptions!$C91,'TRA balance'!$D$5:$D$40,Assumptions!$B91)*DB91*K91,"")</f>
        <v>0.00256776444</v>
      </c>
      <c r="BH91" s="40">
        <f ca="1">IFERROR(SUMIFS('TRA balance'!I$5:I$40,'TRA balance'!$C$5:$C$40,Assumptions!$C91,'TRA balance'!$D$5:$D$40,Assumptions!$B91)*DC91*L91,"")</f>
        <v>0</v>
      </c>
      <c r="BI91" s="40">
        <f ca="1">IFERROR(SUMIFS('TRA balance'!J$5:J$40,'TRA balance'!$C$5:$C$40,Assumptions!$C91,'TRA balance'!$D$5:$D$40,Assumptions!$B91)*DD91*M91,"")</f>
        <v>0.1159513326</v>
      </c>
      <c r="BJ91" s="40">
        <f ca="1">IFERROR(SUMIFS('TRA balance'!K$5:K$40,'TRA balance'!$C$5:$C$40,Assumptions!$C91,'TRA balance'!$D$5:$D$40,Assumptions!$B91)*DE91*N91,"")</f>
        <v>0</v>
      </c>
      <c r="BK91" s="40">
        <f ca="1">IFERROR(SUMIFS('TRA balance'!L$5:L$40,'TRA balance'!$C$5:$C$40,Assumptions!$C91,'TRA balance'!$D$5:$D$40,Assumptions!$B91)*DF91*O91,"")</f>
        <v>9.814520546928</v>
      </c>
      <c r="BL91" s="40">
        <f ca="1">IFERROR(SUMIFS('TRA balance'!M$5:M$40,'TRA balance'!$C$5:$C$40,Assumptions!$C91,'TRA balance'!$D$5:$D$40,Assumptions!$B91)*DG91*P91,"")</f>
        <v>0</v>
      </c>
      <c r="BM91" s="40">
        <f ca="1">IFERROR(SUMIFS('TRA balance'!N$5:N$40,'TRA balance'!$C$5:$C$40,Assumptions!$C91,'TRA balance'!$D$5:$D$40,Assumptions!$B91)*DH91*Q91,"")</f>
        <v>0</v>
      </c>
      <c r="BN91" s="40">
        <f ca="1">IFERROR(SUMIFS('TRA balance'!O$5:O$40,'TRA balance'!$C$5:$C$40,Assumptions!$C91,'TRA balance'!$D$5:$D$40,Assumptions!$B91)*DI91*R91,"")</f>
        <v>0.05895286542</v>
      </c>
      <c r="BO91" s="40">
        <f ca="1">IFERROR(SUMIFS('TRA balance'!P$5:P$40,'TRA balance'!$C$5:$C$40,Assumptions!$C91,'TRA balance'!$D$5:$D$40,Assumptions!$B91)*DJ91*S91,"")</f>
        <v>0.06048000072</v>
      </c>
      <c r="BP91" s="40">
        <f ca="1">IFERROR(SUMIFS('TRA balance'!Q$5:Q$40,'TRA balance'!$C$5:$C$40,Assumptions!$C91,'TRA balance'!$D$5:$D$40,Assumptions!$B91)*DK91*T91,"")</f>
        <v>0.00369296694</v>
      </c>
      <c r="BQ91" s="40">
        <f ca="1">IFERROR(SUMIFS('TRA balance'!R$5:R$40,'TRA balance'!$C$5:$C$40,Assumptions!$C91,'TRA balance'!$D$5:$D$40,Assumptions!$B91)*DL91*U91,"")</f>
        <v>0</v>
      </c>
      <c r="BR91" s="40">
        <f ca="1">IFERROR(SUMIFS('TRA balance'!S$5:S$40,'TRA balance'!$C$5:$C$40,Assumptions!$C91,'TRA balance'!$D$5:$D$40,Assumptions!$B91)*DM91*V91,"")</f>
        <v>0.00405993996</v>
      </c>
      <c r="BS91" s="40">
        <f ca="1">IFERROR(SUMIFS('TRA balance'!T$5:T$40,'TRA balance'!$C$5:$C$40,Assumptions!$C91,'TRA balance'!$D$5:$D$40,Assumptions!$B91)*DN91*W91,"")</f>
        <v>0</v>
      </c>
      <c r="BT91" s="40">
        <f ca="1">IFERROR(SUMIFS('TRA balance'!U$5:U$40,'TRA balance'!$C$5:$C$40,Assumptions!$C91,'TRA balance'!$D$5:$D$40,Assumptions!$B91)*DO91*X91,"")</f>
        <v>0.00487950606</v>
      </c>
      <c r="BU91" s="40">
        <f ca="1">IFERROR(SUMIFS('TRA balance'!V$5:V$40,'TRA balance'!$C$5:$C$40,Assumptions!$C91,'TRA balance'!$D$5:$D$40,Assumptions!$B91)*DP91*Y91,"")</f>
        <v>0.02487231342</v>
      </c>
      <c r="BV91" s="40">
        <f ca="1">IFERROR(SUMIFS('TRA balance'!W$5:W$40,'TRA balance'!$C$5:$C$40,Assumptions!$C91,'TRA balance'!$D$5:$D$40,Assumptions!$B91)*DQ91*Z91,"")</f>
        <v>0</v>
      </c>
      <c r="BW91" s="40">
        <f ca="1">IFERROR(SUMIFS('TRA balance'!X$5:X$40,'TRA balance'!$C$5:$C$40,Assumptions!$C91,'TRA balance'!$D$5:$D$40,Assumptions!$B91)*DR91*AA91,"")</f>
        <v>0.07352774424</v>
      </c>
      <c r="BX91" s="40">
        <f ca="1">IFERROR(SUMIFS('TRA balance'!Y$5:Y$40,'TRA balance'!$C$5:$C$40,Assumptions!$C91,'TRA balance'!$D$5:$D$40,Assumptions!$B91)*DS91*AB91,"")</f>
        <v>0</v>
      </c>
      <c r="BY91" s="40">
        <f ca="1">IFERROR(SUMIFS('TRA balance'!Z$5:Z$40,'TRA balance'!$C$5:$C$40,Assumptions!$C91,'TRA balance'!$D$5:$D$40,Assumptions!$B91)*DT91*AC91,"")</f>
        <v>1.40222568078</v>
      </c>
      <c r="BZ91" s="40">
        <f ca="1">IFERROR(SUMIFS('TRA balance'!AA$5:AA$40,'TRA balance'!$C$5:$C$40,Assumptions!$C91,'TRA balance'!$D$5:$D$40,Assumptions!$B91)*DU91*AD91,"")</f>
        <v>0.15461998938</v>
      </c>
      <c r="CA91" s="40">
        <f ca="1">IFERROR(SUMIFS('TRA balance'!AB$5:AB$40,'TRA balance'!$C$5:$C$40,Assumptions!$C91,'TRA balance'!$D$5:$D$40,Assumptions!$B91)*DV91*AE91,"")</f>
        <v>0</v>
      </c>
      <c r="CB91" s="40">
        <f ca="1">IFERROR(SUMIFS('TRA balance'!AC$5:AC$40,'TRA balance'!$C$5:$C$40,Assumptions!$C91,'TRA balance'!$D$5:$D$40,Assumptions!$B91)*DW91*AF91,"")</f>
        <v>0.08836325136</v>
      </c>
      <c r="CC91" s="40">
        <f ca="1">IFERROR(SUMIFS('TRA balance'!AD$5:AD$40,'TRA balance'!$C$5:$C$40,Assumptions!$C91,'TRA balance'!$D$5:$D$40,Assumptions!$B91)*DX91*AG91,"")</f>
        <v>0</v>
      </c>
      <c r="CD91" s="40">
        <f ca="1">IFERROR(SUMIFS('TRA balance'!AE$5:AE$40,'TRA balance'!$C$5:$C$40,Assumptions!$C91,'TRA balance'!$D$5:$D$40,Assumptions!$B91)*DY91*AH91,"")</f>
        <v>0</v>
      </c>
      <c r="CE91" s="40">
        <f ca="1">IFERROR(SUMIFS('TRA balance'!AF$5:AF$40,'TRA balance'!$C$5:$C$40,Assumptions!$C91,'TRA balance'!$D$5:$D$40,Assumptions!$B91)*DZ91*AI91,"")</f>
        <v>0</v>
      </c>
      <c r="CF91" s="40">
        <f ca="1">IFERROR(SUMIFS('TRA balance'!AG$5:AG$40,'TRA balance'!$C$5:$C$40,Assumptions!$C91,'TRA balance'!$D$5:$D$40,Assumptions!$B91)*EA91*AJ91,"")</f>
        <v>0.03002103072</v>
      </c>
      <c r="CG91" s="40">
        <f ca="1">IFERROR(SUMIFS('TRA balance'!AH$5:AH$40,'TRA balance'!$C$5:$C$40,Assumptions!$C91,'TRA balance'!$D$5:$D$40,Assumptions!$B91)*EB91*AK91,"")</f>
        <v>0.06792182838</v>
      </c>
      <c r="CH91" s="40">
        <f ca="1">IFERROR(SUMIFS('TRA balance'!AI$5:AI$40,'TRA balance'!$C$5:$C$40,Assumptions!$C91,'TRA balance'!$D$5:$D$40,Assumptions!$B91)*EC91*AL91,"")</f>
        <v>0</v>
      </c>
      <c r="CI91" s="40">
        <f ca="1">IFERROR(SUMIFS('TRA balance'!AJ$5:AJ$40,'TRA balance'!$C$5:$C$40,Assumptions!$C91,'TRA balance'!$D$5:$D$40,Assumptions!$B91)*ED91*AM91,"")</f>
        <v>0</v>
      </c>
      <c r="CJ91" s="40">
        <f ca="1">IFERROR(SUMIFS('TRA balance'!AK$5:AK$40,'TRA balance'!$C$5:$C$40,Assumptions!$C91,'TRA balance'!$D$5:$D$40,Assumptions!$B91)*EE91*AN91,"")</f>
        <v>0.0659682675</v>
      </c>
      <c r="CK91" s="40">
        <f ca="1">IFERROR(SUMIFS('TRA balance'!AL$5:AL$40,'TRA balance'!$C$5:$C$40,Assumptions!$C91,'TRA balance'!$D$5:$D$40,Assumptions!$B91)*EF91*AO91,"")</f>
        <v>0</v>
      </c>
      <c r="CL91" s="40">
        <f ca="1">IFERROR(SUMIFS('TRA balance'!AM$5:AM$40,'TRA balance'!$C$5:$C$40,Assumptions!$C91,'TRA balance'!$D$5:$D$40,Assumptions!$B91)*EG91*AP91,"")</f>
        <v>0</v>
      </c>
      <c r="CM91" s="40">
        <f ca="1">IFERROR(SUMIFS('TRA balance'!AN$5:AN$40,'TRA balance'!$C$5:$C$40,Assumptions!$C91,'TRA balance'!$D$5:$D$40,Assumptions!$B91)*EH91*AQ91,"")</f>
        <v>0</v>
      </c>
      <c r="CN91" s="40">
        <f ca="1">IFERROR(SUMIFS('TRA balance'!AO$5:AO$40,'TRA balance'!$C$5:$C$40,Assumptions!$C91,'TRA balance'!$D$5:$D$40,Assumptions!$B91)*EI91*AR91,"")</f>
        <v>0</v>
      </c>
      <c r="CO91" s="40">
        <f ca="1">IFERROR(SUMIFS('TRA balance'!AP$5:AP$40,'TRA balance'!$C$5:$C$40,Assumptions!$C91,'TRA balance'!$D$5:$D$40,Assumptions!$B91)*EJ91*AS91,"")</f>
        <v>0</v>
      </c>
      <c r="CP91" s="40">
        <f ca="1">IFERROR(SUMIFS('TRA balance'!AQ$5:AQ$40,'TRA balance'!$C$5:$C$40,Assumptions!$C91,'TRA balance'!$D$5:$D$40,Assumptions!$B91)*EK91*AT91,"")</f>
        <v>0</v>
      </c>
      <c r="CQ91" s="40">
        <f ca="1">IFERROR(SUMIFS('TRA balance'!AR$5:AR$40,'TRA balance'!$C$5:$C$40,Assumptions!$C91,'TRA balance'!$D$5:$D$40,Assumptions!$B91)*EL91*AU91,"")</f>
        <v>0</v>
      </c>
      <c r="CR91" s="40">
        <f ca="1">IFERROR(SUMIFS('TRA balance'!AS$5:AS$40,'TRA balance'!$C$5:$C$40,Assumptions!$C91,'TRA balance'!$D$5:$D$40,Assumptions!$B91)*EM91*AV91,"")</f>
        <v>0</v>
      </c>
      <c r="CS91" s="40">
        <f ca="1">IFERROR(SUMIFS('TRA balance'!AT$5:AT$40,'TRA balance'!$C$5:$C$40,Assumptions!$C91,'TRA balance'!$D$5:$D$40,Assumptions!$B91)*EN91*AW91,"")</f>
        <v>0</v>
      </c>
      <c r="CT91" s="40">
        <f ca="1">IFERROR(SUMIFS('TRA balance'!AU$5:AU$40,'TRA balance'!$C$5:$C$40,Assumptions!$C91,'TRA balance'!$D$5:$D$40,Assumptions!$B91)*EO91*AX91,"")</f>
        <v>0</v>
      </c>
      <c r="CU91" s="40">
        <f ca="1">IFERROR(SUMIFS('TRA balance'!AV$5:AV$40,'TRA balance'!$C$5:$C$40,Assumptions!$C91,'TRA balance'!$D$5:$D$40,Assumptions!$B91)*EP91*AY91,"")</f>
        <v>0</v>
      </c>
      <c r="CV91" s="40">
        <f ca="1">IFERROR(SUMIFS('TRA balance'!AW$5:AW$40,'TRA balance'!$C$5:$C$40,Assumptions!$C91,'TRA balance'!$D$5:$D$40,Assumptions!$B91)*EQ91*AZ91,"")</f>
        <v>0</v>
      </c>
      <c r="CW91" s="40">
        <f ca="1">IFERROR(SUMIFS('TRA balance'!AX$5:AX$40,'TRA balance'!$C$5:$C$40,Assumptions!$C91,'TRA balance'!$D$5:$D$40,Assumptions!$B91)*ER91*BA91,"")</f>
        <v>0</v>
      </c>
      <c r="CY91" s="39">
        <f ca="1" t="shared" si="86"/>
        <v>0</v>
      </c>
      <c r="CZ91" s="39">
        <f ca="1" t="shared" si="87"/>
        <v>0</v>
      </c>
      <c r="DA91" s="39">
        <f ca="1" t="shared" si="88"/>
        <v>1</v>
      </c>
      <c r="DB91" s="39">
        <f ca="1" t="shared" si="89"/>
        <v>1</v>
      </c>
      <c r="DC91" s="39">
        <f ca="1" t="shared" si="90"/>
        <v>0</v>
      </c>
      <c r="DD91" s="39">
        <f ca="1" t="shared" si="91"/>
        <v>1</v>
      </c>
      <c r="DE91" s="39">
        <f ca="1" t="shared" si="92"/>
        <v>0.5</v>
      </c>
      <c r="DF91" s="39">
        <f ca="1" t="shared" si="93"/>
        <v>0.8</v>
      </c>
      <c r="DG91" s="39">
        <f ca="1" t="shared" si="94"/>
        <v>0</v>
      </c>
      <c r="DH91" s="39">
        <f ca="1" t="shared" si="95"/>
        <v>0</v>
      </c>
      <c r="DI91" s="39">
        <f ca="1" t="shared" si="96"/>
        <v>1</v>
      </c>
      <c r="DJ91" s="39">
        <f ca="1" t="shared" si="97"/>
        <v>1</v>
      </c>
      <c r="DK91" s="39">
        <f ca="1" t="shared" si="98"/>
        <v>1</v>
      </c>
      <c r="DL91" s="39">
        <f ca="1" t="shared" si="99"/>
        <v>0</v>
      </c>
      <c r="DM91" s="39">
        <f ca="1" t="shared" si="100"/>
        <v>1</v>
      </c>
      <c r="DN91" s="39">
        <f ca="1" t="shared" si="101"/>
        <v>0</v>
      </c>
      <c r="DO91" s="39">
        <f ca="1" t="shared" si="102"/>
        <v>1</v>
      </c>
      <c r="DP91" s="39">
        <f ca="1" t="shared" si="103"/>
        <v>1</v>
      </c>
      <c r="DQ91" s="39">
        <f ca="1" t="shared" si="104"/>
        <v>1</v>
      </c>
      <c r="DR91" s="39">
        <f ca="1" t="shared" si="105"/>
        <v>0.5</v>
      </c>
      <c r="DS91" s="39">
        <f ca="1" t="shared" si="106"/>
        <v>0</v>
      </c>
      <c r="DT91" s="39">
        <f ca="1" t="shared" si="107"/>
        <v>1</v>
      </c>
      <c r="DU91" s="39">
        <f ca="1" t="shared" si="108"/>
        <v>1</v>
      </c>
      <c r="DV91" s="39">
        <f ca="1" t="shared" si="109"/>
        <v>0</v>
      </c>
      <c r="DW91" s="39">
        <f ca="1" t="shared" si="110"/>
        <v>1</v>
      </c>
      <c r="DX91" s="39">
        <f ca="1" t="shared" si="111"/>
        <v>0</v>
      </c>
      <c r="DY91" s="39">
        <f ca="1" t="shared" si="112"/>
        <v>0</v>
      </c>
      <c r="DZ91" s="39">
        <f ca="1" t="shared" si="113"/>
        <v>0</v>
      </c>
      <c r="EA91" s="39">
        <f ca="1" t="shared" si="114"/>
        <v>1</v>
      </c>
      <c r="EB91" s="39">
        <f ca="1" t="shared" si="115"/>
        <v>1</v>
      </c>
      <c r="EC91" s="39">
        <f ca="1" t="shared" si="116"/>
        <v>1</v>
      </c>
      <c r="ED91" s="39">
        <f ca="1" t="shared" si="117"/>
        <v>0</v>
      </c>
      <c r="EE91" s="39">
        <f ca="1" t="shared" si="118"/>
        <v>1</v>
      </c>
      <c r="EF91" s="39">
        <f ca="1" t="shared" si="119"/>
        <v>0</v>
      </c>
      <c r="EG91" s="39">
        <f ca="1" t="shared" si="120"/>
        <v>0</v>
      </c>
      <c r="EH91" s="39">
        <f ca="1" t="shared" si="121"/>
        <v>1</v>
      </c>
      <c r="EI91" s="39">
        <f ca="1" t="shared" si="122"/>
        <v>1</v>
      </c>
      <c r="EJ91" s="39">
        <f ca="1" t="shared" si="123"/>
        <v>1</v>
      </c>
      <c r="EK91" s="39">
        <f ca="1" t="shared" si="124"/>
        <v>1</v>
      </c>
      <c r="EL91" s="39">
        <f ca="1" t="shared" si="125"/>
        <v>1</v>
      </c>
      <c r="EM91" s="39">
        <f ca="1" t="shared" si="126"/>
        <v>1</v>
      </c>
      <c r="EN91" s="39">
        <f ca="1" t="shared" si="127"/>
        <v>1</v>
      </c>
      <c r="EO91" s="39">
        <f ca="1" t="shared" si="128"/>
        <v>1</v>
      </c>
      <c r="EP91" s="39">
        <f ca="1" t="shared" si="129"/>
        <v>1</v>
      </c>
      <c r="EQ91" s="39">
        <f ca="1" t="shared" si="130"/>
        <v>1</v>
      </c>
      <c r="ER91" s="39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4" t="str">
        <f t="shared" si="133"/>
        <v>TR</v>
      </c>
      <c r="D92" s="55" t="s">
        <v>200</v>
      </c>
      <c r="E92" s="66" t="s">
        <v>206</v>
      </c>
      <c r="F92" s="56" t="str">
        <f t="shared" si="143"/>
        <v>Electricity</v>
      </c>
      <c r="G92" s="54" t="s">
        <v>207</v>
      </c>
      <c r="H92" s="57">
        <f ca="1">OFFSET(TIAM15_assumptions!$G92,0,MATCH(VLOOKUP(Assumptions!H$2,TIAM15_assumptions!$Y$3:$Z$87,2,FALSE),TIAM15_assumptions!$H$2:$V$2,0))</f>
        <v>0</v>
      </c>
      <c r="I92" s="57">
        <f ca="1">OFFSET(TIAM15_assumptions!$G92,0,MATCH(VLOOKUP(Assumptions!I$2,TIAM15_assumptions!$Y$3:$Z$87,2,FALSE),TIAM15_assumptions!$H$2:$V$2,0))</f>
        <v>0</v>
      </c>
      <c r="J92" s="57">
        <f ca="1">OFFSET(TIAM15_assumptions!$G92,0,MATCH(VLOOKUP(Assumptions!J$2,TIAM15_assumptions!$Y$3:$Z$87,2,FALSE),TIAM15_assumptions!$H$2:$V$2,0))</f>
        <v>0</v>
      </c>
      <c r="K92" s="57">
        <f ca="1">OFFSET(TIAM15_assumptions!$G92,0,MATCH(VLOOKUP(Assumptions!K$2,TIAM15_assumptions!$Y$3:$Z$87,2,FALSE),TIAM15_assumptions!$H$2:$V$2,0))</f>
        <v>0</v>
      </c>
      <c r="L92" s="57">
        <f ca="1">OFFSET(TIAM15_assumptions!$G92,0,MATCH(VLOOKUP(Assumptions!L$2,TIAM15_assumptions!$Y$3:$Z$87,2,FALSE),TIAM15_assumptions!$H$2:$V$2,0))</f>
        <v>0</v>
      </c>
      <c r="M92" s="57">
        <f ca="1">OFFSET(TIAM15_assumptions!$G92,0,MATCH(VLOOKUP(Assumptions!M$2,TIAM15_assumptions!$Y$3:$Z$87,2,FALSE),TIAM15_assumptions!$H$2:$V$2,0))</f>
        <v>0</v>
      </c>
      <c r="N92" s="57">
        <f ca="1">OFFSET(TIAM15_assumptions!$G92,0,MATCH(VLOOKUP(Assumptions!N$2,TIAM15_assumptions!$Y$3:$Z$87,2,FALSE),TIAM15_assumptions!$H$2:$V$2,0))</f>
        <v>0</v>
      </c>
      <c r="O92" s="57">
        <f ca="1">OFFSET(TIAM15_assumptions!$G92,0,MATCH(VLOOKUP(Assumptions!O$2,TIAM15_assumptions!$Y$3:$Z$87,2,FALSE),TIAM15_assumptions!$H$2:$V$2,0))</f>
        <v>0</v>
      </c>
      <c r="P92" s="57">
        <f ca="1">OFFSET(TIAM15_assumptions!$G92,0,MATCH(VLOOKUP(Assumptions!P$2,TIAM15_assumptions!$Y$3:$Z$87,2,FALSE),TIAM15_assumptions!$H$2:$V$2,0))</f>
        <v>0</v>
      </c>
      <c r="Q92" s="57">
        <f ca="1">OFFSET(TIAM15_assumptions!$G92,0,MATCH(VLOOKUP(Assumptions!Q$2,TIAM15_assumptions!$Y$3:$Z$87,2,FALSE),TIAM15_assumptions!$H$2:$V$2,0))</f>
        <v>0</v>
      </c>
      <c r="R92" s="57">
        <f ca="1">OFFSET(TIAM15_assumptions!$G92,0,MATCH(VLOOKUP(Assumptions!R$2,TIAM15_assumptions!$Y$3:$Z$87,2,FALSE),TIAM15_assumptions!$H$2:$V$2,0))</f>
        <v>0</v>
      </c>
      <c r="S92" s="57">
        <f ca="1">OFFSET(TIAM15_assumptions!$G92,0,MATCH(VLOOKUP(Assumptions!S$2,TIAM15_assumptions!$Y$3:$Z$87,2,FALSE),TIAM15_assumptions!$H$2:$V$2,0))</f>
        <v>0</v>
      </c>
      <c r="T92" s="57">
        <f ca="1">OFFSET(TIAM15_assumptions!$G92,0,MATCH(VLOOKUP(Assumptions!T$2,TIAM15_assumptions!$Y$3:$Z$87,2,FALSE),TIAM15_assumptions!$H$2:$V$2,0))</f>
        <v>0</v>
      </c>
      <c r="U92" s="57">
        <f ca="1">OFFSET(TIAM15_assumptions!$G92,0,MATCH(VLOOKUP(Assumptions!U$2,TIAM15_assumptions!$Y$3:$Z$87,2,FALSE),TIAM15_assumptions!$H$2:$V$2,0))</f>
        <v>0</v>
      </c>
      <c r="V92" s="57">
        <f ca="1">OFFSET(TIAM15_assumptions!$G92,0,MATCH(VLOOKUP(Assumptions!V$2,TIAM15_assumptions!$Y$3:$Z$87,2,FALSE),TIAM15_assumptions!$H$2:$V$2,0))</f>
        <v>0</v>
      </c>
      <c r="W92" s="57">
        <f ca="1">OFFSET(TIAM15_assumptions!$G92,0,MATCH(VLOOKUP(Assumptions!W$2,TIAM15_assumptions!$Y$3:$Z$87,2,FALSE),TIAM15_assumptions!$H$2:$V$2,0))</f>
        <v>0</v>
      </c>
      <c r="X92" s="57">
        <f ca="1">OFFSET(TIAM15_assumptions!$G92,0,MATCH(VLOOKUP(Assumptions!X$2,TIAM15_assumptions!$Y$3:$Z$87,2,FALSE),TIAM15_assumptions!$H$2:$V$2,0))</f>
        <v>0</v>
      </c>
      <c r="Y92" s="57">
        <f ca="1">OFFSET(TIAM15_assumptions!$G92,0,MATCH(VLOOKUP(Assumptions!Y$2,TIAM15_assumptions!$Y$3:$Z$87,2,FALSE),TIAM15_assumptions!$H$2:$V$2,0))</f>
        <v>0</v>
      </c>
      <c r="Z92" s="57">
        <f ca="1">OFFSET(TIAM15_assumptions!$G92,0,MATCH(VLOOKUP(Assumptions!Z$2,TIAM15_assumptions!$Y$3:$Z$87,2,FALSE),TIAM15_assumptions!$H$2:$V$2,0))</f>
        <v>0</v>
      </c>
      <c r="AA92" s="57">
        <f ca="1">OFFSET(TIAM15_assumptions!$G92,0,MATCH(VLOOKUP(Assumptions!AA$2,TIAM15_assumptions!$Y$3:$Z$87,2,FALSE),TIAM15_assumptions!$H$2:$V$2,0))</f>
        <v>0</v>
      </c>
      <c r="AB92" s="57">
        <f ca="1">OFFSET(TIAM15_assumptions!$G92,0,MATCH(VLOOKUP(Assumptions!AB$2,TIAM15_assumptions!$Y$3:$Z$87,2,FALSE),TIAM15_assumptions!$H$2:$V$2,0))</f>
        <v>0</v>
      </c>
      <c r="AC92" s="57">
        <f ca="1">OFFSET(TIAM15_assumptions!$G92,0,MATCH(VLOOKUP(Assumptions!AC$2,TIAM15_assumptions!$Y$3:$Z$87,2,FALSE),TIAM15_assumptions!$H$2:$V$2,0))</f>
        <v>0</v>
      </c>
      <c r="AD92" s="57">
        <f ca="1">OFFSET(TIAM15_assumptions!$G92,0,MATCH(VLOOKUP(Assumptions!AD$2,TIAM15_assumptions!$Y$3:$Z$87,2,FALSE),TIAM15_assumptions!$H$2:$V$2,0))</f>
        <v>0</v>
      </c>
      <c r="AE92" s="57">
        <f ca="1">OFFSET(TIAM15_assumptions!$G92,0,MATCH(VLOOKUP(Assumptions!AE$2,TIAM15_assumptions!$Y$3:$Z$87,2,FALSE),TIAM15_assumptions!$H$2:$V$2,0))</f>
        <v>0</v>
      </c>
      <c r="AF92" s="57">
        <f ca="1">OFFSET(TIAM15_assumptions!$G92,0,MATCH(VLOOKUP(Assumptions!AF$2,TIAM15_assumptions!$Y$3:$Z$87,2,FALSE),TIAM15_assumptions!$H$2:$V$2,0))</f>
        <v>0</v>
      </c>
      <c r="AG92" s="57">
        <f ca="1">OFFSET(TIAM15_assumptions!$G92,0,MATCH(VLOOKUP(Assumptions!AG$2,TIAM15_assumptions!$Y$3:$Z$87,2,FALSE),TIAM15_assumptions!$H$2:$V$2,0))</f>
        <v>0</v>
      </c>
      <c r="AH92" s="57">
        <f ca="1">OFFSET(TIAM15_assumptions!$G92,0,MATCH(VLOOKUP(Assumptions!AH$2,TIAM15_assumptions!$Y$3:$Z$87,2,FALSE),TIAM15_assumptions!$H$2:$V$2,0))</f>
        <v>0</v>
      </c>
      <c r="AI92" s="57">
        <f ca="1">OFFSET(TIAM15_assumptions!$G92,0,MATCH(VLOOKUP(Assumptions!AI$2,TIAM15_assumptions!$Y$3:$Z$87,2,FALSE),TIAM15_assumptions!$H$2:$V$2,0))</f>
        <v>0</v>
      </c>
      <c r="AJ92" s="57">
        <f ca="1">OFFSET(TIAM15_assumptions!$G92,0,MATCH(VLOOKUP(Assumptions!AJ$2,TIAM15_assumptions!$Y$3:$Z$87,2,FALSE),TIAM15_assumptions!$H$2:$V$2,0))</f>
        <v>0</v>
      </c>
      <c r="AK92" s="57">
        <f ca="1">OFFSET(TIAM15_assumptions!$G92,0,MATCH(VLOOKUP(Assumptions!AK$2,TIAM15_assumptions!$Y$3:$Z$87,2,FALSE),TIAM15_assumptions!$H$2:$V$2,0))</f>
        <v>0</v>
      </c>
      <c r="AL92" s="57">
        <f ca="1">OFFSET(TIAM15_assumptions!$G92,0,MATCH(VLOOKUP(Assumptions!AL$2,TIAM15_assumptions!$Y$3:$Z$87,2,FALSE),TIAM15_assumptions!$H$2:$V$2,0))</f>
        <v>0</v>
      </c>
      <c r="AM92" s="57">
        <f ca="1">OFFSET(TIAM15_assumptions!$G92,0,MATCH(VLOOKUP(Assumptions!AM$2,TIAM15_assumptions!$Y$3:$Z$87,2,FALSE),TIAM15_assumptions!$H$2:$V$2,0))</f>
        <v>0</v>
      </c>
      <c r="AN92" s="57">
        <f ca="1">OFFSET(TIAM15_assumptions!$G92,0,MATCH(VLOOKUP(Assumptions!AN$2,TIAM15_assumptions!$Y$3:$Z$87,2,FALSE),TIAM15_assumptions!$H$2:$V$2,0))</f>
        <v>0</v>
      </c>
      <c r="AO92" s="57">
        <f ca="1">OFFSET(TIAM15_assumptions!$G92,0,MATCH(VLOOKUP(Assumptions!AO$2,TIAM15_assumptions!$Y$3:$Z$87,2,FALSE),TIAM15_assumptions!$H$2:$V$2,0))</f>
        <v>0</v>
      </c>
      <c r="AP92" s="57">
        <f ca="1">OFFSET(TIAM15_assumptions!$G92,0,MATCH(VLOOKUP(Assumptions!AP$2,TIAM15_assumptions!$Y$3:$Z$87,2,FALSE),TIAM15_assumptions!$H$2:$V$2,0))</f>
        <v>0</v>
      </c>
      <c r="AQ92" s="57">
        <f ca="1">OFFSET(TIAM15_assumptions!$G92,0,MATCH(VLOOKUP(Assumptions!AQ$2,TIAM15_assumptions!$Y$3:$Z$87,2,FALSE),TIAM15_assumptions!$H$2:$V$2,0))</f>
        <v>0</v>
      </c>
      <c r="AR92" s="57">
        <f ca="1">OFFSET(TIAM15_assumptions!$G92,0,MATCH(VLOOKUP(Assumptions!AR$2,TIAM15_assumptions!$Y$3:$Z$87,2,FALSE),TIAM15_assumptions!$H$2:$V$2,0))</f>
        <v>0</v>
      </c>
      <c r="AS92" s="57">
        <f ca="1">OFFSET(TIAM15_assumptions!$G92,0,MATCH(VLOOKUP(Assumptions!AS$2,TIAM15_assumptions!$Y$3:$Z$87,2,FALSE),TIAM15_assumptions!$H$2:$V$2,0))</f>
        <v>0</v>
      </c>
      <c r="AT92" s="57">
        <f ca="1">OFFSET(TIAM15_assumptions!$G92,0,MATCH(VLOOKUP(Assumptions!AT$2,TIAM15_assumptions!$Y$3:$Z$87,2,FALSE),TIAM15_assumptions!$H$2:$V$2,0))</f>
        <v>0</v>
      </c>
      <c r="AU92" s="57">
        <f ca="1">OFFSET(TIAM15_assumptions!$G92,0,MATCH(VLOOKUP(Assumptions!AU$2,TIAM15_assumptions!$Y$3:$Z$87,2,FALSE),TIAM15_assumptions!$H$2:$V$2,0))</f>
        <v>0</v>
      </c>
      <c r="AV92" s="57">
        <f ca="1">OFFSET(TIAM15_assumptions!$G92,0,MATCH(VLOOKUP(Assumptions!AV$2,TIAM15_assumptions!$Y$3:$Z$87,2,FALSE),TIAM15_assumptions!$H$2:$V$2,0))</f>
        <v>0</v>
      </c>
      <c r="AW92" s="57">
        <f ca="1">OFFSET(TIAM15_assumptions!$G92,0,MATCH(VLOOKUP(Assumptions!AW$2,TIAM15_assumptions!$Y$3:$Z$87,2,FALSE),TIAM15_assumptions!$H$2:$V$2,0))</f>
        <v>0</v>
      </c>
      <c r="AX92" s="57">
        <f ca="1">OFFSET(TIAM15_assumptions!$G92,0,MATCH(VLOOKUP(Assumptions!AX$2,TIAM15_assumptions!$Y$3:$Z$87,2,FALSE),TIAM15_assumptions!$H$2:$V$2,0))</f>
        <v>0</v>
      </c>
      <c r="AY92" s="57">
        <f ca="1">OFFSET(TIAM15_assumptions!$G92,0,MATCH(VLOOKUP(Assumptions!AY$2,TIAM15_assumptions!$Y$3:$Z$87,2,FALSE),TIAM15_assumptions!$H$2:$V$2,0))</f>
        <v>0</v>
      </c>
      <c r="AZ92" s="57">
        <f ca="1">OFFSET(TIAM15_assumptions!$G92,0,MATCH(VLOOKUP(Assumptions!AZ$2,TIAM15_assumptions!$Y$3:$Z$87,2,FALSE),TIAM15_assumptions!$H$2:$V$2,0))</f>
        <v>0</v>
      </c>
      <c r="BA92" s="57">
        <f ca="1">OFFSET(TIAM15_assumptions!$G92,0,MATCH(VLOOKUP(Assumptions!BA$2,TIAM15_assumptions!$Y$3:$Z$87,2,FALSE),TIAM15_assumptions!$H$2:$V$2,0))</f>
        <v>0</v>
      </c>
      <c r="BD92" s="40">
        <f ca="1">IFERROR(SUMIFS('TRA balance'!E$5:E$40,'TRA balance'!$C$5:$C$40,Assumptions!$C92,'TRA balance'!$D$5:$D$40,Assumptions!$B92)*CY92*H92,"")</f>
        <v>0</v>
      </c>
      <c r="BE92" s="40">
        <f ca="1">IFERROR(SUMIFS('TRA balance'!F$5:F$40,'TRA balance'!$C$5:$C$40,Assumptions!$C92,'TRA balance'!$D$5:$D$40,Assumptions!$B92)*CZ92*I92,"")</f>
        <v>0</v>
      </c>
      <c r="BF92" s="40">
        <f ca="1">IFERROR(SUMIFS('TRA balance'!G$5:G$40,'TRA balance'!$C$5:$C$40,Assumptions!$C92,'TRA balance'!$D$5:$D$40,Assumptions!$B92)*DA92*J92,"")</f>
        <v>0</v>
      </c>
      <c r="BG92" s="40">
        <f ca="1">IFERROR(SUMIFS('TRA balance'!H$5:H$40,'TRA balance'!$C$5:$C$40,Assumptions!$C92,'TRA balance'!$D$5:$D$40,Assumptions!$B92)*DB92*K92,"")</f>
        <v>0</v>
      </c>
      <c r="BH92" s="40">
        <f ca="1">IFERROR(SUMIFS('TRA balance'!I$5:I$40,'TRA balance'!$C$5:$C$40,Assumptions!$C92,'TRA balance'!$D$5:$D$40,Assumptions!$B92)*DC92*L92,"")</f>
        <v>0</v>
      </c>
      <c r="BI92" s="40">
        <f ca="1">IFERROR(SUMIFS('TRA balance'!J$5:J$40,'TRA balance'!$C$5:$C$40,Assumptions!$C92,'TRA balance'!$D$5:$D$40,Assumptions!$B92)*DD92*M92,"")</f>
        <v>0</v>
      </c>
      <c r="BJ92" s="40">
        <f ca="1">IFERROR(SUMIFS('TRA balance'!K$5:K$40,'TRA balance'!$C$5:$C$40,Assumptions!$C92,'TRA balance'!$D$5:$D$40,Assumptions!$B92)*DE92*N92,"")</f>
        <v>0</v>
      </c>
      <c r="BK92" s="40">
        <f ca="1">IFERROR(SUMIFS('TRA balance'!L$5:L$40,'TRA balance'!$C$5:$C$40,Assumptions!$C92,'TRA balance'!$D$5:$D$40,Assumptions!$B92)*DF92*O92,"")</f>
        <v>0</v>
      </c>
      <c r="BL92" s="40">
        <f ca="1">IFERROR(SUMIFS('TRA balance'!M$5:M$40,'TRA balance'!$C$5:$C$40,Assumptions!$C92,'TRA balance'!$D$5:$D$40,Assumptions!$B92)*DG92*P92,"")</f>
        <v>0</v>
      </c>
      <c r="BM92" s="40">
        <f ca="1">IFERROR(SUMIFS('TRA balance'!N$5:N$40,'TRA balance'!$C$5:$C$40,Assumptions!$C92,'TRA balance'!$D$5:$D$40,Assumptions!$B92)*DH92*Q92,"")</f>
        <v>0</v>
      </c>
      <c r="BN92" s="40">
        <f ca="1">IFERROR(SUMIFS('TRA balance'!O$5:O$40,'TRA balance'!$C$5:$C$40,Assumptions!$C92,'TRA balance'!$D$5:$D$40,Assumptions!$B92)*DI92*R92,"")</f>
        <v>0</v>
      </c>
      <c r="BO92" s="40">
        <f ca="1">IFERROR(SUMIFS('TRA balance'!P$5:P$40,'TRA balance'!$C$5:$C$40,Assumptions!$C92,'TRA balance'!$D$5:$D$40,Assumptions!$B92)*DJ92*S92,"")</f>
        <v>0</v>
      </c>
      <c r="BP92" s="40">
        <f ca="1">IFERROR(SUMIFS('TRA balance'!Q$5:Q$40,'TRA balance'!$C$5:$C$40,Assumptions!$C92,'TRA balance'!$D$5:$D$40,Assumptions!$B92)*DK92*T92,"")</f>
        <v>0</v>
      </c>
      <c r="BQ92" s="40">
        <f ca="1">IFERROR(SUMIFS('TRA balance'!R$5:R$40,'TRA balance'!$C$5:$C$40,Assumptions!$C92,'TRA balance'!$D$5:$D$40,Assumptions!$B92)*DL92*U92,"")</f>
        <v>0</v>
      </c>
      <c r="BR92" s="40">
        <f ca="1">IFERROR(SUMIFS('TRA balance'!S$5:S$40,'TRA balance'!$C$5:$C$40,Assumptions!$C92,'TRA balance'!$D$5:$D$40,Assumptions!$B92)*DM92*V92,"")</f>
        <v>0</v>
      </c>
      <c r="BS92" s="40">
        <f ca="1">IFERROR(SUMIFS('TRA balance'!T$5:T$40,'TRA balance'!$C$5:$C$40,Assumptions!$C92,'TRA balance'!$D$5:$D$40,Assumptions!$B92)*DN92*W92,"")</f>
        <v>0</v>
      </c>
      <c r="BT92" s="40">
        <f ca="1">IFERROR(SUMIFS('TRA balance'!U$5:U$40,'TRA balance'!$C$5:$C$40,Assumptions!$C92,'TRA balance'!$D$5:$D$40,Assumptions!$B92)*DO92*X92,"")</f>
        <v>0</v>
      </c>
      <c r="BU92" s="40">
        <f ca="1">IFERROR(SUMIFS('TRA balance'!V$5:V$40,'TRA balance'!$C$5:$C$40,Assumptions!$C92,'TRA balance'!$D$5:$D$40,Assumptions!$B92)*DP92*Y92,"")</f>
        <v>0</v>
      </c>
      <c r="BV92" s="40">
        <f ca="1">IFERROR(SUMIFS('TRA balance'!W$5:W$40,'TRA balance'!$C$5:$C$40,Assumptions!$C92,'TRA balance'!$D$5:$D$40,Assumptions!$B92)*DQ92*Z92,"")</f>
        <v>0</v>
      </c>
      <c r="BW92" s="40">
        <f ca="1">IFERROR(SUMIFS('TRA balance'!X$5:X$40,'TRA balance'!$C$5:$C$40,Assumptions!$C92,'TRA balance'!$D$5:$D$40,Assumptions!$B92)*DR92*AA92,"")</f>
        <v>0</v>
      </c>
      <c r="BX92" s="40">
        <f ca="1">IFERROR(SUMIFS('TRA balance'!Y$5:Y$40,'TRA balance'!$C$5:$C$40,Assumptions!$C92,'TRA balance'!$D$5:$D$40,Assumptions!$B92)*DS92*AB92,"")</f>
        <v>0</v>
      </c>
      <c r="BY92" s="40">
        <f ca="1">IFERROR(SUMIFS('TRA balance'!Z$5:Z$40,'TRA balance'!$C$5:$C$40,Assumptions!$C92,'TRA balance'!$D$5:$D$40,Assumptions!$B92)*DT92*AC92,"")</f>
        <v>0</v>
      </c>
      <c r="BZ92" s="40">
        <f ca="1">IFERROR(SUMIFS('TRA balance'!AA$5:AA$40,'TRA balance'!$C$5:$C$40,Assumptions!$C92,'TRA balance'!$D$5:$D$40,Assumptions!$B92)*DU92*AD92,"")</f>
        <v>0</v>
      </c>
      <c r="CA92" s="40">
        <f ca="1">IFERROR(SUMIFS('TRA balance'!AB$5:AB$40,'TRA balance'!$C$5:$C$40,Assumptions!$C92,'TRA balance'!$D$5:$D$40,Assumptions!$B92)*DV92*AE92,"")</f>
        <v>0</v>
      </c>
      <c r="CB92" s="40">
        <f ca="1">IFERROR(SUMIFS('TRA balance'!AC$5:AC$40,'TRA balance'!$C$5:$C$40,Assumptions!$C92,'TRA balance'!$D$5:$D$40,Assumptions!$B92)*DW92*AF92,"")</f>
        <v>0</v>
      </c>
      <c r="CC92" s="40">
        <f ca="1">IFERROR(SUMIFS('TRA balance'!AD$5:AD$40,'TRA balance'!$C$5:$C$40,Assumptions!$C92,'TRA balance'!$D$5:$D$40,Assumptions!$B92)*DX92*AG92,"")</f>
        <v>0</v>
      </c>
      <c r="CD92" s="40">
        <f ca="1">IFERROR(SUMIFS('TRA balance'!AE$5:AE$40,'TRA balance'!$C$5:$C$40,Assumptions!$C92,'TRA balance'!$D$5:$D$40,Assumptions!$B92)*DY92*AH92,"")</f>
        <v>0</v>
      </c>
      <c r="CE92" s="40">
        <f ca="1">IFERROR(SUMIFS('TRA balance'!AF$5:AF$40,'TRA balance'!$C$5:$C$40,Assumptions!$C92,'TRA balance'!$D$5:$D$40,Assumptions!$B92)*DZ92*AI92,"")</f>
        <v>0</v>
      </c>
      <c r="CF92" s="40">
        <f ca="1">IFERROR(SUMIFS('TRA balance'!AG$5:AG$40,'TRA balance'!$C$5:$C$40,Assumptions!$C92,'TRA balance'!$D$5:$D$40,Assumptions!$B92)*EA92*AJ92,"")</f>
        <v>0</v>
      </c>
      <c r="CG92" s="40">
        <f ca="1">IFERROR(SUMIFS('TRA balance'!AH$5:AH$40,'TRA balance'!$C$5:$C$40,Assumptions!$C92,'TRA balance'!$D$5:$D$40,Assumptions!$B92)*EB92*AK92,"")</f>
        <v>0</v>
      </c>
      <c r="CH92" s="40">
        <f ca="1">IFERROR(SUMIFS('TRA balance'!AI$5:AI$40,'TRA balance'!$C$5:$C$40,Assumptions!$C92,'TRA balance'!$D$5:$D$40,Assumptions!$B92)*EC92*AL92,"")</f>
        <v>0</v>
      </c>
      <c r="CI92" s="40">
        <f ca="1">IFERROR(SUMIFS('TRA balance'!AJ$5:AJ$40,'TRA balance'!$C$5:$C$40,Assumptions!$C92,'TRA balance'!$D$5:$D$40,Assumptions!$B92)*ED92*AM92,"")</f>
        <v>0</v>
      </c>
      <c r="CJ92" s="40">
        <f ca="1">IFERROR(SUMIFS('TRA balance'!AK$5:AK$40,'TRA balance'!$C$5:$C$40,Assumptions!$C92,'TRA balance'!$D$5:$D$40,Assumptions!$B92)*EE92*AN92,"")</f>
        <v>0</v>
      </c>
      <c r="CK92" s="40">
        <f ca="1">IFERROR(SUMIFS('TRA balance'!AL$5:AL$40,'TRA balance'!$C$5:$C$40,Assumptions!$C92,'TRA balance'!$D$5:$D$40,Assumptions!$B92)*EF92*AO92,"")</f>
        <v>0</v>
      </c>
      <c r="CL92" s="40">
        <f ca="1">IFERROR(SUMIFS('TRA balance'!AM$5:AM$40,'TRA balance'!$C$5:$C$40,Assumptions!$C92,'TRA balance'!$D$5:$D$40,Assumptions!$B92)*EG92*AP92,"")</f>
        <v>0</v>
      </c>
      <c r="CM92" s="40">
        <f ca="1">IFERROR(SUMIFS('TRA balance'!AN$5:AN$40,'TRA balance'!$C$5:$C$40,Assumptions!$C92,'TRA balance'!$D$5:$D$40,Assumptions!$B92)*EH92*AQ92,"")</f>
        <v>0</v>
      </c>
      <c r="CN92" s="40">
        <f ca="1">IFERROR(SUMIFS('TRA balance'!AO$5:AO$40,'TRA balance'!$C$5:$C$40,Assumptions!$C92,'TRA balance'!$D$5:$D$40,Assumptions!$B92)*EI92*AR92,"")</f>
        <v>0</v>
      </c>
      <c r="CO92" s="40">
        <f ca="1">IFERROR(SUMIFS('TRA balance'!AP$5:AP$40,'TRA balance'!$C$5:$C$40,Assumptions!$C92,'TRA balance'!$D$5:$D$40,Assumptions!$B92)*EJ92*AS92,"")</f>
        <v>0</v>
      </c>
      <c r="CP92" s="40">
        <f ca="1">IFERROR(SUMIFS('TRA balance'!AQ$5:AQ$40,'TRA balance'!$C$5:$C$40,Assumptions!$C92,'TRA balance'!$D$5:$D$40,Assumptions!$B92)*EK92*AT92,"")</f>
        <v>0</v>
      </c>
      <c r="CQ92" s="40">
        <f ca="1">IFERROR(SUMIFS('TRA balance'!AR$5:AR$40,'TRA balance'!$C$5:$C$40,Assumptions!$C92,'TRA balance'!$D$5:$D$40,Assumptions!$B92)*EL92*AU92,"")</f>
        <v>0</v>
      </c>
      <c r="CR92" s="40">
        <f ca="1">IFERROR(SUMIFS('TRA balance'!AS$5:AS$40,'TRA balance'!$C$5:$C$40,Assumptions!$C92,'TRA balance'!$D$5:$D$40,Assumptions!$B92)*EM92*AV92,"")</f>
        <v>0</v>
      </c>
      <c r="CS92" s="40">
        <f ca="1">IFERROR(SUMIFS('TRA balance'!AT$5:AT$40,'TRA balance'!$C$5:$C$40,Assumptions!$C92,'TRA balance'!$D$5:$D$40,Assumptions!$B92)*EN92*AW92,"")</f>
        <v>0</v>
      </c>
      <c r="CT92" s="40">
        <f ca="1">IFERROR(SUMIFS('TRA balance'!AU$5:AU$40,'TRA balance'!$C$5:$C$40,Assumptions!$C92,'TRA balance'!$D$5:$D$40,Assumptions!$B92)*EO92*AX92,"")</f>
        <v>0</v>
      </c>
      <c r="CU92" s="40">
        <f ca="1">IFERROR(SUMIFS('TRA balance'!AV$5:AV$40,'TRA balance'!$C$5:$C$40,Assumptions!$C92,'TRA balance'!$D$5:$D$40,Assumptions!$B92)*EP92*AY92,"")</f>
        <v>0</v>
      </c>
      <c r="CV92" s="40">
        <f ca="1">IFERROR(SUMIFS('TRA balance'!AW$5:AW$40,'TRA balance'!$C$5:$C$40,Assumptions!$C92,'TRA balance'!$D$5:$D$40,Assumptions!$B92)*EQ92*AZ92,"")</f>
        <v>0</v>
      </c>
      <c r="CW92" s="40">
        <f ca="1">IFERROR(SUMIFS('TRA balance'!AX$5:AX$40,'TRA balance'!$C$5:$C$40,Assumptions!$C92,'TRA balance'!$D$5:$D$40,Assumptions!$B92)*ER92*BA92,"")</f>
        <v>0</v>
      </c>
      <c r="CY92" s="39">
        <f ca="1" t="shared" si="86"/>
        <v>0</v>
      </c>
      <c r="CZ92" s="39">
        <f ca="1" t="shared" si="87"/>
        <v>0</v>
      </c>
      <c r="DA92" s="39">
        <f ca="1" t="shared" si="88"/>
        <v>1</v>
      </c>
      <c r="DB92" s="39">
        <f ca="1" t="shared" si="89"/>
        <v>1</v>
      </c>
      <c r="DC92" s="39">
        <f ca="1" t="shared" si="90"/>
        <v>0</v>
      </c>
      <c r="DD92" s="39">
        <f ca="1" t="shared" si="91"/>
        <v>1</v>
      </c>
      <c r="DE92" s="39">
        <f ca="1" t="shared" si="92"/>
        <v>0.5</v>
      </c>
      <c r="DF92" s="39">
        <f ca="1" t="shared" si="93"/>
        <v>0.8</v>
      </c>
      <c r="DG92" s="39">
        <f ca="1" t="shared" si="94"/>
        <v>0</v>
      </c>
      <c r="DH92" s="39">
        <f ca="1" t="shared" si="95"/>
        <v>0</v>
      </c>
      <c r="DI92" s="39">
        <f ca="1" t="shared" si="96"/>
        <v>1</v>
      </c>
      <c r="DJ92" s="39">
        <f ca="1" t="shared" si="97"/>
        <v>1</v>
      </c>
      <c r="DK92" s="39">
        <f ca="1" t="shared" si="98"/>
        <v>1</v>
      </c>
      <c r="DL92" s="39">
        <f ca="1" t="shared" si="99"/>
        <v>0</v>
      </c>
      <c r="DM92" s="39">
        <f ca="1" t="shared" si="100"/>
        <v>1</v>
      </c>
      <c r="DN92" s="39">
        <f ca="1" t="shared" si="101"/>
        <v>0</v>
      </c>
      <c r="DO92" s="39">
        <f ca="1" t="shared" si="102"/>
        <v>1</v>
      </c>
      <c r="DP92" s="39">
        <f ca="1" t="shared" si="103"/>
        <v>1</v>
      </c>
      <c r="DQ92" s="39">
        <f ca="1" t="shared" si="104"/>
        <v>1</v>
      </c>
      <c r="DR92" s="39">
        <f ca="1" t="shared" si="105"/>
        <v>0.5</v>
      </c>
      <c r="DS92" s="39">
        <f ca="1" t="shared" si="106"/>
        <v>0</v>
      </c>
      <c r="DT92" s="39">
        <f ca="1" t="shared" si="107"/>
        <v>1</v>
      </c>
      <c r="DU92" s="39">
        <f ca="1" t="shared" si="108"/>
        <v>1</v>
      </c>
      <c r="DV92" s="39">
        <f ca="1" t="shared" si="109"/>
        <v>0</v>
      </c>
      <c r="DW92" s="39">
        <f ca="1" t="shared" si="110"/>
        <v>1</v>
      </c>
      <c r="DX92" s="39">
        <f ca="1" t="shared" si="111"/>
        <v>0</v>
      </c>
      <c r="DY92" s="39">
        <f ca="1" t="shared" si="112"/>
        <v>0</v>
      </c>
      <c r="DZ92" s="39">
        <f ca="1" t="shared" si="113"/>
        <v>0</v>
      </c>
      <c r="EA92" s="39">
        <f ca="1" t="shared" si="114"/>
        <v>1</v>
      </c>
      <c r="EB92" s="39">
        <f ca="1" t="shared" si="115"/>
        <v>1</v>
      </c>
      <c r="EC92" s="39">
        <f ca="1" t="shared" si="116"/>
        <v>1</v>
      </c>
      <c r="ED92" s="39">
        <f ca="1" t="shared" si="117"/>
        <v>0</v>
      </c>
      <c r="EE92" s="39">
        <f ca="1" t="shared" si="118"/>
        <v>1</v>
      </c>
      <c r="EF92" s="39">
        <f ca="1" t="shared" si="119"/>
        <v>0</v>
      </c>
      <c r="EG92" s="39">
        <f ca="1" t="shared" si="120"/>
        <v>0</v>
      </c>
      <c r="EH92" s="39">
        <f ca="1" t="shared" si="121"/>
        <v>1</v>
      </c>
      <c r="EI92" s="39">
        <f ca="1" t="shared" si="122"/>
        <v>1</v>
      </c>
      <c r="EJ92" s="39">
        <f ca="1" t="shared" si="123"/>
        <v>1</v>
      </c>
      <c r="EK92" s="39">
        <f ca="1" t="shared" si="124"/>
        <v>1</v>
      </c>
      <c r="EL92" s="39">
        <f ca="1" t="shared" si="125"/>
        <v>1</v>
      </c>
      <c r="EM92" s="39">
        <f ca="1" t="shared" si="126"/>
        <v>1</v>
      </c>
      <c r="EN92" s="39">
        <f ca="1" t="shared" si="127"/>
        <v>1</v>
      </c>
      <c r="EO92" s="39">
        <f ca="1" t="shared" si="128"/>
        <v>1</v>
      </c>
      <c r="EP92" s="39">
        <f ca="1" t="shared" si="129"/>
        <v>1</v>
      </c>
      <c r="EQ92" s="39">
        <f ca="1" t="shared" si="130"/>
        <v>1</v>
      </c>
      <c r="ER92" s="39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4" t="str">
        <f t="shared" si="133"/>
        <v>TR</v>
      </c>
      <c r="D93" s="55" t="s">
        <v>200</v>
      </c>
      <c r="E93" s="66" t="s">
        <v>208</v>
      </c>
      <c r="F93" s="56" t="str">
        <f t="shared" si="143"/>
        <v>Electricity</v>
      </c>
      <c r="G93" s="54" t="s">
        <v>209</v>
      </c>
      <c r="H93" s="57">
        <f ca="1">OFFSET(TIAM15_assumptions!$G93,0,MATCH(VLOOKUP(Assumptions!H$2,TIAM15_assumptions!$Y$3:$Z$87,2,FALSE),TIAM15_assumptions!$H$2:$V$2,0))</f>
        <v>0.75</v>
      </c>
      <c r="I93" s="57">
        <f ca="1">OFFSET(TIAM15_assumptions!$G93,0,MATCH(VLOOKUP(Assumptions!I$2,TIAM15_assumptions!$Y$3:$Z$87,2,FALSE),TIAM15_assumptions!$H$2:$V$2,0))</f>
        <v>0.75</v>
      </c>
      <c r="J93" s="57">
        <f ca="1">OFFSET(TIAM15_assumptions!$G93,0,MATCH(VLOOKUP(Assumptions!J$2,TIAM15_assumptions!$Y$3:$Z$87,2,FALSE),TIAM15_assumptions!$H$2:$V$2,0))</f>
        <v>0.75</v>
      </c>
      <c r="K93" s="57">
        <f ca="1">OFFSET(TIAM15_assumptions!$G93,0,MATCH(VLOOKUP(Assumptions!K$2,TIAM15_assumptions!$Y$3:$Z$87,2,FALSE),TIAM15_assumptions!$H$2:$V$2,0))</f>
        <v>0.75</v>
      </c>
      <c r="L93" s="57">
        <f ca="1">OFFSET(TIAM15_assumptions!$G93,0,MATCH(VLOOKUP(Assumptions!L$2,TIAM15_assumptions!$Y$3:$Z$87,2,FALSE),TIAM15_assumptions!$H$2:$V$2,0))</f>
        <v>0.75</v>
      </c>
      <c r="M93" s="57">
        <f ca="1">OFFSET(TIAM15_assumptions!$G93,0,MATCH(VLOOKUP(Assumptions!M$2,TIAM15_assumptions!$Y$3:$Z$87,2,FALSE),TIAM15_assumptions!$H$2:$V$2,0))</f>
        <v>0.75</v>
      </c>
      <c r="N93" s="57">
        <f ca="1">OFFSET(TIAM15_assumptions!$G93,0,MATCH(VLOOKUP(Assumptions!N$2,TIAM15_assumptions!$Y$3:$Z$87,2,FALSE),TIAM15_assumptions!$H$2:$V$2,0))</f>
        <v>0.75</v>
      </c>
      <c r="O93" s="57">
        <f ca="1">OFFSET(TIAM15_assumptions!$G93,0,MATCH(VLOOKUP(Assumptions!O$2,TIAM15_assumptions!$Y$3:$Z$87,2,FALSE),TIAM15_assumptions!$H$2:$V$2,0))</f>
        <v>0.75</v>
      </c>
      <c r="P93" s="57">
        <f ca="1">OFFSET(TIAM15_assumptions!$G93,0,MATCH(VLOOKUP(Assumptions!P$2,TIAM15_assumptions!$Y$3:$Z$87,2,FALSE),TIAM15_assumptions!$H$2:$V$2,0))</f>
        <v>0.75</v>
      </c>
      <c r="Q93" s="57">
        <f ca="1">OFFSET(TIAM15_assumptions!$G93,0,MATCH(VLOOKUP(Assumptions!Q$2,TIAM15_assumptions!$Y$3:$Z$87,2,FALSE),TIAM15_assumptions!$H$2:$V$2,0))</f>
        <v>0.75</v>
      </c>
      <c r="R93" s="57">
        <f ca="1">OFFSET(TIAM15_assumptions!$G93,0,MATCH(VLOOKUP(Assumptions!R$2,TIAM15_assumptions!$Y$3:$Z$87,2,FALSE),TIAM15_assumptions!$H$2:$V$2,0))</f>
        <v>0.75</v>
      </c>
      <c r="S93" s="57">
        <f ca="1">OFFSET(TIAM15_assumptions!$G93,0,MATCH(VLOOKUP(Assumptions!S$2,TIAM15_assumptions!$Y$3:$Z$87,2,FALSE),TIAM15_assumptions!$H$2:$V$2,0))</f>
        <v>0.75</v>
      </c>
      <c r="T93" s="57">
        <f ca="1">OFFSET(TIAM15_assumptions!$G93,0,MATCH(VLOOKUP(Assumptions!T$2,TIAM15_assumptions!$Y$3:$Z$87,2,FALSE),TIAM15_assumptions!$H$2:$V$2,0))</f>
        <v>0.75</v>
      </c>
      <c r="U93" s="57">
        <f ca="1">OFFSET(TIAM15_assumptions!$G93,0,MATCH(VLOOKUP(Assumptions!U$2,TIAM15_assumptions!$Y$3:$Z$87,2,FALSE),TIAM15_assumptions!$H$2:$V$2,0))</f>
        <v>0.75</v>
      </c>
      <c r="V93" s="57">
        <f ca="1">OFFSET(TIAM15_assumptions!$G93,0,MATCH(VLOOKUP(Assumptions!V$2,TIAM15_assumptions!$Y$3:$Z$87,2,FALSE),TIAM15_assumptions!$H$2:$V$2,0))</f>
        <v>0.75</v>
      </c>
      <c r="W93" s="57">
        <f ca="1">OFFSET(TIAM15_assumptions!$G93,0,MATCH(VLOOKUP(Assumptions!W$2,TIAM15_assumptions!$Y$3:$Z$87,2,FALSE),TIAM15_assumptions!$H$2:$V$2,0))</f>
        <v>0.75</v>
      </c>
      <c r="X93" s="57">
        <f ca="1">OFFSET(TIAM15_assumptions!$G93,0,MATCH(VLOOKUP(Assumptions!X$2,TIAM15_assumptions!$Y$3:$Z$87,2,FALSE),TIAM15_assumptions!$H$2:$V$2,0))</f>
        <v>0.75</v>
      </c>
      <c r="Y93" s="57">
        <f ca="1">OFFSET(TIAM15_assumptions!$G93,0,MATCH(VLOOKUP(Assumptions!Y$2,TIAM15_assumptions!$Y$3:$Z$87,2,FALSE),TIAM15_assumptions!$H$2:$V$2,0))</f>
        <v>0.75</v>
      </c>
      <c r="Z93" s="57">
        <f ca="1">OFFSET(TIAM15_assumptions!$G93,0,MATCH(VLOOKUP(Assumptions!Z$2,TIAM15_assumptions!$Y$3:$Z$87,2,FALSE),TIAM15_assumptions!$H$2:$V$2,0))</f>
        <v>0.75</v>
      </c>
      <c r="AA93" s="57">
        <f ca="1">OFFSET(TIAM15_assumptions!$G93,0,MATCH(VLOOKUP(Assumptions!AA$2,TIAM15_assumptions!$Y$3:$Z$87,2,FALSE),TIAM15_assumptions!$H$2:$V$2,0))</f>
        <v>0.75</v>
      </c>
      <c r="AB93" s="57">
        <f ca="1">OFFSET(TIAM15_assumptions!$G93,0,MATCH(VLOOKUP(Assumptions!AB$2,TIAM15_assumptions!$Y$3:$Z$87,2,FALSE),TIAM15_assumptions!$H$2:$V$2,0))</f>
        <v>0.75</v>
      </c>
      <c r="AC93" s="57">
        <f ca="1">OFFSET(TIAM15_assumptions!$G93,0,MATCH(VLOOKUP(Assumptions!AC$2,TIAM15_assumptions!$Y$3:$Z$87,2,FALSE),TIAM15_assumptions!$H$2:$V$2,0))</f>
        <v>0.75</v>
      </c>
      <c r="AD93" s="57">
        <f ca="1">OFFSET(TIAM15_assumptions!$G93,0,MATCH(VLOOKUP(Assumptions!AD$2,TIAM15_assumptions!$Y$3:$Z$87,2,FALSE),TIAM15_assumptions!$H$2:$V$2,0))</f>
        <v>0.75</v>
      </c>
      <c r="AE93" s="57">
        <f ca="1">OFFSET(TIAM15_assumptions!$G93,0,MATCH(VLOOKUP(Assumptions!AE$2,TIAM15_assumptions!$Y$3:$Z$87,2,FALSE),TIAM15_assumptions!$H$2:$V$2,0))</f>
        <v>0.75</v>
      </c>
      <c r="AF93" s="57">
        <f ca="1">OFFSET(TIAM15_assumptions!$G93,0,MATCH(VLOOKUP(Assumptions!AF$2,TIAM15_assumptions!$Y$3:$Z$87,2,FALSE),TIAM15_assumptions!$H$2:$V$2,0))</f>
        <v>0.75</v>
      </c>
      <c r="AG93" s="57">
        <f ca="1">OFFSET(TIAM15_assumptions!$G93,0,MATCH(VLOOKUP(Assumptions!AG$2,TIAM15_assumptions!$Y$3:$Z$87,2,FALSE),TIAM15_assumptions!$H$2:$V$2,0))</f>
        <v>0.75</v>
      </c>
      <c r="AH93" s="57">
        <f ca="1">OFFSET(TIAM15_assumptions!$G93,0,MATCH(VLOOKUP(Assumptions!AH$2,TIAM15_assumptions!$Y$3:$Z$87,2,FALSE),TIAM15_assumptions!$H$2:$V$2,0))</f>
        <v>0.75</v>
      </c>
      <c r="AI93" s="57">
        <f ca="1">OFFSET(TIAM15_assumptions!$G93,0,MATCH(VLOOKUP(Assumptions!AI$2,TIAM15_assumptions!$Y$3:$Z$87,2,FALSE),TIAM15_assumptions!$H$2:$V$2,0))</f>
        <v>0.75</v>
      </c>
      <c r="AJ93" s="57">
        <f ca="1">OFFSET(TIAM15_assumptions!$G93,0,MATCH(VLOOKUP(Assumptions!AJ$2,TIAM15_assumptions!$Y$3:$Z$87,2,FALSE),TIAM15_assumptions!$H$2:$V$2,0))</f>
        <v>0.75</v>
      </c>
      <c r="AK93" s="57">
        <f ca="1">OFFSET(TIAM15_assumptions!$G93,0,MATCH(VLOOKUP(Assumptions!AK$2,TIAM15_assumptions!$Y$3:$Z$87,2,FALSE),TIAM15_assumptions!$H$2:$V$2,0))</f>
        <v>0.75</v>
      </c>
      <c r="AL93" s="57">
        <f ca="1">OFFSET(TIAM15_assumptions!$G93,0,MATCH(VLOOKUP(Assumptions!AL$2,TIAM15_assumptions!$Y$3:$Z$87,2,FALSE),TIAM15_assumptions!$H$2:$V$2,0))</f>
        <v>0.75</v>
      </c>
      <c r="AM93" s="57">
        <f ca="1">OFFSET(TIAM15_assumptions!$G93,0,MATCH(VLOOKUP(Assumptions!AM$2,TIAM15_assumptions!$Y$3:$Z$87,2,FALSE),TIAM15_assumptions!$H$2:$V$2,0))</f>
        <v>0.75</v>
      </c>
      <c r="AN93" s="57">
        <f ca="1">OFFSET(TIAM15_assumptions!$G93,0,MATCH(VLOOKUP(Assumptions!AN$2,TIAM15_assumptions!$Y$3:$Z$87,2,FALSE),TIAM15_assumptions!$H$2:$V$2,0))</f>
        <v>0.75</v>
      </c>
      <c r="AO93" s="57">
        <f ca="1">OFFSET(TIAM15_assumptions!$G93,0,MATCH(VLOOKUP(Assumptions!AO$2,TIAM15_assumptions!$Y$3:$Z$87,2,FALSE),TIAM15_assumptions!$H$2:$V$2,0))</f>
        <v>0.75</v>
      </c>
      <c r="AP93" s="57">
        <f ca="1">OFFSET(TIAM15_assumptions!$G93,0,MATCH(VLOOKUP(Assumptions!AP$2,TIAM15_assumptions!$Y$3:$Z$87,2,FALSE),TIAM15_assumptions!$H$2:$V$2,0))</f>
        <v>0.75</v>
      </c>
      <c r="AQ93" s="57">
        <f ca="1">OFFSET(TIAM15_assumptions!$G93,0,MATCH(VLOOKUP(Assumptions!AQ$2,TIAM15_assumptions!$Y$3:$Z$87,2,FALSE),TIAM15_assumptions!$H$2:$V$2,0))</f>
        <v>0.75</v>
      </c>
      <c r="AR93" s="57">
        <f ca="1">OFFSET(TIAM15_assumptions!$G93,0,MATCH(VLOOKUP(Assumptions!AR$2,TIAM15_assumptions!$Y$3:$Z$87,2,FALSE),TIAM15_assumptions!$H$2:$V$2,0))</f>
        <v>0.75</v>
      </c>
      <c r="AS93" s="57">
        <f ca="1">OFFSET(TIAM15_assumptions!$G93,0,MATCH(VLOOKUP(Assumptions!AS$2,TIAM15_assumptions!$Y$3:$Z$87,2,FALSE),TIAM15_assumptions!$H$2:$V$2,0))</f>
        <v>0.75</v>
      </c>
      <c r="AT93" s="57">
        <f ca="1">OFFSET(TIAM15_assumptions!$G93,0,MATCH(VLOOKUP(Assumptions!AT$2,TIAM15_assumptions!$Y$3:$Z$87,2,FALSE),TIAM15_assumptions!$H$2:$V$2,0))</f>
        <v>0.75</v>
      </c>
      <c r="AU93" s="57">
        <f ca="1">OFFSET(TIAM15_assumptions!$G93,0,MATCH(VLOOKUP(Assumptions!AU$2,TIAM15_assumptions!$Y$3:$Z$87,2,FALSE),TIAM15_assumptions!$H$2:$V$2,0))</f>
        <v>0.75</v>
      </c>
      <c r="AV93" s="57">
        <f ca="1">OFFSET(TIAM15_assumptions!$G93,0,MATCH(VLOOKUP(Assumptions!AV$2,TIAM15_assumptions!$Y$3:$Z$87,2,FALSE),TIAM15_assumptions!$H$2:$V$2,0))</f>
        <v>0.75</v>
      </c>
      <c r="AW93" s="57">
        <f ca="1">OFFSET(TIAM15_assumptions!$G93,0,MATCH(VLOOKUP(Assumptions!AW$2,TIAM15_assumptions!$Y$3:$Z$87,2,FALSE),TIAM15_assumptions!$H$2:$V$2,0))</f>
        <v>0.75</v>
      </c>
      <c r="AX93" s="57">
        <f ca="1">OFFSET(TIAM15_assumptions!$G93,0,MATCH(VLOOKUP(Assumptions!AX$2,TIAM15_assumptions!$Y$3:$Z$87,2,FALSE),TIAM15_assumptions!$H$2:$V$2,0))</f>
        <v>0.75</v>
      </c>
      <c r="AY93" s="57">
        <f ca="1">OFFSET(TIAM15_assumptions!$G93,0,MATCH(VLOOKUP(Assumptions!AY$2,TIAM15_assumptions!$Y$3:$Z$87,2,FALSE),TIAM15_assumptions!$H$2:$V$2,0))</f>
        <v>0.75</v>
      </c>
      <c r="AZ93" s="57">
        <f ca="1">OFFSET(TIAM15_assumptions!$G93,0,MATCH(VLOOKUP(Assumptions!AZ$2,TIAM15_assumptions!$Y$3:$Z$87,2,FALSE),TIAM15_assumptions!$H$2:$V$2,0))</f>
        <v>0.75</v>
      </c>
      <c r="BA93" s="57">
        <f ca="1">OFFSET(TIAM15_assumptions!$G93,0,MATCH(VLOOKUP(Assumptions!BA$2,TIAM15_assumptions!$Y$3:$Z$87,2,FALSE),TIAM15_assumptions!$H$2:$V$2,0))</f>
        <v>0.75</v>
      </c>
      <c r="BD93" s="40">
        <f ca="1">IFERROR(SUMIFS('TRA balance'!E$5:E$40,'TRA balance'!$C$5:$C$40,Assumptions!$C93,'TRA balance'!$D$5:$D$40,Assumptions!$B93)*CY93*H93,"")</f>
        <v>0</v>
      </c>
      <c r="BE93" s="40">
        <f ca="1">IFERROR(SUMIFS('TRA balance'!F$5:F$40,'TRA balance'!$C$5:$C$40,Assumptions!$C93,'TRA balance'!$D$5:$D$40,Assumptions!$B93)*CZ93*I93,"")</f>
        <v>0</v>
      </c>
      <c r="BF93" s="40">
        <f ca="1">IFERROR(SUMIFS('TRA balance'!G$5:G$40,'TRA balance'!$C$5:$C$40,Assumptions!$C93,'TRA balance'!$D$5:$D$40,Assumptions!$B93)*DA93*J93,"")</f>
        <v>0.0647991036</v>
      </c>
      <c r="BG93" s="40">
        <f ca="1">IFERROR(SUMIFS('TRA balance'!H$5:H$40,'TRA balance'!$C$5:$C$40,Assumptions!$C93,'TRA balance'!$D$5:$D$40,Assumptions!$B93)*DB93*K93,"")</f>
        <v>0.0385164666</v>
      </c>
      <c r="BH93" s="40">
        <f ca="1">IFERROR(SUMIFS('TRA balance'!I$5:I$40,'TRA balance'!$C$5:$C$40,Assumptions!$C93,'TRA balance'!$D$5:$D$40,Assumptions!$B93)*DC93*L93,"")</f>
        <v>0</v>
      </c>
      <c r="BI93" s="40">
        <f ca="1">IFERROR(SUMIFS('TRA balance'!J$5:J$40,'TRA balance'!$C$5:$C$40,Assumptions!$C93,'TRA balance'!$D$5:$D$40,Assumptions!$B93)*DD93*M93,"")</f>
        <v>1.739269989</v>
      </c>
      <c r="BJ93" s="40">
        <f ca="1">IFERROR(SUMIFS('TRA balance'!K$5:K$40,'TRA balance'!$C$5:$C$40,Assumptions!$C93,'TRA balance'!$D$5:$D$40,Assumptions!$B93)*DE93*N93,"")</f>
        <v>0</v>
      </c>
      <c r="BK93" s="40">
        <f ca="1">IFERROR(SUMIFS('TRA balance'!L$5:L$40,'TRA balance'!$C$5:$C$40,Assumptions!$C93,'TRA balance'!$D$5:$D$40,Assumptions!$B93)*DF93*O93,"")</f>
        <v>147.21780820392</v>
      </c>
      <c r="BL93" s="40">
        <f ca="1">IFERROR(SUMIFS('TRA balance'!M$5:M$40,'TRA balance'!$C$5:$C$40,Assumptions!$C93,'TRA balance'!$D$5:$D$40,Assumptions!$B93)*DG93*P93,"")</f>
        <v>0</v>
      </c>
      <c r="BM93" s="40">
        <f ca="1">IFERROR(SUMIFS('TRA balance'!N$5:N$40,'TRA balance'!$C$5:$C$40,Assumptions!$C93,'TRA balance'!$D$5:$D$40,Assumptions!$B93)*DH93*Q93,"")</f>
        <v>0</v>
      </c>
      <c r="BN93" s="40">
        <f ca="1">IFERROR(SUMIFS('TRA balance'!O$5:O$40,'TRA balance'!$C$5:$C$40,Assumptions!$C93,'TRA balance'!$D$5:$D$40,Assumptions!$B93)*DI93*R93,"")</f>
        <v>0.8842929813</v>
      </c>
      <c r="BO93" s="40">
        <f ca="1">IFERROR(SUMIFS('TRA balance'!P$5:P$40,'TRA balance'!$C$5:$C$40,Assumptions!$C93,'TRA balance'!$D$5:$D$40,Assumptions!$B93)*DJ93*S93,"")</f>
        <v>0.9072000108</v>
      </c>
      <c r="BP93" s="40">
        <f ca="1">IFERROR(SUMIFS('TRA balance'!Q$5:Q$40,'TRA balance'!$C$5:$C$40,Assumptions!$C93,'TRA balance'!$D$5:$D$40,Assumptions!$B93)*DK93*T93,"")</f>
        <v>0.0553945041</v>
      </c>
      <c r="BQ93" s="40">
        <f ca="1">IFERROR(SUMIFS('TRA balance'!R$5:R$40,'TRA balance'!$C$5:$C$40,Assumptions!$C93,'TRA balance'!$D$5:$D$40,Assumptions!$B93)*DL93*U93,"")</f>
        <v>0</v>
      </c>
      <c r="BR93" s="40">
        <f ca="1">IFERROR(SUMIFS('TRA balance'!S$5:S$40,'TRA balance'!$C$5:$C$40,Assumptions!$C93,'TRA balance'!$D$5:$D$40,Assumptions!$B93)*DM93*V93,"")</f>
        <v>0.0608990994</v>
      </c>
      <c r="BS93" s="40">
        <f ca="1">IFERROR(SUMIFS('TRA balance'!T$5:T$40,'TRA balance'!$C$5:$C$40,Assumptions!$C93,'TRA balance'!$D$5:$D$40,Assumptions!$B93)*DN93*W93,"")</f>
        <v>0</v>
      </c>
      <c r="BT93" s="40">
        <f ca="1">IFERROR(SUMIFS('TRA balance'!U$5:U$40,'TRA balance'!$C$5:$C$40,Assumptions!$C93,'TRA balance'!$D$5:$D$40,Assumptions!$B93)*DO93*X93,"")</f>
        <v>0.0731925909</v>
      </c>
      <c r="BU93" s="40">
        <f ca="1">IFERROR(SUMIFS('TRA balance'!V$5:V$40,'TRA balance'!$C$5:$C$40,Assumptions!$C93,'TRA balance'!$D$5:$D$40,Assumptions!$B93)*DP93*Y93,"")</f>
        <v>0.3730847013</v>
      </c>
      <c r="BV93" s="40">
        <f ca="1">IFERROR(SUMIFS('TRA balance'!W$5:W$40,'TRA balance'!$C$5:$C$40,Assumptions!$C93,'TRA balance'!$D$5:$D$40,Assumptions!$B93)*DQ93*Z93,"")</f>
        <v>0</v>
      </c>
      <c r="BW93" s="40">
        <f ca="1">IFERROR(SUMIFS('TRA balance'!X$5:X$40,'TRA balance'!$C$5:$C$40,Assumptions!$C93,'TRA balance'!$D$5:$D$40,Assumptions!$B93)*DR93*AA93,"")</f>
        <v>1.1029161636</v>
      </c>
      <c r="BX93" s="40">
        <f ca="1">IFERROR(SUMIFS('TRA balance'!Y$5:Y$40,'TRA balance'!$C$5:$C$40,Assumptions!$C93,'TRA balance'!$D$5:$D$40,Assumptions!$B93)*DS93*AB93,"")</f>
        <v>0</v>
      </c>
      <c r="BY93" s="40">
        <f ca="1">IFERROR(SUMIFS('TRA balance'!Z$5:Z$40,'TRA balance'!$C$5:$C$40,Assumptions!$C93,'TRA balance'!$D$5:$D$40,Assumptions!$B93)*DT93*AC93,"")</f>
        <v>21.0333852117</v>
      </c>
      <c r="BZ93" s="40">
        <f ca="1">IFERROR(SUMIFS('TRA balance'!AA$5:AA$40,'TRA balance'!$C$5:$C$40,Assumptions!$C93,'TRA balance'!$D$5:$D$40,Assumptions!$B93)*DU93*AD93,"")</f>
        <v>2.3192998407</v>
      </c>
      <c r="CA93" s="40">
        <f ca="1">IFERROR(SUMIFS('TRA balance'!AB$5:AB$40,'TRA balance'!$C$5:$C$40,Assumptions!$C93,'TRA balance'!$D$5:$D$40,Assumptions!$B93)*DV93*AE93,"")</f>
        <v>0</v>
      </c>
      <c r="CB93" s="40">
        <f ca="1">IFERROR(SUMIFS('TRA balance'!AC$5:AC$40,'TRA balance'!$C$5:$C$40,Assumptions!$C93,'TRA balance'!$D$5:$D$40,Assumptions!$B93)*DW93*AF93,"")</f>
        <v>1.3254487704</v>
      </c>
      <c r="CC93" s="40">
        <f ca="1">IFERROR(SUMIFS('TRA balance'!AD$5:AD$40,'TRA balance'!$C$5:$C$40,Assumptions!$C93,'TRA balance'!$D$5:$D$40,Assumptions!$B93)*DX93*AG93,"")</f>
        <v>0</v>
      </c>
      <c r="CD93" s="40">
        <f ca="1">IFERROR(SUMIFS('TRA balance'!AE$5:AE$40,'TRA balance'!$C$5:$C$40,Assumptions!$C93,'TRA balance'!$D$5:$D$40,Assumptions!$B93)*DY93*AH93,"")</f>
        <v>0</v>
      </c>
      <c r="CE93" s="40">
        <f ca="1">IFERROR(SUMIFS('TRA balance'!AF$5:AF$40,'TRA balance'!$C$5:$C$40,Assumptions!$C93,'TRA balance'!$D$5:$D$40,Assumptions!$B93)*DZ93*AI93,"")</f>
        <v>0</v>
      </c>
      <c r="CF93" s="40">
        <f ca="1">IFERROR(SUMIFS('TRA balance'!AG$5:AG$40,'TRA balance'!$C$5:$C$40,Assumptions!$C93,'TRA balance'!$D$5:$D$40,Assumptions!$B93)*EA93*AJ93,"")</f>
        <v>0.4503154608</v>
      </c>
      <c r="CG93" s="40">
        <f ca="1">IFERROR(SUMIFS('TRA balance'!AH$5:AH$40,'TRA balance'!$C$5:$C$40,Assumptions!$C93,'TRA balance'!$D$5:$D$40,Assumptions!$B93)*EB93*AK93,"")</f>
        <v>1.0188274257</v>
      </c>
      <c r="CH93" s="40">
        <f ca="1">IFERROR(SUMIFS('TRA balance'!AI$5:AI$40,'TRA balance'!$C$5:$C$40,Assumptions!$C93,'TRA balance'!$D$5:$D$40,Assumptions!$B93)*EC93*AL93,"")</f>
        <v>0</v>
      </c>
      <c r="CI93" s="40">
        <f ca="1">IFERROR(SUMIFS('TRA balance'!AJ$5:AJ$40,'TRA balance'!$C$5:$C$40,Assumptions!$C93,'TRA balance'!$D$5:$D$40,Assumptions!$B93)*ED93*AM93,"")</f>
        <v>0</v>
      </c>
      <c r="CJ93" s="40">
        <f ca="1">IFERROR(SUMIFS('TRA balance'!AK$5:AK$40,'TRA balance'!$C$5:$C$40,Assumptions!$C93,'TRA balance'!$D$5:$D$40,Assumptions!$B93)*EE93*AN93,"")</f>
        <v>0.9895240125</v>
      </c>
      <c r="CK93" s="40">
        <f ca="1">IFERROR(SUMIFS('TRA balance'!AL$5:AL$40,'TRA balance'!$C$5:$C$40,Assumptions!$C93,'TRA balance'!$D$5:$D$40,Assumptions!$B93)*EF93*AO93,"")</f>
        <v>0</v>
      </c>
      <c r="CL93" s="40">
        <f ca="1">IFERROR(SUMIFS('TRA balance'!AM$5:AM$40,'TRA balance'!$C$5:$C$40,Assumptions!$C93,'TRA balance'!$D$5:$D$40,Assumptions!$B93)*EG93*AP93,"")</f>
        <v>0</v>
      </c>
      <c r="CM93" s="40">
        <f ca="1">IFERROR(SUMIFS('TRA balance'!AN$5:AN$40,'TRA balance'!$C$5:$C$40,Assumptions!$C93,'TRA balance'!$D$5:$D$40,Assumptions!$B93)*EH93*AQ93,"")</f>
        <v>0</v>
      </c>
      <c r="CN93" s="40">
        <f ca="1">IFERROR(SUMIFS('TRA balance'!AO$5:AO$40,'TRA balance'!$C$5:$C$40,Assumptions!$C93,'TRA balance'!$D$5:$D$40,Assumptions!$B93)*EI93*AR93,"")</f>
        <v>0</v>
      </c>
      <c r="CO93" s="40">
        <f ca="1">IFERROR(SUMIFS('TRA balance'!AP$5:AP$40,'TRA balance'!$C$5:$C$40,Assumptions!$C93,'TRA balance'!$D$5:$D$40,Assumptions!$B93)*EJ93*AS93,"")</f>
        <v>0</v>
      </c>
      <c r="CP93" s="40">
        <f ca="1">IFERROR(SUMIFS('TRA balance'!AQ$5:AQ$40,'TRA balance'!$C$5:$C$40,Assumptions!$C93,'TRA balance'!$D$5:$D$40,Assumptions!$B93)*EK93*AT93,"")</f>
        <v>0</v>
      </c>
      <c r="CQ93" s="40">
        <f ca="1">IFERROR(SUMIFS('TRA balance'!AR$5:AR$40,'TRA balance'!$C$5:$C$40,Assumptions!$C93,'TRA balance'!$D$5:$D$40,Assumptions!$B93)*EL93*AU93,"")</f>
        <v>0</v>
      </c>
      <c r="CR93" s="40">
        <f ca="1">IFERROR(SUMIFS('TRA balance'!AS$5:AS$40,'TRA balance'!$C$5:$C$40,Assumptions!$C93,'TRA balance'!$D$5:$D$40,Assumptions!$B93)*EM93*AV93,"")</f>
        <v>0</v>
      </c>
      <c r="CS93" s="40">
        <f ca="1">IFERROR(SUMIFS('TRA balance'!AT$5:AT$40,'TRA balance'!$C$5:$C$40,Assumptions!$C93,'TRA balance'!$D$5:$D$40,Assumptions!$B93)*EN93*AW93,"")</f>
        <v>0</v>
      </c>
      <c r="CT93" s="40">
        <f ca="1">IFERROR(SUMIFS('TRA balance'!AU$5:AU$40,'TRA balance'!$C$5:$C$40,Assumptions!$C93,'TRA balance'!$D$5:$D$40,Assumptions!$B93)*EO93*AX93,"")</f>
        <v>0</v>
      </c>
      <c r="CU93" s="40">
        <f ca="1">IFERROR(SUMIFS('TRA balance'!AV$5:AV$40,'TRA balance'!$C$5:$C$40,Assumptions!$C93,'TRA balance'!$D$5:$D$40,Assumptions!$B93)*EP93*AY93,"")</f>
        <v>0</v>
      </c>
      <c r="CV93" s="40">
        <f ca="1">IFERROR(SUMIFS('TRA balance'!AW$5:AW$40,'TRA balance'!$C$5:$C$40,Assumptions!$C93,'TRA balance'!$D$5:$D$40,Assumptions!$B93)*EQ93*AZ93,"")</f>
        <v>0</v>
      </c>
      <c r="CW93" s="40">
        <f ca="1">IFERROR(SUMIFS('TRA balance'!AX$5:AX$40,'TRA balance'!$C$5:$C$40,Assumptions!$C93,'TRA balance'!$D$5:$D$40,Assumptions!$B93)*ER93*BA93,"")</f>
        <v>0</v>
      </c>
      <c r="CY93" s="39">
        <f ca="1" t="shared" si="86"/>
        <v>0</v>
      </c>
      <c r="CZ93" s="39">
        <f ca="1" t="shared" si="87"/>
        <v>0</v>
      </c>
      <c r="DA93" s="39">
        <f ca="1" t="shared" si="88"/>
        <v>1</v>
      </c>
      <c r="DB93" s="39">
        <f ca="1" t="shared" si="89"/>
        <v>1</v>
      </c>
      <c r="DC93" s="39">
        <f ca="1" t="shared" si="90"/>
        <v>0</v>
      </c>
      <c r="DD93" s="39">
        <f ca="1" t="shared" si="91"/>
        <v>1</v>
      </c>
      <c r="DE93" s="39">
        <f ca="1" t="shared" si="92"/>
        <v>0.5</v>
      </c>
      <c r="DF93" s="39">
        <f ca="1" t="shared" si="93"/>
        <v>0.8</v>
      </c>
      <c r="DG93" s="39">
        <f ca="1" t="shared" si="94"/>
        <v>0</v>
      </c>
      <c r="DH93" s="39">
        <f ca="1" t="shared" si="95"/>
        <v>0</v>
      </c>
      <c r="DI93" s="39">
        <f ca="1" t="shared" si="96"/>
        <v>1</v>
      </c>
      <c r="DJ93" s="39">
        <f ca="1" t="shared" si="97"/>
        <v>1</v>
      </c>
      <c r="DK93" s="39">
        <f ca="1" t="shared" si="98"/>
        <v>1</v>
      </c>
      <c r="DL93" s="39">
        <f ca="1" t="shared" si="99"/>
        <v>0</v>
      </c>
      <c r="DM93" s="39">
        <f ca="1" t="shared" si="100"/>
        <v>1</v>
      </c>
      <c r="DN93" s="39">
        <f ca="1" t="shared" si="101"/>
        <v>0</v>
      </c>
      <c r="DO93" s="39">
        <f ca="1" t="shared" si="102"/>
        <v>1</v>
      </c>
      <c r="DP93" s="39">
        <f ca="1" t="shared" si="103"/>
        <v>1</v>
      </c>
      <c r="DQ93" s="39">
        <f ca="1" t="shared" si="104"/>
        <v>1</v>
      </c>
      <c r="DR93" s="39">
        <f ca="1" t="shared" si="105"/>
        <v>0.5</v>
      </c>
      <c r="DS93" s="39">
        <f ca="1" t="shared" si="106"/>
        <v>0</v>
      </c>
      <c r="DT93" s="39">
        <f ca="1" t="shared" si="107"/>
        <v>1</v>
      </c>
      <c r="DU93" s="39">
        <f ca="1" t="shared" si="108"/>
        <v>1</v>
      </c>
      <c r="DV93" s="39">
        <f ca="1" t="shared" si="109"/>
        <v>0</v>
      </c>
      <c r="DW93" s="39">
        <f ca="1" t="shared" si="110"/>
        <v>1</v>
      </c>
      <c r="DX93" s="39">
        <f ca="1" t="shared" si="111"/>
        <v>0</v>
      </c>
      <c r="DY93" s="39">
        <f ca="1" t="shared" si="112"/>
        <v>0</v>
      </c>
      <c r="DZ93" s="39">
        <f ca="1" t="shared" si="113"/>
        <v>0</v>
      </c>
      <c r="EA93" s="39">
        <f ca="1" t="shared" si="114"/>
        <v>1</v>
      </c>
      <c r="EB93" s="39">
        <f ca="1" t="shared" si="115"/>
        <v>1</v>
      </c>
      <c r="EC93" s="39">
        <f ca="1" t="shared" si="116"/>
        <v>1</v>
      </c>
      <c r="ED93" s="39">
        <f ca="1" t="shared" si="117"/>
        <v>0</v>
      </c>
      <c r="EE93" s="39">
        <f ca="1" t="shared" si="118"/>
        <v>1</v>
      </c>
      <c r="EF93" s="39">
        <f ca="1" t="shared" si="119"/>
        <v>0</v>
      </c>
      <c r="EG93" s="39">
        <f ca="1" t="shared" si="120"/>
        <v>0</v>
      </c>
      <c r="EH93" s="39">
        <f ca="1" t="shared" si="121"/>
        <v>1</v>
      </c>
      <c r="EI93" s="39">
        <f ca="1" t="shared" si="122"/>
        <v>1</v>
      </c>
      <c r="EJ93" s="39">
        <f ca="1" t="shared" si="123"/>
        <v>1</v>
      </c>
      <c r="EK93" s="39">
        <f ca="1" t="shared" si="124"/>
        <v>1</v>
      </c>
      <c r="EL93" s="39">
        <f ca="1" t="shared" si="125"/>
        <v>1</v>
      </c>
      <c r="EM93" s="39">
        <f ca="1" t="shared" si="126"/>
        <v>1</v>
      </c>
      <c r="EN93" s="39">
        <f ca="1" t="shared" si="127"/>
        <v>1</v>
      </c>
      <c r="EO93" s="39">
        <f ca="1" t="shared" si="128"/>
        <v>1</v>
      </c>
      <c r="EP93" s="39">
        <f ca="1" t="shared" si="129"/>
        <v>1</v>
      </c>
      <c r="EQ93" s="39">
        <f ca="1" t="shared" si="130"/>
        <v>1</v>
      </c>
      <c r="ER93" s="39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4" t="str">
        <f t="shared" si="133"/>
        <v/>
      </c>
      <c r="D94" s="55"/>
      <c r="E94" s="67" t="s">
        <v>210</v>
      </c>
      <c r="F94" s="56" t="str">
        <f t="shared" si="143"/>
        <v>Electricity</v>
      </c>
      <c r="G94" s="54"/>
      <c r="H94" s="67" t="str">
        <f ca="1">IF(SUM(H90:H93)=1,"-","&lt;&gt;1!!")</f>
        <v>-</v>
      </c>
      <c r="I94" s="67" t="str">
        <f ca="1" t="shared" ref="I94:BA94" si="144">IF(SUM(I90:I93)=1,"-","&lt;&gt;1!!")</f>
        <v>-</v>
      </c>
      <c r="J94" s="67" t="str">
        <f ca="1" t="shared" si="144"/>
        <v>-</v>
      </c>
      <c r="K94" s="67" t="str">
        <f ca="1" t="shared" si="144"/>
        <v>-</v>
      </c>
      <c r="L94" s="67" t="str">
        <f ca="1" t="shared" si="144"/>
        <v>-</v>
      </c>
      <c r="M94" s="67" t="str">
        <f ca="1" t="shared" si="144"/>
        <v>-</v>
      </c>
      <c r="N94" s="67" t="str">
        <f ca="1" t="shared" si="144"/>
        <v>-</v>
      </c>
      <c r="O94" s="67" t="str">
        <f ca="1" t="shared" si="144"/>
        <v>-</v>
      </c>
      <c r="P94" s="67" t="str">
        <f ca="1" t="shared" si="144"/>
        <v>-</v>
      </c>
      <c r="Q94" s="67" t="str">
        <f ca="1" t="shared" si="144"/>
        <v>-</v>
      </c>
      <c r="R94" s="67" t="str">
        <f ca="1" t="shared" si="144"/>
        <v>-</v>
      </c>
      <c r="S94" s="67" t="str">
        <f ca="1" t="shared" si="144"/>
        <v>-</v>
      </c>
      <c r="T94" s="67" t="str">
        <f ca="1" t="shared" si="144"/>
        <v>-</v>
      </c>
      <c r="U94" s="67" t="str">
        <f ca="1" t="shared" si="144"/>
        <v>-</v>
      </c>
      <c r="V94" s="67" t="str">
        <f ca="1" t="shared" si="144"/>
        <v>-</v>
      </c>
      <c r="W94" s="67" t="str">
        <f ca="1" t="shared" si="144"/>
        <v>-</v>
      </c>
      <c r="X94" s="67" t="str">
        <f ca="1" t="shared" si="144"/>
        <v>-</v>
      </c>
      <c r="Y94" s="67" t="str">
        <f ca="1" t="shared" si="144"/>
        <v>-</v>
      </c>
      <c r="Z94" s="67" t="str">
        <f ca="1" t="shared" si="144"/>
        <v>-</v>
      </c>
      <c r="AA94" s="67" t="str">
        <f ca="1" t="shared" si="144"/>
        <v>-</v>
      </c>
      <c r="AB94" s="67" t="str">
        <f ca="1" t="shared" si="144"/>
        <v>-</v>
      </c>
      <c r="AC94" s="67" t="str">
        <f ca="1" t="shared" si="144"/>
        <v>-</v>
      </c>
      <c r="AD94" s="67" t="str">
        <f ca="1" t="shared" si="144"/>
        <v>-</v>
      </c>
      <c r="AE94" s="67" t="str">
        <f ca="1" t="shared" si="144"/>
        <v>-</v>
      </c>
      <c r="AF94" s="67" t="str">
        <f ca="1" t="shared" si="144"/>
        <v>-</v>
      </c>
      <c r="AG94" s="67" t="str">
        <f ca="1" t="shared" si="144"/>
        <v>-</v>
      </c>
      <c r="AH94" s="67" t="str">
        <f ca="1" t="shared" si="144"/>
        <v>-</v>
      </c>
      <c r="AI94" s="67" t="str">
        <f ca="1" t="shared" si="144"/>
        <v>-</v>
      </c>
      <c r="AJ94" s="67" t="str">
        <f ca="1" t="shared" si="144"/>
        <v>-</v>
      </c>
      <c r="AK94" s="67" t="str">
        <f ca="1" t="shared" si="144"/>
        <v>-</v>
      </c>
      <c r="AL94" s="67" t="str">
        <f ca="1" t="shared" si="144"/>
        <v>-</v>
      </c>
      <c r="AM94" s="67" t="str">
        <f ca="1" t="shared" si="144"/>
        <v>-</v>
      </c>
      <c r="AN94" s="67" t="str">
        <f ca="1" t="shared" si="144"/>
        <v>-</v>
      </c>
      <c r="AO94" s="67" t="str">
        <f ca="1" t="shared" si="144"/>
        <v>-</v>
      </c>
      <c r="AP94" s="67" t="str">
        <f ca="1" t="shared" si="144"/>
        <v>-</v>
      </c>
      <c r="AQ94" s="67" t="str">
        <f ca="1" t="shared" si="144"/>
        <v>-</v>
      </c>
      <c r="AR94" s="67" t="str">
        <f ca="1" t="shared" si="144"/>
        <v>-</v>
      </c>
      <c r="AS94" s="67" t="str">
        <f ca="1" t="shared" si="144"/>
        <v>-</v>
      </c>
      <c r="AT94" s="67" t="str">
        <f ca="1" t="shared" si="144"/>
        <v>-</v>
      </c>
      <c r="AU94" s="67" t="str">
        <f ca="1" t="shared" si="144"/>
        <v>-</v>
      </c>
      <c r="AV94" s="67" t="str">
        <f ca="1" t="shared" si="144"/>
        <v>-</v>
      </c>
      <c r="AW94" s="67" t="str">
        <f ca="1" t="shared" si="144"/>
        <v>-</v>
      </c>
      <c r="AX94" s="67" t="str">
        <f ca="1" t="shared" si="144"/>
        <v>-</v>
      </c>
      <c r="AY94" s="67" t="str">
        <f ca="1" t="shared" si="144"/>
        <v>-</v>
      </c>
      <c r="AZ94" s="67" t="str">
        <f ca="1" t="shared" si="144"/>
        <v>-</v>
      </c>
      <c r="BA94" s="67" t="str">
        <f ca="1" t="shared" si="144"/>
        <v>-</v>
      </c>
      <c r="BD94" s="40" t="str">
        <f ca="1">IFERROR(SUMIFS('TRA balance'!E$5:E$40,'TRA balance'!$C$5:$C$40,Assumptions!$C94,'TRA balance'!$D$5:$D$40,Assumptions!$B94)*CY94*H94,"")</f>
        <v/>
      </c>
      <c r="BE94" s="40" t="str">
        <f ca="1">IFERROR(SUMIFS('TRA balance'!F$5:F$40,'TRA balance'!$C$5:$C$40,Assumptions!$C94,'TRA balance'!$D$5:$D$40,Assumptions!$B94)*CZ94*I94,"")</f>
        <v/>
      </c>
      <c r="BF94" s="40" t="str">
        <f ca="1">IFERROR(SUMIFS('TRA balance'!G$5:G$40,'TRA balance'!$C$5:$C$40,Assumptions!$C94,'TRA balance'!$D$5:$D$40,Assumptions!$B94)*DA94*J94,"")</f>
        <v/>
      </c>
      <c r="BG94" s="40" t="str">
        <f ca="1">IFERROR(SUMIFS('TRA balance'!H$5:H$40,'TRA balance'!$C$5:$C$40,Assumptions!$C94,'TRA balance'!$D$5:$D$40,Assumptions!$B94)*DB94*K94,"")</f>
        <v/>
      </c>
      <c r="BH94" s="40" t="str">
        <f ca="1">IFERROR(SUMIFS('TRA balance'!I$5:I$40,'TRA balance'!$C$5:$C$40,Assumptions!$C94,'TRA balance'!$D$5:$D$40,Assumptions!$B94)*DC94*L94,"")</f>
        <v/>
      </c>
      <c r="BI94" s="40" t="str">
        <f ca="1">IFERROR(SUMIFS('TRA balance'!J$5:J$40,'TRA balance'!$C$5:$C$40,Assumptions!$C94,'TRA balance'!$D$5:$D$40,Assumptions!$B94)*DD94*M94,"")</f>
        <v/>
      </c>
      <c r="BJ94" s="40" t="str">
        <f ca="1">IFERROR(SUMIFS('TRA balance'!K$5:K$40,'TRA balance'!$C$5:$C$40,Assumptions!$C94,'TRA balance'!$D$5:$D$40,Assumptions!$B94)*DE94*N94,"")</f>
        <v/>
      </c>
      <c r="BK94" s="40" t="str">
        <f ca="1">IFERROR(SUMIFS('TRA balance'!L$5:L$40,'TRA balance'!$C$5:$C$40,Assumptions!$C94,'TRA balance'!$D$5:$D$40,Assumptions!$B94)*DF94*O94,"")</f>
        <v/>
      </c>
      <c r="BL94" s="40" t="str">
        <f ca="1">IFERROR(SUMIFS('TRA balance'!M$5:M$40,'TRA balance'!$C$5:$C$40,Assumptions!$C94,'TRA balance'!$D$5:$D$40,Assumptions!$B94)*DG94*P94,"")</f>
        <v/>
      </c>
      <c r="BM94" s="40" t="str">
        <f ca="1">IFERROR(SUMIFS('TRA balance'!N$5:N$40,'TRA balance'!$C$5:$C$40,Assumptions!$C94,'TRA balance'!$D$5:$D$40,Assumptions!$B94)*DH94*Q94,"")</f>
        <v/>
      </c>
      <c r="BN94" s="40" t="str">
        <f ca="1">IFERROR(SUMIFS('TRA balance'!O$5:O$40,'TRA balance'!$C$5:$C$40,Assumptions!$C94,'TRA balance'!$D$5:$D$40,Assumptions!$B94)*DI94*R94,"")</f>
        <v/>
      </c>
      <c r="BO94" s="40" t="str">
        <f ca="1">IFERROR(SUMIFS('TRA balance'!P$5:P$40,'TRA balance'!$C$5:$C$40,Assumptions!$C94,'TRA balance'!$D$5:$D$40,Assumptions!$B94)*DJ94*S94,"")</f>
        <v/>
      </c>
      <c r="BP94" s="40" t="str">
        <f ca="1">IFERROR(SUMIFS('TRA balance'!Q$5:Q$40,'TRA balance'!$C$5:$C$40,Assumptions!$C94,'TRA balance'!$D$5:$D$40,Assumptions!$B94)*DK94*T94,"")</f>
        <v/>
      </c>
      <c r="BQ94" s="40" t="str">
        <f ca="1">IFERROR(SUMIFS('TRA balance'!R$5:R$40,'TRA balance'!$C$5:$C$40,Assumptions!$C94,'TRA balance'!$D$5:$D$40,Assumptions!$B94)*DL94*U94,"")</f>
        <v/>
      </c>
      <c r="BR94" s="40" t="str">
        <f ca="1">IFERROR(SUMIFS('TRA balance'!S$5:S$40,'TRA balance'!$C$5:$C$40,Assumptions!$C94,'TRA balance'!$D$5:$D$40,Assumptions!$B94)*DM94*V94,"")</f>
        <v/>
      </c>
      <c r="BS94" s="40" t="str">
        <f ca="1">IFERROR(SUMIFS('TRA balance'!T$5:T$40,'TRA balance'!$C$5:$C$40,Assumptions!$C94,'TRA balance'!$D$5:$D$40,Assumptions!$B94)*DN94*W94,"")</f>
        <v/>
      </c>
      <c r="BT94" s="40" t="str">
        <f ca="1">IFERROR(SUMIFS('TRA balance'!U$5:U$40,'TRA balance'!$C$5:$C$40,Assumptions!$C94,'TRA balance'!$D$5:$D$40,Assumptions!$B94)*DO94*X94,"")</f>
        <v/>
      </c>
      <c r="BU94" s="40" t="str">
        <f ca="1">IFERROR(SUMIFS('TRA balance'!V$5:V$40,'TRA balance'!$C$5:$C$40,Assumptions!$C94,'TRA balance'!$D$5:$D$40,Assumptions!$B94)*DP94*Y94,"")</f>
        <v/>
      </c>
      <c r="BV94" s="40" t="str">
        <f ca="1">IFERROR(SUMIFS('TRA balance'!W$5:W$40,'TRA balance'!$C$5:$C$40,Assumptions!$C94,'TRA balance'!$D$5:$D$40,Assumptions!$B94)*DQ94*Z94,"")</f>
        <v/>
      </c>
      <c r="BW94" s="40" t="str">
        <f ca="1">IFERROR(SUMIFS('TRA balance'!X$5:X$40,'TRA balance'!$C$5:$C$40,Assumptions!$C94,'TRA balance'!$D$5:$D$40,Assumptions!$B94)*DR94*AA94,"")</f>
        <v/>
      </c>
      <c r="BX94" s="40" t="str">
        <f ca="1">IFERROR(SUMIFS('TRA balance'!Y$5:Y$40,'TRA balance'!$C$5:$C$40,Assumptions!$C94,'TRA balance'!$D$5:$D$40,Assumptions!$B94)*DS94*AB94,"")</f>
        <v/>
      </c>
      <c r="BY94" s="40" t="str">
        <f ca="1">IFERROR(SUMIFS('TRA balance'!Z$5:Z$40,'TRA balance'!$C$5:$C$40,Assumptions!$C94,'TRA balance'!$D$5:$D$40,Assumptions!$B94)*DT94*AC94,"")</f>
        <v/>
      </c>
      <c r="BZ94" s="40" t="str">
        <f ca="1">IFERROR(SUMIFS('TRA balance'!AA$5:AA$40,'TRA balance'!$C$5:$C$40,Assumptions!$C94,'TRA balance'!$D$5:$D$40,Assumptions!$B94)*DU94*AD94,"")</f>
        <v/>
      </c>
      <c r="CA94" s="40" t="str">
        <f ca="1">IFERROR(SUMIFS('TRA balance'!AB$5:AB$40,'TRA balance'!$C$5:$C$40,Assumptions!$C94,'TRA balance'!$D$5:$D$40,Assumptions!$B94)*DV94*AE94,"")</f>
        <v/>
      </c>
      <c r="CB94" s="40" t="str">
        <f ca="1">IFERROR(SUMIFS('TRA balance'!AC$5:AC$40,'TRA balance'!$C$5:$C$40,Assumptions!$C94,'TRA balance'!$D$5:$D$40,Assumptions!$B94)*DW94*AF94,"")</f>
        <v/>
      </c>
      <c r="CC94" s="40" t="str">
        <f ca="1">IFERROR(SUMIFS('TRA balance'!AD$5:AD$40,'TRA balance'!$C$5:$C$40,Assumptions!$C94,'TRA balance'!$D$5:$D$40,Assumptions!$B94)*DX94*AG94,"")</f>
        <v/>
      </c>
      <c r="CD94" s="40" t="str">
        <f ca="1">IFERROR(SUMIFS('TRA balance'!AE$5:AE$40,'TRA balance'!$C$5:$C$40,Assumptions!$C94,'TRA balance'!$D$5:$D$40,Assumptions!$B94)*DY94*AH94,"")</f>
        <v/>
      </c>
      <c r="CE94" s="40" t="str">
        <f ca="1">IFERROR(SUMIFS('TRA balance'!AF$5:AF$40,'TRA balance'!$C$5:$C$40,Assumptions!$C94,'TRA balance'!$D$5:$D$40,Assumptions!$B94)*DZ94*AI94,"")</f>
        <v/>
      </c>
      <c r="CF94" s="40" t="str">
        <f ca="1">IFERROR(SUMIFS('TRA balance'!AG$5:AG$40,'TRA balance'!$C$5:$C$40,Assumptions!$C94,'TRA balance'!$D$5:$D$40,Assumptions!$B94)*EA94*AJ94,"")</f>
        <v/>
      </c>
      <c r="CG94" s="40" t="str">
        <f ca="1">IFERROR(SUMIFS('TRA balance'!AH$5:AH$40,'TRA balance'!$C$5:$C$40,Assumptions!$C94,'TRA balance'!$D$5:$D$40,Assumptions!$B94)*EB94*AK94,"")</f>
        <v/>
      </c>
      <c r="CH94" s="40" t="str">
        <f ca="1">IFERROR(SUMIFS('TRA balance'!AI$5:AI$40,'TRA balance'!$C$5:$C$40,Assumptions!$C94,'TRA balance'!$D$5:$D$40,Assumptions!$B94)*EC94*AL94,"")</f>
        <v/>
      </c>
      <c r="CI94" s="40" t="str">
        <f ca="1">IFERROR(SUMIFS('TRA balance'!AJ$5:AJ$40,'TRA balance'!$C$5:$C$40,Assumptions!$C94,'TRA balance'!$D$5:$D$40,Assumptions!$B94)*ED94*AM94,"")</f>
        <v/>
      </c>
      <c r="CJ94" s="40" t="str">
        <f ca="1">IFERROR(SUMIFS('TRA balance'!AK$5:AK$40,'TRA balance'!$C$5:$C$40,Assumptions!$C94,'TRA balance'!$D$5:$D$40,Assumptions!$B94)*EE94*AN94,"")</f>
        <v/>
      </c>
      <c r="CK94" s="40" t="str">
        <f ca="1">IFERROR(SUMIFS('TRA balance'!AL$5:AL$40,'TRA balance'!$C$5:$C$40,Assumptions!$C94,'TRA balance'!$D$5:$D$40,Assumptions!$B94)*EF94*AO94,"")</f>
        <v/>
      </c>
      <c r="CL94" s="40" t="str">
        <f ca="1">IFERROR(SUMIFS('TRA balance'!AM$5:AM$40,'TRA balance'!$C$5:$C$40,Assumptions!$C94,'TRA balance'!$D$5:$D$40,Assumptions!$B94)*EG94*AP94,"")</f>
        <v/>
      </c>
      <c r="CM94" s="40" t="str">
        <f ca="1">IFERROR(SUMIFS('TRA balance'!AN$5:AN$40,'TRA balance'!$C$5:$C$40,Assumptions!$C94,'TRA balance'!$D$5:$D$40,Assumptions!$B94)*EH94*AQ94,"")</f>
        <v/>
      </c>
      <c r="CN94" s="40" t="str">
        <f ca="1">IFERROR(SUMIFS('TRA balance'!AO$5:AO$40,'TRA balance'!$C$5:$C$40,Assumptions!$C94,'TRA balance'!$D$5:$D$40,Assumptions!$B94)*EI94*AR94,"")</f>
        <v/>
      </c>
      <c r="CO94" s="40" t="str">
        <f ca="1">IFERROR(SUMIFS('TRA balance'!AP$5:AP$40,'TRA balance'!$C$5:$C$40,Assumptions!$C94,'TRA balance'!$D$5:$D$40,Assumptions!$B94)*EJ94*AS94,"")</f>
        <v/>
      </c>
      <c r="CP94" s="40" t="str">
        <f ca="1">IFERROR(SUMIFS('TRA balance'!AQ$5:AQ$40,'TRA balance'!$C$5:$C$40,Assumptions!$C94,'TRA balance'!$D$5:$D$40,Assumptions!$B94)*EK94*AT94,"")</f>
        <v/>
      </c>
      <c r="CQ94" s="40" t="str">
        <f ca="1">IFERROR(SUMIFS('TRA balance'!AR$5:AR$40,'TRA balance'!$C$5:$C$40,Assumptions!$C94,'TRA balance'!$D$5:$D$40,Assumptions!$B94)*EL94*AU94,"")</f>
        <v/>
      </c>
      <c r="CR94" s="40" t="str">
        <f ca="1">IFERROR(SUMIFS('TRA balance'!AS$5:AS$40,'TRA balance'!$C$5:$C$40,Assumptions!$C94,'TRA balance'!$D$5:$D$40,Assumptions!$B94)*EM94*AV94,"")</f>
        <v/>
      </c>
      <c r="CS94" s="40" t="str">
        <f ca="1">IFERROR(SUMIFS('TRA balance'!AT$5:AT$40,'TRA balance'!$C$5:$C$40,Assumptions!$C94,'TRA balance'!$D$5:$D$40,Assumptions!$B94)*EN94*AW94,"")</f>
        <v/>
      </c>
      <c r="CT94" s="40" t="str">
        <f ca="1">IFERROR(SUMIFS('TRA balance'!AU$5:AU$40,'TRA balance'!$C$5:$C$40,Assumptions!$C94,'TRA balance'!$D$5:$D$40,Assumptions!$B94)*EO94*AX94,"")</f>
        <v/>
      </c>
      <c r="CU94" s="40" t="str">
        <f ca="1">IFERROR(SUMIFS('TRA balance'!AV$5:AV$40,'TRA balance'!$C$5:$C$40,Assumptions!$C94,'TRA balance'!$D$5:$D$40,Assumptions!$B94)*EP94*AY94,"")</f>
        <v/>
      </c>
      <c r="CV94" s="40" t="str">
        <f ca="1">IFERROR(SUMIFS('TRA balance'!AW$5:AW$40,'TRA balance'!$C$5:$C$40,Assumptions!$C94,'TRA balance'!$D$5:$D$40,Assumptions!$B94)*EQ94*AZ94,"")</f>
        <v/>
      </c>
      <c r="CW94" s="40" t="str">
        <f ca="1">IFERROR(SUMIFS('TRA balance'!AX$5:AX$40,'TRA balance'!$C$5:$C$40,Assumptions!$C94,'TRA balance'!$D$5:$D$40,Assumptions!$B94)*ER94*BA94,"")</f>
        <v/>
      </c>
      <c r="CY94" s="39">
        <f ca="1" t="shared" si="86"/>
        <v>1</v>
      </c>
      <c r="CZ94" s="39">
        <f ca="1" t="shared" si="87"/>
        <v>1</v>
      </c>
      <c r="DA94" s="39">
        <f ca="1" t="shared" si="88"/>
        <v>1</v>
      </c>
      <c r="DB94" s="39">
        <f ca="1" t="shared" si="89"/>
        <v>1</v>
      </c>
      <c r="DC94" s="39">
        <f ca="1" t="shared" si="90"/>
        <v>1</v>
      </c>
      <c r="DD94" s="39">
        <f ca="1" t="shared" si="91"/>
        <v>1</v>
      </c>
      <c r="DE94" s="39">
        <f ca="1" t="shared" si="92"/>
        <v>1</v>
      </c>
      <c r="DF94" s="39">
        <f ca="1" t="shared" si="93"/>
        <v>1</v>
      </c>
      <c r="DG94" s="39">
        <f ca="1" t="shared" si="94"/>
        <v>1</v>
      </c>
      <c r="DH94" s="39">
        <f ca="1" t="shared" si="95"/>
        <v>1</v>
      </c>
      <c r="DI94" s="39">
        <f ca="1" t="shared" si="96"/>
        <v>1</v>
      </c>
      <c r="DJ94" s="39">
        <f ca="1" t="shared" si="97"/>
        <v>1</v>
      </c>
      <c r="DK94" s="39">
        <f ca="1" t="shared" si="98"/>
        <v>1</v>
      </c>
      <c r="DL94" s="39">
        <f ca="1" t="shared" si="99"/>
        <v>1</v>
      </c>
      <c r="DM94" s="39">
        <f ca="1" t="shared" si="100"/>
        <v>1</v>
      </c>
      <c r="DN94" s="39">
        <f ca="1" t="shared" si="101"/>
        <v>1</v>
      </c>
      <c r="DO94" s="39">
        <f ca="1" t="shared" si="102"/>
        <v>1</v>
      </c>
      <c r="DP94" s="39">
        <f ca="1" t="shared" si="103"/>
        <v>1</v>
      </c>
      <c r="DQ94" s="39">
        <f ca="1" t="shared" si="104"/>
        <v>1</v>
      </c>
      <c r="DR94" s="39">
        <f ca="1" t="shared" si="105"/>
        <v>1</v>
      </c>
      <c r="DS94" s="39">
        <f ca="1" t="shared" si="106"/>
        <v>1</v>
      </c>
      <c r="DT94" s="39">
        <f ca="1" t="shared" si="107"/>
        <v>1</v>
      </c>
      <c r="DU94" s="39">
        <f ca="1" t="shared" si="108"/>
        <v>1</v>
      </c>
      <c r="DV94" s="39">
        <f ca="1" t="shared" si="109"/>
        <v>1</v>
      </c>
      <c r="DW94" s="39">
        <f ca="1" t="shared" si="110"/>
        <v>1</v>
      </c>
      <c r="DX94" s="39">
        <f ca="1" t="shared" si="111"/>
        <v>1</v>
      </c>
      <c r="DY94" s="39">
        <f ca="1" t="shared" si="112"/>
        <v>1</v>
      </c>
      <c r="DZ94" s="39">
        <f ca="1" t="shared" si="113"/>
        <v>1</v>
      </c>
      <c r="EA94" s="39">
        <f ca="1" t="shared" si="114"/>
        <v>1</v>
      </c>
      <c r="EB94" s="39">
        <f ca="1" t="shared" si="115"/>
        <v>1</v>
      </c>
      <c r="EC94" s="39">
        <f ca="1" t="shared" si="116"/>
        <v>1</v>
      </c>
      <c r="ED94" s="39">
        <f ca="1" t="shared" si="117"/>
        <v>1</v>
      </c>
      <c r="EE94" s="39">
        <f ca="1" t="shared" si="118"/>
        <v>1</v>
      </c>
      <c r="EF94" s="39">
        <f ca="1" t="shared" si="119"/>
        <v>1</v>
      </c>
      <c r="EG94" s="39">
        <f ca="1" t="shared" si="120"/>
        <v>1</v>
      </c>
      <c r="EH94" s="39">
        <f ca="1" t="shared" si="121"/>
        <v>1</v>
      </c>
      <c r="EI94" s="39">
        <f ca="1" t="shared" si="122"/>
        <v>1</v>
      </c>
      <c r="EJ94" s="39">
        <f ca="1" t="shared" si="123"/>
        <v>1</v>
      </c>
      <c r="EK94" s="39">
        <f ca="1" t="shared" si="124"/>
        <v>1</v>
      </c>
      <c r="EL94" s="39">
        <f ca="1" t="shared" si="125"/>
        <v>1</v>
      </c>
      <c r="EM94" s="39">
        <f ca="1" t="shared" si="126"/>
        <v>1</v>
      </c>
      <c r="EN94" s="39">
        <f ca="1" t="shared" si="127"/>
        <v>1</v>
      </c>
      <c r="EO94" s="39">
        <f ca="1" t="shared" si="128"/>
        <v>1</v>
      </c>
      <c r="EP94" s="39">
        <f ca="1" t="shared" si="129"/>
        <v>1</v>
      </c>
      <c r="EQ94" s="39">
        <f ca="1" t="shared" si="130"/>
        <v>1</v>
      </c>
      <c r="ER94" s="39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2">
        <v>2</v>
      </c>
      <c r="D95" s="63" t="s">
        <v>200</v>
      </c>
      <c r="E95" s="63" t="s">
        <v>211</v>
      </c>
      <c r="F95" s="64" t="str">
        <f t="shared" si="143"/>
        <v>Electricity</v>
      </c>
      <c r="G95" s="62"/>
      <c r="H95" s="68">
        <f ca="1">1-H89</f>
        <v>1</v>
      </c>
      <c r="I95" s="68">
        <f ca="1" t="shared" ref="I95:BA95" si="145">1-I89</f>
        <v>1</v>
      </c>
      <c r="J95" s="68">
        <f ca="1" t="shared" si="145"/>
        <v>0</v>
      </c>
      <c r="K95" s="68">
        <f ca="1" t="shared" si="145"/>
        <v>0</v>
      </c>
      <c r="L95" s="68">
        <f ca="1" t="shared" si="145"/>
        <v>1</v>
      </c>
      <c r="M95" s="68">
        <f ca="1" t="shared" si="145"/>
        <v>0</v>
      </c>
      <c r="N95" s="68">
        <f ca="1" t="shared" si="145"/>
        <v>0.5</v>
      </c>
      <c r="O95" s="68">
        <f ca="1" t="shared" si="145"/>
        <v>0.2</v>
      </c>
      <c r="P95" s="68">
        <f ca="1" t="shared" si="145"/>
        <v>1</v>
      </c>
      <c r="Q95" s="68">
        <f ca="1" t="shared" si="145"/>
        <v>1</v>
      </c>
      <c r="R95" s="68">
        <f ca="1" t="shared" si="145"/>
        <v>0</v>
      </c>
      <c r="S95" s="68">
        <f ca="1" t="shared" si="145"/>
        <v>0</v>
      </c>
      <c r="T95" s="68">
        <f ca="1" t="shared" si="145"/>
        <v>0</v>
      </c>
      <c r="U95" s="68">
        <f ca="1" t="shared" si="145"/>
        <v>1</v>
      </c>
      <c r="V95" s="68">
        <f ca="1" t="shared" si="145"/>
        <v>0</v>
      </c>
      <c r="W95" s="68">
        <f ca="1" t="shared" si="145"/>
        <v>1</v>
      </c>
      <c r="X95" s="68">
        <f ca="1" t="shared" si="145"/>
        <v>0</v>
      </c>
      <c r="Y95" s="68">
        <f ca="1" t="shared" si="145"/>
        <v>0</v>
      </c>
      <c r="Z95" s="68">
        <f ca="1" t="shared" si="145"/>
        <v>0</v>
      </c>
      <c r="AA95" s="68">
        <f ca="1" t="shared" si="145"/>
        <v>0.5</v>
      </c>
      <c r="AB95" s="68">
        <f ca="1" t="shared" si="145"/>
        <v>1</v>
      </c>
      <c r="AC95" s="68">
        <f ca="1" t="shared" si="145"/>
        <v>0</v>
      </c>
      <c r="AD95" s="68">
        <f ca="1" t="shared" si="145"/>
        <v>0</v>
      </c>
      <c r="AE95" s="68">
        <f ca="1" t="shared" si="145"/>
        <v>1</v>
      </c>
      <c r="AF95" s="68">
        <f ca="1" t="shared" si="145"/>
        <v>0</v>
      </c>
      <c r="AG95" s="68">
        <f ca="1" t="shared" si="145"/>
        <v>1</v>
      </c>
      <c r="AH95" s="68">
        <f ca="1" t="shared" si="145"/>
        <v>1</v>
      </c>
      <c r="AI95" s="68">
        <f ca="1" t="shared" si="145"/>
        <v>1</v>
      </c>
      <c r="AJ95" s="68">
        <f ca="1" t="shared" si="145"/>
        <v>0</v>
      </c>
      <c r="AK95" s="68">
        <f ca="1" t="shared" si="145"/>
        <v>0</v>
      </c>
      <c r="AL95" s="68">
        <f ca="1" t="shared" si="145"/>
        <v>0</v>
      </c>
      <c r="AM95" s="68">
        <f ca="1" t="shared" si="145"/>
        <v>1</v>
      </c>
      <c r="AN95" s="68">
        <f ca="1" t="shared" si="145"/>
        <v>0</v>
      </c>
      <c r="AO95" s="68">
        <f ca="1" t="shared" si="145"/>
        <v>1</v>
      </c>
      <c r="AP95" s="68">
        <f ca="1" t="shared" si="145"/>
        <v>1</v>
      </c>
      <c r="AQ95" s="68">
        <f ca="1" t="shared" si="145"/>
        <v>0</v>
      </c>
      <c r="AR95" s="68">
        <f ca="1" t="shared" si="145"/>
        <v>0</v>
      </c>
      <c r="AS95" s="68">
        <f ca="1" t="shared" si="145"/>
        <v>0</v>
      </c>
      <c r="AT95" s="68">
        <f ca="1" t="shared" si="145"/>
        <v>0</v>
      </c>
      <c r="AU95" s="68">
        <f ca="1" t="shared" si="145"/>
        <v>0</v>
      </c>
      <c r="AV95" s="68">
        <f ca="1" t="shared" si="145"/>
        <v>0</v>
      </c>
      <c r="AW95" s="68">
        <f ca="1" t="shared" si="145"/>
        <v>0</v>
      </c>
      <c r="AX95" s="68">
        <f ca="1" t="shared" si="145"/>
        <v>0</v>
      </c>
      <c r="AY95" s="68">
        <f ca="1" t="shared" si="145"/>
        <v>0</v>
      </c>
      <c r="AZ95" s="68">
        <f ca="1" t="shared" si="145"/>
        <v>0</v>
      </c>
      <c r="BA95" s="68">
        <f ca="1" t="shared" si="145"/>
        <v>0</v>
      </c>
      <c r="BD95" s="40">
        <f ca="1">IFERROR(SUMIFS('TRA balance'!E$5:E$40,'TRA balance'!$C$5:$C$40,Assumptions!$C95,'TRA balance'!$D$5:$D$40,Assumptions!$B95)*CY95*H95,"")</f>
        <v>0</v>
      </c>
      <c r="BE95" s="40">
        <f ca="1">IFERROR(SUMIFS('TRA balance'!F$5:F$40,'TRA balance'!$C$5:$C$40,Assumptions!$C95,'TRA balance'!$D$5:$D$40,Assumptions!$B95)*CZ95*I95,"")</f>
        <v>0</v>
      </c>
      <c r="BF95" s="40">
        <f ca="1">IFERROR(SUMIFS('TRA balance'!G$5:G$40,'TRA balance'!$C$5:$C$40,Assumptions!$C95,'TRA balance'!$D$5:$D$40,Assumptions!$B95)*DA95*J95,"")</f>
        <v>0</v>
      </c>
      <c r="BG95" s="40">
        <f ca="1">IFERROR(SUMIFS('TRA balance'!H$5:H$40,'TRA balance'!$C$5:$C$40,Assumptions!$C95,'TRA balance'!$D$5:$D$40,Assumptions!$B95)*DB95*K95,"")</f>
        <v>0</v>
      </c>
      <c r="BH95" s="40">
        <f ca="1">IFERROR(SUMIFS('TRA balance'!I$5:I$40,'TRA balance'!$C$5:$C$40,Assumptions!$C95,'TRA balance'!$D$5:$D$40,Assumptions!$B95)*DC95*L95,"")</f>
        <v>0</v>
      </c>
      <c r="BI95" s="40">
        <f ca="1">IFERROR(SUMIFS('TRA balance'!J$5:J$40,'TRA balance'!$C$5:$C$40,Assumptions!$C95,'TRA balance'!$D$5:$D$40,Assumptions!$B95)*DD95*M95,"")</f>
        <v>0</v>
      </c>
      <c r="BJ95" s="40">
        <f ca="1">IFERROR(SUMIFS('TRA balance'!K$5:K$40,'TRA balance'!$C$5:$C$40,Assumptions!$C95,'TRA balance'!$D$5:$D$40,Assumptions!$B95)*DE95*N95,"")</f>
        <v>0</v>
      </c>
      <c r="BK95" s="40">
        <f ca="1">IFERROR(SUMIFS('TRA balance'!L$5:L$40,'TRA balance'!$C$5:$C$40,Assumptions!$C95,'TRA balance'!$D$5:$D$40,Assumptions!$B95)*DF95*O95,"")</f>
        <v>0</v>
      </c>
      <c r="BL95" s="40">
        <f ca="1">IFERROR(SUMIFS('TRA balance'!M$5:M$40,'TRA balance'!$C$5:$C$40,Assumptions!$C95,'TRA balance'!$D$5:$D$40,Assumptions!$B95)*DG95*P95,"")</f>
        <v>0</v>
      </c>
      <c r="BM95" s="40">
        <f ca="1">IFERROR(SUMIFS('TRA balance'!N$5:N$40,'TRA balance'!$C$5:$C$40,Assumptions!$C95,'TRA balance'!$D$5:$D$40,Assumptions!$B95)*DH95*Q95,"")</f>
        <v>0</v>
      </c>
      <c r="BN95" s="40">
        <f ca="1">IFERROR(SUMIFS('TRA balance'!O$5:O$40,'TRA balance'!$C$5:$C$40,Assumptions!$C95,'TRA balance'!$D$5:$D$40,Assumptions!$B95)*DI95*R95,"")</f>
        <v>0</v>
      </c>
      <c r="BO95" s="40">
        <f ca="1">IFERROR(SUMIFS('TRA balance'!P$5:P$40,'TRA balance'!$C$5:$C$40,Assumptions!$C95,'TRA balance'!$D$5:$D$40,Assumptions!$B95)*DJ95*S95,"")</f>
        <v>0</v>
      </c>
      <c r="BP95" s="40">
        <f ca="1">IFERROR(SUMIFS('TRA balance'!Q$5:Q$40,'TRA balance'!$C$5:$C$40,Assumptions!$C95,'TRA balance'!$D$5:$D$40,Assumptions!$B95)*DK95*T95,"")</f>
        <v>0</v>
      </c>
      <c r="BQ95" s="40">
        <f ca="1">IFERROR(SUMIFS('TRA balance'!R$5:R$40,'TRA balance'!$C$5:$C$40,Assumptions!$C95,'TRA balance'!$D$5:$D$40,Assumptions!$B95)*DL95*U95,"")</f>
        <v>0</v>
      </c>
      <c r="BR95" s="40">
        <f ca="1">IFERROR(SUMIFS('TRA balance'!S$5:S$40,'TRA balance'!$C$5:$C$40,Assumptions!$C95,'TRA balance'!$D$5:$D$40,Assumptions!$B95)*DM95*V95,"")</f>
        <v>0</v>
      </c>
      <c r="BS95" s="40">
        <f ca="1">IFERROR(SUMIFS('TRA balance'!T$5:T$40,'TRA balance'!$C$5:$C$40,Assumptions!$C95,'TRA balance'!$D$5:$D$40,Assumptions!$B95)*DN95*W95,"")</f>
        <v>0</v>
      </c>
      <c r="BT95" s="40">
        <f ca="1">IFERROR(SUMIFS('TRA balance'!U$5:U$40,'TRA balance'!$C$5:$C$40,Assumptions!$C95,'TRA balance'!$D$5:$D$40,Assumptions!$B95)*DO95*X95,"")</f>
        <v>0</v>
      </c>
      <c r="BU95" s="40">
        <f ca="1">IFERROR(SUMIFS('TRA balance'!V$5:V$40,'TRA balance'!$C$5:$C$40,Assumptions!$C95,'TRA balance'!$D$5:$D$40,Assumptions!$B95)*DP95*Y95,"")</f>
        <v>0</v>
      </c>
      <c r="BV95" s="40">
        <f ca="1">IFERROR(SUMIFS('TRA balance'!W$5:W$40,'TRA balance'!$C$5:$C$40,Assumptions!$C95,'TRA balance'!$D$5:$D$40,Assumptions!$B95)*DQ95*Z95,"")</f>
        <v>0</v>
      </c>
      <c r="BW95" s="40">
        <f ca="1">IFERROR(SUMIFS('TRA balance'!X$5:X$40,'TRA balance'!$C$5:$C$40,Assumptions!$C95,'TRA balance'!$D$5:$D$40,Assumptions!$B95)*DR95*AA95,"")</f>
        <v>0</v>
      </c>
      <c r="BX95" s="40">
        <f ca="1">IFERROR(SUMIFS('TRA balance'!Y$5:Y$40,'TRA balance'!$C$5:$C$40,Assumptions!$C95,'TRA balance'!$D$5:$D$40,Assumptions!$B95)*DS95*AB95,"")</f>
        <v>0</v>
      </c>
      <c r="BY95" s="40">
        <f ca="1">IFERROR(SUMIFS('TRA balance'!Z$5:Z$40,'TRA balance'!$C$5:$C$40,Assumptions!$C95,'TRA balance'!$D$5:$D$40,Assumptions!$B95)*DT95*AC95,"")</f>
        <v>0</v>
      </c>
      <c r="BZ95" s="40">
        <f ca="1">IFERROR(SUMIFS('TRA balance'!AA$5:AA$40,'TRA balance'!$C$5:$C$40,Assumptions!$C95,'TRA balance'!$D$5:$D$40,Assumptions!$B95)*DU95*AD95,"")</f>
        <v>0</v>
      </c>
      <c r="CA95" s="40">
        <f ca="1">IFERROR(SUMIFS('TRA balance'!AB$5:AB$40,'TRA balance'!$C$5:$C$40,Assumptions!$C95,'TRA balance'!$D$5:$D$40,Assumptions!$B95)*DV95*AE95,"")</f>
        <v>0</v>
      </c>
      <c r="CB95" s="40">
        <f ca="1">IFERROR(SUMIFS('TRA balance'!AC$5:AC$40,'TRA balance'!$C$5:$C$40,Assumptions!$C95,'TRA balance'!$D$5:$D$40,Assumptions!$B95)*DW95*AF95,"")</f>
        <v>0</v>
      </c>
      <c r="CC95" s="40">
        <f ca="1">IFERROR(SUMIFS('TRA balance'!AD$5:AD$40,'TRA balance'!$C$5:$C$40,Assumptions!$C95,'TRA balance'!$D$5:$D$40,Assumptions!$B95)*DX95*AG95,"")</f>
        <v>0</v>
      </c>
      <c r="CD95" s="40">
        <f ca="1">IFERROR(SUMIFS('TRA balance'!AE$5:AE$40,'TRA balance'!$C$5:$C$40,Assumptions!$C95,'TRA balance'!$D$5:$D$40,Assumptions!$B95)*DY95*AH95,"")</f>
        <v>0</v>
      </c>
      <c r="CE95" s="40">
        <f ca="1">IFERROR(SUMIFS('TRA balance'!AF$5:AF$40,'TRA balance'!$C$5:$C$40,Assumptions!$C95,'TRA balance'!$D$5:$D$40,Assumptions!$B95)*DZ95*AI95,"")</f>
        <v>0</v>
      </c>
      <c r="CF95" s="40">
        <f ca="1">IFERROR(SUMIFS('TRA balance'!AG$5:AG$40,'TRA balance'!$C$5:$C$40,Assumptions!$C95,'TRA balance'!$D$5:$D$40,Assumptions!$B95)*EA95*AJ95,"")</f>
        <v>0</v>
      </c>
      <c r="CG95" s="40">
        <f ca="1">IFERROR(SUMIFS('TRA balance'!AH$5:AH$40,'TRA balance'!$C$5:$C$40,Assumptions!$C95,'TRA balance'!$D$5:$D$40,Assumptions!$B95)*EB95*AK95,"")</f>
        <v>0</v>
      </c>
      <c r="CH95" s="40">
        <f ca="1">IFERROR(SUMIFS('TRA balance'!AI$5:AI$40,'TRA balance'!$C$5:$C$40,Assumptions!$C95,'TRA balance'!$D$5:$D$40,Assumptions!$B95)*EC95*AL95,"")</f>
        <v>0</v>
      </c>
      <c r="CI95" s="40">
        <f ca="1">IFERROR(SUMIFS('TRA balance'!AJ$5:AJ$40,'TRA balance'!$C$5:$C$40,Assumptions!$C95,'TRA balance'!$D$5:$D$40,Assumptions!$B95)*ED95*AM95,"")</f>
        <v>0</v>
      </c>
      <c r="CJ95" s="40">
        <f ca="1">IFERROR(SUMIFS('TRA balance'!AK$5:AK$40,'TRA balance'!$C$5:$C$40,Assumptions!$C95,'TRA balance'!$D$5:$D$40,Assumptions!$B95)*EE95*AN95,"")</f>
        <v>0</v>
      </c>
      <c r="CK95" s="40">
        <f ca="1">IFERROR(SUMIFS('TRA balance'!AL$5:AL$40,'TRA balance'!$C$5:$C$40,Assumptions!$C95,'TRA balance'!$D$5:$D$40,Assumptions!$B95)*EF95*AO95,"")</f>
        <v>0</v>
      </c>
      <c r="CL95" s="40">
        <f ca="1">IFERROR(SUMIFS('TRA balance'!AM$5:AM$40,'TRA balance'!$C$5:$C$40,Assumptions!$C95,'TRA balance'!$D$5:$D$40,Assumptions!$B95)*EG95*AP95,"")</f>
        <v>0</v>
      </c>
      <c r="CM95" s="40">
        <f ca="1">IFERROR(SUMIFS('TRA balance'!AN$5:AN$40,'TRA balance'!$C$5:$C$40,Assumptions!$C95,'TRA balance'!$D$5:$D$40,Assumptions!$B95)*EH95*AQ95,"")</f>
        <v>0</v>
      </c>
      <c r="CN95" s="40">
        <f ca="1">IFERROR(SUMIFS('TRA balance'!AO$5:AO$40,'TRA balance'!$C$5:$C$40,Assumptions!$C95,'TRA balance'!$D$5:$D$40,Assumptions!$B95)*EI95*AR95,"")</f>
        <v>0</v>
      </c>
      <c r="CO95" s="40">
        <f ca="1">IFERROR(SUMIFS('TRA balance'!AP$5:AP$40,'TRA balance'!$C$5:$C$40,Assumptions!$C95,'TRA balance'!$D$5:$D$40,Assumptions!$B95)*EJ95*AS95,"")</f>
        <v>0</v>
      </c>
      <c r="CP95" s="40">
        <f ca="1">IFERROR(SUMIFS('TRA balance'!AQ$5:AQ$40,'TRA balance'!$C$5:$C$40,Assumptions!$C95,'TRA balance'!$D$5:$D$40,Assumptions!$B95)*EK95*AT95,"")</f>
        <v>0</v>
      </c>
      <c r="CQ95" s="40">
        <f ca="1">IFERROR(SUMIFS('TRA balance'!AR$5:AR$40,'TRA balance'!$C$5:$C$40,Assumptions!$C95,'TRA balance'!$D$5:$D$40,Assumptions!$B95)*EL95*AU95,"")</f>
        <v>0</v>
      </c>
      <c r="CR95" s="40">
        <f ca="1">IFERROR(SUMIFS('TRA balance'!AS$5:AS$40,'TRA balance'!$C$5:$C$40,Assumptions!$C95,'TRA balance'!$D$5:$D$40,Assumptions!$B95)*EM95*AV95,"")</f>
        <v>0</v>
      </c>
      <c r="CS95" s="40">
        <f ca="1">IFERROR(SUMIFS('TRA balance'!AT$5:AT$40,'TRA balance'!$C$5:$C$40,Assumptions!$C95,'TRA balance'!$D$5:$D$40,Assumptions!$B95)*EN95*AW95,"")</f>
        <v>0</v>
      </c>
      <c r="CT95" s="40">
        <f ca="1">IFERROR(SUMIFS('TRA balance'!AU$5:AU$40,'TRA balance'!$C$5:$C$40,Assumptions!$C95,'TRA balance'!$D$5:$D$40,Assumptions!$B95)*EO95*AX95,"")</f>
        <v>0</v>
      </c>
      <c r="CU95" s="40">
        <f ca="1">IFERROR(SUMIFS('TRA balance'!AV$5:AV$40,'TRA balance'!$C$5:$C$40,Assumptions!$C95,'TRA balance'!$D$5:$D$40,Assumptions!$B95)*EP95*AY95,"")</f>
        <v>0</v>
      </c>
      <c r="CV95" s="40">
        <f ca="1">IFERROR(SUMIFS('TRA balance'!AW$5:AW$40,'TRA balance'!$C$5:$C$40,Assumptions!$C95,'TRA balance'!$D$5:$D$40,Assumptions!$B95)*EQ95*AZ95,"")</f>
        <v>0</v>
      </c>
      <c r="CW95" s="40">
        <f ca="1">IFERROR(SUMIFS('TRA balance'!AX$5:AX$40,'TRA balance'!$C$5:$C$40,Assumptions!$C95,'TRA balance'!$D$5:$D$40,Assumptions!$B95)*ER95*BA95,"")</f>
        <v>0</v>
      </c>
      <c r="CY95" s="39">
        <f ca="1" t="shared" si="86"/>
        <v>1</v>
      </c>
      <c r="CZ95" s="39">
        <f ca="1" t="shared" si="87"/>
        <v>1</v>
      </c>
      <c r="DA95" s="39">
        <f ca="1" t="shared" si="88"/>
        <v>1</v>
      </c>
      <c r="DB95" s="39">
        <f ca="1" t="shared" si="89"/>
        <v>1</v>
      </c>
      <c r="DC95" s="39">
        <f ca="1" t="shared" si="90"/>
        <v>1</v>
      </c>
      <c r="DD95" s="39">
        <f ca="1" t="shared" si="91"/>
        <v>1</v>
      </c>
      <c r="DE95" s="39">
        <f ca="1" t="shared" si="92"/>
        <v>1</v>
      </c>
      <c r="DF95" s="39">
        <f ca="1" t="shared" si="93"/>
        <v>1</v>
      </c>
      <c r="DG95" s="39">
        <f ca="1" t="shared" si="94"/>
        <v>1</v>
      </c>
      <c r="DH95" s="39">
        <f ca="1" t="shared" si="95"/>
        <v>1</v>
      </c>
      <c r="DI95" s="39">
        <f ca="1" t="shared" si="96"/>
        <v>1</v>
      </c>
      <c r="DJ95" s="39">
        <f ca="1" t="shared" si="97"/>
        <v>1</v>
      </c>
      <c r="DK95" s="39">
        <f ca="1" t="shared" si="98"/>
        <v>1</v>
      </c>
      <c r="DL95" s="39">
        <f ca="1" t="shared" si="99"/>
        <v>1</v>
      </c>
      <c r="DM95" s="39">
        <f ca="1" t="shared" si="100"/>
        <v>1</v>
      </c>
      <c r="DN95" s="39">
        <f ca="1" t="shared" si="101"/>
        <v>1</v>
      </c>
      <c r="DO95" s="39">
        <f ca="1" t="shared" si="102"/>
        <v>1</v>
      </c>
      <c r="DP95" s="39">
        <f ca="1" t="shared" si="103"/>
        <v>1</v>
      </c>
      <c r="DQ95" s="39">
        <f ca="1" t="shared" si="104"/>
        <v>1</v>
      </c>
      <c r="DR95" s="39">
        <f ca="1" t="shared" si="105"/>
        <v>1</v>
      </c>
      <c r="DS95" s="39">
        <f ca="1" t="shared" si="106"/>
        <v>1</v>
      </c>
      <c r="DT95" s="39">
        <f ca="1" t="shared" si="107"/>
        <v>1</v>
      </c>
      <c r="DU95" s="39">
        <f ca="1" t="shared" si="108"/>
        <v>1</v>
      </c>
      <c r="DV95" s="39">
        <f ca="1" t="shared" si="109"/>
        <v>1</v>
      </c>
      <c r="DW95" s="39">
        <f ca="1" t="shared" si="110"/>
        <v>1</v>
      </c>
      <c r="DX95" s="39">
        <f ca="1" t="shared" si="111"/>
        <v>1</v>
      </c>
      <c r="DY95" s="39">
        <f ca="1" t="shared" si="112"/>
        <v>1</v>
      </c>
      <c r="DZ95" s="39">
        <f ca="1" t="shared" si="113"/>
        <v>1</v>
      </c>
      <c r="EA95" s="39">
        <f ca="1" t="shared" si="114"/>
        <v>1</v>
      </c>
      <c r="EB95" s="39">
        <f ca="1" t="shared" si="115"/>
        <v>1</v>
      </c>
      <c r="EC95" s="39">
        <f ca="1" t="shared" si="116"/>
        <v>1</v>
      </c>
      <c r="ED95" s="39">
        <f ca="1" t="shared" si="117"/>
        <v>1</v>
      </c>
      <c r="EE95" s="39">
        <f ca="1" t="shared" si="118"/>
        <v>1</v>
      </c>
      <c r="EF95" s="39">
        <f ca="1" t="shared" si="119"/>
        <v>1</v>
      </c>
      <c r="EG95" s="39">
        <f ca="1" t="shared" si="120"/>
        <v>1</v>
      </c>
      <c r="EH95" s="39">
        <f ca="1" t="shared" si="121"/>
        <v>1</v>
      </c>
      <c r="EI95" s="39">
        <f ca="1" t="shared" si="122"/>
        <v>1</v>
      </c>
      <c r="EJ95" s="39">
        <f ca="1" t="shared" si="123"/>
        <v>1</v>
      </c>
      <c r="EK95" s="39">
        <f ca="1" t="shared" si="124"/>
        <v>1</v>
      </c>
      <c r="EL95" s="39">
        <f ca="1" t="shared" si="125"/>
        <v>1</v>
      </c>
      <c r="EM95" s="39">
        <f ca="1" t="shared" si="126"/>
        <v>1</v>
      </c>
      <c r="EN95" s="39">
        <f ca="1" t="shared" si="127"/>
        <v>1</v>
      </c>
      <c r="EO95" s="39">
        <f ca="1" t="shared" si="128"/>
        <v>1</v>
      </c>
      <c r="EP95" s="39">
        <f ca="1" t="shared" si="129"/>
        <v>1</v>
      </c>
      <c r="EQ95" s="39">
        <f ca="1" t="shared" si="130"/>
        <v>1</v>
      </c>
      <c r="ER95" s="39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4" t="str">
        <f t="shared" si="133"/>
        <v>TR</v>
      </c>
      <c r="D96" s="55" t="s">
        <v>200</v>
      </c>
      <c r="E96" s="66" t="s">
        <v>212</v>
      </c>
      <c r="F96" s="56" t="str">
        <f t="shared" si="143"/>
        <v>Electricity</v>
      </c>
      <c r="G96" s="54" t="s">
        <v>213</v>
      </c>
      <c r="H96" s="57">
        <f ca="1">OFFSET(TIAM15_assumptions!$G96,0,MATCH(VLOOKUP(Assumptions!H$2,TIAM15_assumptions!$Y$3:$Z$87,2,FALSE),TIAM15_assumptions!$H$2:$V$2,0))</f>
        <v>1</v>
      </c>
      <c r="I96" s="57">
        <f ca="1">OFFSET(TIAM15_assumptions!$G96,0,MATCH(VLOOKUP(Assumptions!I$2,TIAM15_assumptions!$Y$3:$Z$87,2,FALSE),TIAM15_assumptions!$H$2:$V$2,0))</f>
        <v>1</v>
      </c>
      <c r="J96" s="57">
        <f ca="1">OFFSET(TIAM15_assumptions!$G96,0,MATCH(VLOOKUP(Assumptions!J$2,TIAM15_assumptions!$Y$3:$Z$87,2,FALSE),TIAM15_assumptions!$H$2:$V$2,0))</f>
        <v>1</v>
      </c>
      <c r="K96" s="57">
        <f ca="1">OFFSET(TIAM15_assumptions!$G96,0,MATCH(VLOOKUP(Assumptions!K$2,TIAM15_assumptions!$Y$3:$Z$87,2,FALSE),TIAM15_assumptions!$H$2:$V$2,0))</f>
        <v>1</v>
      </c>
      <c r="L96" s="57">
        <f ca="1">OFFSET(TIAM15_assumptions!$G96,0,MATCH(VLOOKUP(Assumptions!L$2,TIAM15_assumptions!$Y$3:$Z$87,2,FALSE),TIAM15_assumptions!$H$2:$V$2,0))</f>
        <v>1</v>
      </c>
      <c r="M96" s="57">
        <f ca="1">OFFSET(TIAM15_assumptions!$G96,0,MATCH(VLOOKUP(Assumptions!M$2,TIAM15_assumptions!$Y$3:$Z$87,2,FALSE),TIAM15_assumptions!$H$2:$V$2,0))</f>
        <v>1</v>
      </c>
      <c r="N96" s="57">
        <f ca="1">OFFSET(TIAM15_assumptions!$G96,0,MATCH(VLOOKUP(Assumptions!N$2,TIAM15_assumptions!$Y$3:$Z$87,2,FALSE),TIAM15_assumptions!$H$2:$V$2,0))</f>
        <v>1</v>
      </c>
      <c r="O96" s="57">
        <f ca="1">OFFSET(TIAM15_assumptions!$G96,0,MATCH(VLOOKUP(Assumptions!O$2,TIAM15_assumptions!$Y$3:$Z$87,2,FALSE),TIAM15_assumptions!$H$2:$V$2,0))</f>
        <v>0.5</v>
      </c>
      <c r="P96" s="57">
        <f ca="1">OFFSET(TIAM15_assumptions!$G96,0,MATCH(VLOOKUP(Assumptions!P$2,TIAM15_assumptions!$Y$3:$Z$87,2,FALSE),TIAM15_assumptions!$H$2:$V$2,0))</f>
        <v>1</v>
      </c>
      <c r="Q96" s="57">
        <f ca="1">OFFSET(TIAM15_assumptions!$G96,0,MATCH(VLOOKUP(Assumptions!Q$2,TIAM15_assumptions!$Y$3:$Z$87,2,FALSE),TIAM15_assumptions!$H$2:$V$2,0))</f>
        <v>1</v>
      </c>
      <c r="R96" s="57">
        <f ca="1">OFFSET(TIAM15_assumptions!$G96,0,MATCH(VLOOKUP(Assumptions!R$2,TIAM15_assumptions!$Y$3:$Z$87,2,FALSE),TIAM15_assumptions!$H$2:$V$2,0))</f>
        <v>1</v>
      </c>
      <c r="S96" s="57">
        <f ca="1">OFFSET(TIAM15_assumptions!$G96,0,MATCH(VLOOKUP(Assumptions!S$2,TIAM15_assumptions!$Y$3:$Z$87,2,FALSE),TIAM15_assumptions!$H$2:$V$2,0))</f>
        <v>1</v>
      </c>
      <c r="T96" s="57">
        <f ca="1">OFFSET(TIAM15_assumptions!$G96,0,MATCH(VLOOKUP(Assumptions!T$2,TIAM15_assumptions!$Y$3:$Z$87,2,FALSE),TIAM15_assumptions!$H$2:$V$2,0))</f>
        <v>1</v>
      </c>
      <c r="U96" s="57">
        <f ca="1">OFFSET(TIAM15_assumptions!$G96,0,MATCH(VLOOKUP(Assumptions!U$2,TIAM15_assumptions!$Y$3:$Z$87,2,FALSE),TIAM15_assumptions!$H$2:$V$2,0))</f>
        <v>1</v>
      </c>
      <c r="V96" s="57">
        <f ca="1">OFFSET(TIAM15_assumptions!$G96,0,MATCH(VLOOKUP(Assumptions!V$2,TIAM15_assumptions!$Y$3:$Z$87,2,FALSE),TIAM15_assumptions!$H$2:$V$2,0))</f>
        <v>1</v>
      </c>
      <c r="W96" s="57">
        <f ca="1">OFFSET(TIAM15_assumptions!$G96,0,MATCH(VLOOKUP(Assumptions!W$2,TIAM15_assumptions!$Y$3:$Z$87,2,FALSE),TIAM15_assumptions!$H$2:$V$2,0))</f>
        <v>1</v>
      </c>
      <c r="X96" s="57">
        <f ca="1">OFFSET(TIAM15_assumptions!$G96,0,MATCH(VLOOKUP(Assumptions!X$2,TIAM15_assumptions!$Y$3:$Z$87,2,FALSE),TIAM15_assumptions!$H$2:$V$2,0))</f>
        <v>1</v>
      </c>
      <c r="Y96" s="57">
        <f ca="1">OFFSET(TIAM15_assumptions!$G96,0,MATCH(VLOOKUP(Assumptions!Y$2,TIAM15_assumptions!$Y$3:$Z$87,2,FALSE),TIAM15_assumptions!$H$2:$V$2,0))</f>
        <v>1</v>
      </c>
      <c r="Z96" s="57">
        <f ca="1">OFFSET(TIAM15_assumptions!$G96,0,MATCH(VLOOKUP(Assumptions!Z$2,TIAM15_assumptions!$Y$3:$Z$87,2,FALSE),TIAM15_assumptions!$H$2:$V$2,0))</f>
        <v>1</v>
      </c>
      <c r="AA96" s="57">
        <f ca="1">OFFSET(TIAM15_assumptions!$G96,0,MATCH(VLOOKUP(Assumptions!AA$2,TIAM15_assumptions!$Y$3:$Z$87,2,FALSE),TIAM15_assumptions!$H$2:$V$2,0))</f>
        <v>1</v>
      </c>
      <c r="AB96" s="57">
        <f ca="1">OFFSET(TIAM15_assumptions!$G96,0,MATCH(VLOOKUP(Assumptions!AB$2,TIAM15_assumptions!$Y$3:$Z$87,2,FALSE),TIAM15_assumptions!$H$2:$V$2,0))</f>
        <v>1</v>
      </c>
      <c r="AC96" s="57">
        <f ca="1">OFFSET(TIAM15_assumptions!$G96,0,MATCH(VLOOKUP(Assumptions!AC$2,TIAM15_assumptions!$Y$3:$Z$87,2,FALSE),TIAM15_assumptions!$H$2:$V$2,0))</f>
        <v>1</v>
      </c>
      <c r="AD96" s="57">
        <f ca="1">OFFSET(TIAM15_assumptions!$G96,0,MATCH(VLOOKUP(Assumptions!AD$2,TIAM15_assumptions!$Y$3:$Z$87,2,FALSE),TIAM15_assumptions!$H$2:$V$2,0))</f>
        <v>1</v>
      </c>
      <c r="AE96" s="57">
        <f ca="1">OFFSET(TIAM15_assumptions!$G96,0,MATCH(VLOOKUP(Assumptions!AE$2,TIAM15_assumptions!$Y$3:$Z$87,2,FALSE),TIAM15_assumptions!$H$2:$V$2,0))</f>
        <v>1</v>
      </c>
      <c r="AF96" s="57">
        <f ca="1">OFFSET(TIAM15_assumptions!$G96,0,MATCH(VLOOKUP(Assumptions!AF$2,TIAM15_assumptions!$Y$3:$Z$87,2,FALSE),TIAM15_assumptions!$H$2:$V$2,0))</f>
        <v>1</v>
      </c>
      <c r="AG96" s="57">
        <f ca="1">OFFSET(TIAM15_assumptions!$G96,0,MATCH(VLOOKUP(Assumptions!AG$2,TIAM15_assumptions!$Y$3:$Z$87,2,FALSE),TIAM15_assumptions!$H$2:$V$2,0))</f>
        <v>1</v>
      </c>
      <c r="AH96" s="57">
        <f ca="1">OFFSET(TIAM15_assumptions!$G96,0,MATCH(VLOOKUP(Assumptions!AH$2,TIAM15_assumptions!$Y$3:$Z$87,2,FALSE),TIAM15_assumptions!$H$2:$V$2,0))</f>
        <v>1</v>
      </c>
      <c r="AI96" s="57">
        <f ca="1">OFFSET(TIAM15_assumptions!$G96,0,MATCH(VLOOKUP(Assumptions!AI$2,TIAM15_assumptions!$Y$3:$Z$87,2,FALSE),TIAM15_assumptions!$H$2:$V$2,0))</f>
        <v>1</v>
      </c>
      <c r="AJ96" s="57">
        <f ca="1">OFFSET(TIAM15_assumptions!$G96,0,MATCH(VLOOKUP(Assumptions!AJ$2,TIAM15_assumptions!$Y$3:$Z$87,2,FALSE),TIAM15_assumptions!$H$2:$V$2,0))</f>
        <v>1</v>
      </c>
      <c r="AK96" s="57">
        <f ca="1">OFFSET(TIAM15_assumptions!$G96,0,MATCH(VLOOKUP(Assumptions!AK$2,TIAM15_assumptions!$Y$3:$Z$87,2,FALSE),TIAM15_assumptions!$H$2:$V$2,0))</f>
        <v>1</v>
      </c>
      <c r="AL96" s="57">
        <f ca="1">OFFSET(TIAM15_assumptions!$G96,0,MATCH(VLOOKUP(Assumptions!AL$2,TIAM15_assumptions!$Y$3:$Z$87,2,FALSE),TIAM15_assumptions!$H$2:$V$2,0))</f>
        <v>1</v>
      </c>
      <c r="AM96" s="57">
        <f ca="1">OFFSET(TIAM15_assumptions!$G96,0,MATCH(VLOOKUP(Assumptions!AM$2,TIAM15_assumptions!$Y$3:$Z$87,2,FALSE),TIAM15_assumptions!$H$2:$V$2,0))</f>
        <v>1</v>
      </c>
      <c r="AN96" s="57">
        <f ca="1">OFFSET(TIAM15_assumptions!$G96,0,MATCH(VLOOKUP(Assumptions!AN$2,TIAM15_assumptions!$Y$3:$Z$87,2,FALSE),TIAM15_assumptions!$H$2:$V$2,0))</f>
        <v>1</v>
      </c>
      <c r="AO96" s="57">
        <f ca="1">OFFSET(TIAM15_assumptions!$G96,0,MATCH(VLOOKUP(Assumptions!AO$2,TIAM15_assumptions!$Y$3:$Z$87,2,FALSE),TIAM15_assumptions!$H$2:$V$2,0))</f>
        <v>1</v>
      </c>
      <c r="AP96" s="57">
        <f ca="1">OFFSET(TIAM15_assumptions!$G96,0,MATCH(VLOOKUP(Assumptions!AP$2,TIAM15_assumptions!$Y$3:$Z$87,2,FALSE),TIAM15_assumptions!$H$2:$V$2,0))</f>
        <v>1</v>
      </c>
      <c r="AQ96" s="57">
        <f ca="1">OFFSET(TIAM15_assumptions!$G96,0,MATCH(VLOOKUP(Assumptions!AQ$2,TIAM15_assumptions!$Y$3:$Z$87,2,FALSE),TIAM15_assumptions!$H$2:$V$2,0))</f>
        <v>1</v>
      </c>
      <c r="AR96" s="57">
        <f ca="1">OFFSET(TIAM15_assumptions!$G96,0,MATCH(VLOOKUP(Assumptions!AR$2,TIAM15_assumptions!$Y$3:$Z$87,2,FALSE),TIAM15_assumptions!$H$2:$V$2,0))</f>
        <v>1</v>
      </c>
      <c r="AS96" s="57">
        <f ca="1">OFFSET(TIAM15_assumptions!$G96,0,MATCH(VLOOKUP(Assumptions!AS$2,TIAM15_assumptions!$Y$3:$Z$87,2,FALSE),TIAM15_assumptions!$H$2:$V$2,0))</f>
        <v>1</v>
      </c>
      <c r="AT96" s="57">
        <f ca="1">OFFSET(TIAM15_assumptions!$G96,0,MATCH(VLOOKUP(Assumptions!AT$2,TIAM15_assumptions!$Y$3:$Z$87,2,FALSE),TIAM15_assumptions!$H$2:$V$2,0))</f>
        <v>1</v>
      </c>
      <c r="AU96" s="57">
        <f ca="1">OFFSET(TIAM15_assumptions!$G96,0,MATCH(VLOOKUP(Assumptions!AU$2,TIAM15_assumptions!$Y$3:$Z$87,2,FALSE),TIAM15_assumptions!$H$2:$V$2,0))</f>
        <v>1</v>
      </c>
      <c r="AV96" s="57">
        <f ca="1">OFFSET(TIAM15_assumptions!$G96,0,MATCH(VLOOKUP(Assumptions!AV$2,TIAM15_assumptions!$Y$3:$Z$87,2,FALSE),TIAM15_assumptions!$H$2:$V$2,0))</f>
        <v>1</v>
      </c>
      <c r="AW96" s="57">
        <f ca="1">OFFSET(TIAM15_assumptions!$G96,0,MATCH(VLOOKUP(Assumptions!AW$2,TIAM15_assumptions!$Y$3:$Z$87,2,FALSE),TIAM15_assumptions!$H$2:$V$2,0))</f>
        <v>1</v>
      </c>
      <c r="AX96" s="57">
        <f ca="1">OFFSET(TIAM15_assumptions!$G96,0,MATCH(VLOOKUP(Assumptions!AX$2,TIAM15_assumptions!$Y$3:$Z$87,2,FALSE),TIAM15_assumptions!$H$2:$V$2,0))</f>
        <v>1</v>
      </c>
      <c r="AY96" s="57">
        <f ca="1">OFFSET(TIAM15_assumptions!$G96,0,MATCH(VLOOKUP(Assumptions!AY$2,TIAM15_assumptions!$Y$3:$Z$87,2,FALSE),TIAM15_assumptions!$H$2:$V$2,0))</f>
        <v>1</v>
      </c>
      <c r="AZ96" s="57">
        <f ca="1">OFFSET(TIAM15_assumptions!$G96,0,MATCH(VLOOKUP(Assumptions!AZ$2,TIAM15_assumptions!$Y$3:$Z$87,2,FALSE),TIAM15_assumptions!$H$2:$V$2,0))</f>
        <v>1</v>
      </c>
      <c r="BA96" s="57">
        <f ca="1">OFFSET(TIAM15_assumptions!$G96,0,MATCH(VLOOKUP(Assumptions!BA$2,TIAM15_assumptions!$Y$3:$Z$87,2,FALSE),TIAM15_assumptions!$H$2:$V$2,0))</f>
        <v>1</v>
      </c>
      <c r="BD96" s="40">
        <f ca="1">IFERROR(SUMIFS('TRA balance'!E$5:E$40,'TRA balance'!$C$5:$C$40,Assumptions!$C96,'TRA balance'!$D$5:$D$40,Assumptions!$B96)*CY96*H96,"")</f>
        <v>0</v>
      </c>
      <c r="BE96" s="40">
        <f ca="1">IFERROR(SUMIFS('TRA balance'!F$5:F$40,'TRA balance'!$C$5:$C$40,Assumptions!$C96,'TRA balance'!$D$5:$D$40,Assumptions!$B96)*CZ96*I96,"")</f>
        <v>0</v>
      </c>
      <c r="BF96" s="40">
        <f ca="1">IFERROR(SUMIFS('TRA balance'!G$5:G$40,'TRA balance'!$C$5:$C$40,Assumptions!$C96,'TRA balance'!$D$5:$D$40,Assumptions!$B96)*DA96*J96,"")</f>
        <v>0</v>
      </c>
      <c r="BG96" s="40">
        <f ca="1">IFERROR(SUMIFS('TRA balance'!H$5:H$40,'TRA balance'!$C$5:$C$40,Assumptions!$C96,'TRA balance'!$D$5:$D$40,Assumptions!$B96)*DB96*K96,"")</f>
        <v>0</v>
      </c>
      <c r="BH96" s="40">
        <f ca="1">IFERROR(SUMIFS('TRA balance'!I$5:I$40,'TRA balance'!$C$5:$C$40,Assumptions!$C96,'TRA balance'!$D$5:$D$40,Assumptions!$B96)*DC96*L96,"")</f>
        <v>0.2918660148</v>
      </c>
      <c r="BI96" s="40">
        <f ca="1">IFERROR(SUMIFS('TRA balance'!J$5:J$40,'TRA balance'!$C$5:$C$40,Assumptions!$C96,'TRA balance'!$D$5:$D$40,Assumptions!$B96)*DD96*M96,"")</f>
        <v>0</v>
      </c>
      <c r="BJ96" s="40">
        <f ca="1">IFERROR(SUMIFS('TRA balance'!K$5:K$40,'TRA balance'!$C$5:$C$40,Assumptions!$C96,'TRA balance'!$D$5:$D$40,Assumptions!$B96)*DE96*N96,"")</f>
        <v>0</v>
      </c>
      <c r="BK96" s="40">
        <f ca="1">IFERROR(SUMIFS('TRA balance'!L$5:L$40,'TRA balance'!$C$5:$C$40,Assumptions!$C96,'TRA balance'!$D$5:$D$40,Assumptions!$B96)*DF96*O96,"")</f>
        <v>24.53630136732</v>
      </c>
      <c r="BL96" s="40">
        <f ca="1">IFERROR(SUMIFS('TRA balance'!M$5:M$40,'TRA balance'!$C$5:$C$40,Assumptions!$C96,'TRA balance'!$D$5:$D$40,Assumptions!$B96)*DG96*P96,"")</f>
        <v>0.0128869704</v>
      </c>
      <c r="BM96" s="40">
        <f ca="1">IFERROR(SUMIFS('TRA balance'!N$5:N$40,'TRA balance'!$C$5:$C$40,Assumptions!$C96,'TRA balance'!$D$5:$D$40,Assumptions!$B96)*DH96*Q96,"")</f>
        <v>0.3348853848</v>
      </c>
      <c r="BN96" s="40">
        <f ca="1">IFERROR(SUMIFS('TRA balance'!O$5:O$40,'TRA balance'!$C$5:$C$40,Assumptions!$C96,'TRA balance'!$D$5:$D$40,Assumptions!$B96)*DI96*R96,"")</f>
        <v>0</v>
      </c>
      <c r="BO96" s="40">
        <f ca="1">IFERROR(SUMIFS('TRA balance'!P$5:P$40,'TRA balance'!$C$5:$C$40,Assumptions!$C96,'TRA balance'!$D$5:$D$40,Assumptions!$B96)*DJ96*S96,"")</f>
        <v>0</v>
      </c>
      <c r="BP96" s="40">
        <f ca="1">IFERROR(SUMIFS('TRA balance'!Q$5:Q$40,'TRA balance'!$C$5:$C$40,Assumptions!$C96,'TRA balance'!$D$5:$D$40,Assumptions!$B96)*DK96*T96,"")</f>
        <v>0</v>
      </c>
      <c r="BQ96" s="40">
        <f ca="1">IFERROR(SUMIFS('TRA balance'!R$5:R$40,'TRA balance'!$C$5:$C$40,Assumptions!$C96,'TRA balance'!$D$5:$D$40,Assumptions!$B96)*DL96*U96,"")</f>
        <v>0.423348282</v>
      </c>
      <c r="BR96" s="40">
        <f ca="1">IFERROR(SUMIFS('TRA balance'!S$5:S$40,'TRA balance'!$C$5:$C$40,Assumptions!$C96,'TRA balance'!$D$5:$D$40,Assumptions!$B96)*DM96*V96,"")</f>
        <v>0</v>
      </c>
      <c r="BS96" s="40">
        <f ca="1">IFERROR(SUMIFS('TRA balance'!T$5:T$40,'TRA balance'!$C$5:$C$40,Assumptions!$C96,'TRA balance'!$D$5:$D$40,Assumptions!$B96)*DN96*W96,"")</f>
        <v>0</v>
      </c>
      <c r="BT96" s="40">
        <f ca="1">IFERROR(SUMIFS('TRA balance'!U$5:U$40,'TRA balance'!$C$5:$C$40,Assumptions!$C96,'TRA balance'!$D$5:$D$40,Assumptions!$B96)*DO96*X96,"")</f>
        <v>0</v>
      </c>
      <c r="BU96" s="40">
        <f ca="1">IFERROR(SUMIFS('TRA balance'!V$5:V$40,'TRA balance'!$C$5:$C$40,Assumptions!$C96,'TRA balance'!$D$5:$D$40,Assumptions!$B96)*DP96*Y96,"")</f>
        <v>0</v>
      </c>
      <c r="BV96" s="40">
        <f ca="1">IFERROR(SUMIFS('TRA balance'!W$5:W$40,'TRA balance'!$C$5:$C$40,Assumptions!$C96,'TRA balance'!$D$5:$D$40,Assumptions!$B96)*DQ96*Z96,"")</f>
        <v>0</v>
      </c>
      <c r="BW96" s="40">
        <f ca="1">IFERROR(SUMIFS('TRA balance'!X$5:X$40,'TRA balance'!$C$5:$C$40,Assumptions!$C96,'TRA balance'!$D$5:$D$40,Assumptions!$B96)*DR96*AA96,"")</f>
        <v>1.4705548848</v>
      </c>
      <c r="BX96" s="40">
        <f ca="1">IFERROR(SUMIFS('TRA balance'!Y$5:Y$40,'TRA balance'!$C$5:$C$40,Assumptions!$C96,'TRA balance'!$D$5:$D$40,Assumptions!$B96)*DS96*AB96,"")</f>
        <v>0</v>
      </c>
      <c r="BY96" s="40">
        <f ca="1">IFERROR(SUMIFS('TRA balance'!Z$5:Z$40,'TRA balance'!$C$5:$C$40,Assumptions!$C96,'TRA balance'!$D$5:$D$40,Assumptions!$B96)*DT96*AC96,"")</f>
        <v>0</v>
      </c>
      <c r="BZ96" s="40">
        <f ca="1">IFERROR(SUMIFS('TRA balance'!AA$5:AA$40,'TRA balance'!$C$5:$C$40,Assumptions!$C96,'TRA balance'!$D$5:$D$40,Assumptions!$B96)*DU96*AD96,"")</f>
        <v>0</v>
      </c>
      <c r="CA96" s="40">
        <f ca="1">IFERROR(SUMIFS('TRA balance'!AB$5:AB$40,'TRA balance'!$C$5:$C$40,Assumptions!$C96,'TRA balance'!$D$5:$D$40,Assumptions!$B96)*DV96*AE96,"")</f>
        <v>0.1181054412</v>
      </c>
      <c r="CB96" s="40">
        <f ca="1">IFERROR(SUMIFS('TRA balance'!AC$5:AC$40,'TRA balance'!$C$5:$C$40,Assumptions!$C96,'TRA balance'!$D$5:$D$40,Assumptions!$B96)*DW96*AF96,"")</f>
        <v>0</v>
      </c>
      <c r="CC96" s="40">
        <f ca="1">IFERROR(SUMIFS('TRA balance'!AD$5:AD$40,'TRA balance'!$C$5:$C$40,Assumptions!$C96,'TRA balance'!$D$5:$D$40,Assumptions!$B96)*DX96*AG96,"")</f>
        <v>0.5507986608</v>
      </c>
      <c r="CD96" s="40">
        <f ca="1">IFERROR(SUMIFS('TRA balance'!AE$5:AE$40,'TRA balance'!$C$5:$C$40,Assumptions!$C96,'TRA balance'!$D$5:$D$40,Assumptions!$B96)*DY96*AH96,"")</f>
        <v>0</v>
      </c>
      <c r="CE96" s="40">
        <f ca="1">IFERROR(SUMIFS('TRA balance'!AF$5:AF$40,'TRA balance'!$C$5:$C$40,Assumptions!$C96,'TRA balance'!$D$5:$D$40,Assumptions!$B96)*DZ96*AI96,"")</f>
        <v>0.1933506108</v>
      </c>
      <c r="CF96" s="40">
        <f ca="1">IFERROR(SUMIFS('TRA balance'!AG$5:AG$40,'TRA balance'!$C$5:$C$40,Assumptions!$C96,'TRA balance'!$D$5:$D$40,Assumptions!$B96)*EA96*AJ96,"")</f>
        <v>0</v>
      </c>
      <c r="CG96" s="40">
        <f ca="1">IFERROR(SUMIFS('TRA balance'!AH$5:AH$40,'TRA balance'!$C$5:$C$40,Assumptions!$C96,'TRA balance'!$D$5:$D$40,Assumptions!$B96)*EB96*AK96,"")</f>
        <v>0</v>
      </c>
      <c r="CH96" s="40">
        <f ca="1">IFERROR(SUMIFS('TRA balance'!AI$5:AI$40,'TRA balance'!$C$5:$C$40,Assumptions!$C96,'TRA balance'!$D$5:$D$40,Assumptions!$B96)*EC96*AL96,"")</f>
        <v>0</v>
      </c>
      <c r="CI96" s="40">
        <f ca="1">IFERROR(SUMIFS('TRA balance'!AJ$5:AJ$40,'TRA balance'!$C$5:$C$40,Assumptions!$C96,'TRA balance'!$D$5:$D$40,Assumptions!$B96)*ED96*AM96,"")</f>
        <v>0</v>
      </c>
      <c r="CJ96" s="40">
        <f ca="1">IFERROR(SUMIFS('TRA balance'!AK$5:AK$40,'TRA balance'!$C$5:$C$40,Assumptions!$C96,'TRA balance'!$D$5:$D$40,Assumptions!$B96)*EE96*AN96,"")</f>
        <v>0</v>
      </c>
      <c r="CK96" s="40">
        <f ca="1">IFERROR(SUMIFS('TRA balance'!AL$5:AL$40,'TRA balance'!$C$5:$C$40,Assumptions!$C96,'TRA balance'!$D$5:$D$40,Assumptions!$B96)*EF96*AO96,"")</f>
        <v>0</v>
      </c>
      <c r="CL96" s="40">
        <f ca="1">IFERROR(SUMIFS('TRA balance'!AM$5:AM$40,'TRA balance'!$C$5:$C$40,Assumptions!$C96,'TRA balance'!$D$5:$D$40,Assumptions!$B96)*EG96*AP96,"")</f>
        <v>0.0131381784</v>
      </c>
      <c r="CM96" s="40">
        <f ca="1">IFERROR(SUMIFS('TRA balance'!AN$5:AN$40,'TRA balance'!$C$5:$C$40,Assumptions!$C96,'TRA balance'!$D$5:$D$40,Assumptions!$B96)*EH96*AQ96,"")</f>
        <v>0</v>
      </c>
      <c r="CN96" s="40">
        <f ca="1">IFERROR(SUMIFS('TRA balance'!AO$5:AO$40,'TRA balance'!$C$5:$C$40,Assumptions!$C96,'TRA balance'!$D$5:$D$40,Assumptions!$B96)*EI96*AR96,"")</f>
        <v>0</v>
      </c>
      <c r="CO96" s="40">
        <f ca="1">IFERROR(SUMIFS('TRA balance'!AP$5:AP$40,'TRA balance'!$C$5:$C$40,Assumptions!$C96,'TRA balance'!$D$5:$D$40,Assumptions!$B96)*EJ96*AS96,"")</f>
        <v>0</v>
      </c>
      <c r="CP96" s="40">
        <f ca="1">IFERROR(SUMIFS('TRA balance'!AQ$5:AQ$40,'TRA balance'!$C$5:$C$40,Assumptions!$C96,'TRA balance'!$D$5:$D$40,Assumptions!$B96)*EK96*AT96,"")</f>
        <v>0</v>
      </c>
      <c r="CQ96" s="40">
        <f ca="1">IFERROR(SUMIFS('TRA balance'!AR$5:AR$40,'TRA balance'!$C$5:$C$40,Assumptions!$C96,'TRA balance'!$D$5:$D$40,Assumptions!$B96)*EL96*AU96,"")</f>
        <v>0</v>
      </c>
      <c r="CR96" s="40">
        <f ca="1">IFERROR(SUMIFS('TRA balance'!AS$5:AS$40,'TRA balance'!$C$5:$C$40,Assumptions!$C96,'TRA balance'!$D$5:$D$40,Assumptions!$B96)*EM96*AV96,"")</f>
        <v>0</v>
      </c>
      <c r="CS96" s="40">
        <f ca="1">IFERROR(SUMIFS('TRA balance'!AT$5:AT$40,'TRA balance'!$C$5:$C$40,Assumptions!$C96,'TRA balance'!$D$5:$D$40,Assumptions!$B96)*EN96*AW96,"")</f>
        <v>0</v>
      </c>
      <c r="CT96" s="40">
        <f ca="1">IFERROR(SUMIFS('TRA balance'!AU$5:AU$40,'TRA balance'!$C$5:$C$40,Assumptions!$C96,'TRA balance'!$D$5:$D$40,Assumptions!$B96)*EO96*AX96,"")</f>
        <v>0</v>
      </c>
      <c r="CU96" s="40">
        <f ca="1">IFERROR(SUMIFS('TRA balance'!AV$5:AV$40,'TRA balance'!$C$5:$C$40,Assumptions!$C96,'TRA balance'!$D$5:$D$40,Assumptions!$B96)*EP96*AY96,"")</f>
        <v>0</v>
      </c>
      <c r="CV96" s="40">
        <f ca="1">IFERROR(SUMIFS('TRA balance'!AW$5:AW$40,'TRA balance'!$C$5:$C$40,Assumptions!$C96,'TRA balance'!$D$5:$D$40,Assumptions!$B96)*EQ96*AZ96,"")</f>
        <v>0</v>
      </c>
      <c r="CW96" s="40">
        <f ca="1">IFERROR(SUMIFS('TRA balance'!AX$5:AX$40,'TRA balance'!$C$5:$C$40,Assumptions!$C96,'TRA balance'!$D$5:$D$40,Assumptions!$B96)*ER96*BA96,"")</f>
        <v>0</v>
      </c>
      <c r="CY96" s="39">
        <f ca="1" t="shared" si="86"/>
        <v>1</v>
      </c>
      <c r="CZ96" s="39">
        <f ca="1" t="shared" si="87"/>
        <v>1</v>
      </c>
      <c r="DA96" s="39">
        <f ca="1" t="shared" si="88"/>
        <v>0</v>
      </c>
      <c r="DB96" s="39">
        <f ca="1" t="shared" si="89"/>
        <v>0</v>
      </c>
      <c r="DC96" s="39">
        <f ca="1" t="shared" si="90"/>
        <v>1</v>
      </c>
      <c r="DD96" s="39">
        <f ca="1" t="shared" si="91"/>
        <v>0</v>
      </c>
      <c r="DE96" s="39">
        <f ca="1" t="shared" si="92"/>
        <v>0.5</v>
      </c>
      <c r="DF96" s="39">
        <f ca="1" t="shared" si="93"/>
        <v>0.2</v>
      </c>
      <c r="DG96" s="39">
        <f ca="1" t="shared" si="94"/>
        <v>1</v>
      </c>
      <c r="DH96" s="39">
        <f ca="1" t="shared" si="95"/>
        <v>1</v>
      </c>
      <c r="DI96" s="39">
        <f ca="1" t="shared" si="96"/>
        <v>0</v>
      </c>
      <c r="DJ96" s="39">
        <f ca="1" t="shared" si="97"/>
        <v>0</v>
      </c>
      <c r="DK96" s="39">
        <f ca="1" t="shared" si="98"/>
        <v>0</v>
      </c>
      <c r="DL96" s="39">
        <f ca="1" t="shared" si="99"/>
        <v>1</v>
      </c>
      <c r="DM96" s="39">
        <f ca="1" t="shared" si="100"/>
        <v>0</v>
      </c>
      <c r="DN96" s="39">
        <f ca="1" t="shared" si="101"/>
        <v>1</v>
      </c>
      <c r="DO96" s="39">
        <f ca="1" t="shared" si="102"/>
        <v>0</v>
      </c>
      <c r="DP96" s="39">
        <f ca="1" t="shared" si="103"/>
        <v>0</v>
      </c>
      <c r="DQ96" s="39">
        <f ca="1" t="shared" si="104"/>
        <v>0</v>
      </c>
      <c r="DR96" s="39">
        <f ca="1" t="shared" si="105"/>
        <v>0.5</v>
      </c>
      <c r="DS96" s="39">
        <f ca="1" t="shared" si="106"/>
        <v>1</v>
      </c>
      <c r="DT96" s="39">
        <f ca="1" t="shared" si="107"/>
        <v>0</v>
      </c>
      <c r="DU96" s="39">
        <f ca="1" t="shared" si="108"/>
        <v>0</v>
      </c>
      <c r="DV96" s="39">
        <f ca="1" t="shared" si="109"/>
        <v>1</v>
      </c>
      <c r="DW96" s="39">
        <f ca="1" t="shared" si="110"/>
        <v>0</v>
      </c>
      <c r="DX96" s="39">
        <f ca="1" t="shared" si="111"/>
        <v>1</v>
      </c>
      <c r="DY96" s="39">
        <f ca="1" t="shared" si="112"/>
        <v>1</v>
      </c>
      <c r="DZ96" s="39">
        <f ca="1" t="shared" si="113"/>
        <v>1</v>
      </c>
      <c r="EA96" s="39">
        <f ca="1" t="shared" si="114"/>
        <v>0</v>
      </c>
      <c r="EB96" s="39">
        <f ca="1" t="shared" si="115"/>
        <v>0</v>
      </c>
      <c r="EC96" s="39">
        <f ca="1" t="shared" si="116"/>
        <v>0</v>
      </c>
      <c r="ED96" s="39">
        <f ca="1" t="shared" si="117"/>
        <v>1</v>
      </c>
      <c r="EE96" s="39">
        <f ca="1" t="shared" si="118"/>
        <v>0</v>
      </c>
      <c r="EF96" s="39">
        <f ca="1" t="shared" si="119"/>
        <v>1</v>
      </c>
      <c r="EG96" s="39">
        <f ca="1" t="shared" si="120"/>
        <v>1</v>
      </c>
      <c r="EH96" s="39">
        <f ca="1" t="shared" si="121"/>
        <v>0</v>
      </c>
      <c r="EI96" s="39">
        <f ca="1" t="shared" si="122"/>
        <v>0</v>
      </c>
      <c r="EJ96" s="39">
        <f ca="1" t="shared" si="123"/>
        <v>0</v>
      </c>
      <c r="EK96" s="39">
        <f ca="1" t="shared" si="124"/>
        <v>0</v>
      </c>
      <c r="EL96" s="39">
        <f ca="1" t="shared" si="125"/>
        <v>0</v>
      </c>
      <c r="EM96" s="39">
        <f ca="1" t="shared" si="126"/>
        <v>0</v>
      </c>
      <c r="EN96" s="39">
        <f ca="1" t="shared" si="127"/>
        <v>0</v>
      </c>
      <c r="EO96" s="39">
        <f ca="1" t="shared" si="128"/>
        <v>0</v>
      </c>
      <c r="EP96" s="39">
        <f ca="1" t="shared" si="129"/>
        <v>0</v>
      </c>
      <c r="EQ96" s="39">
        <f ca="1" t="shared" si="130"/>
        <v>0</v>
      </c>
      <c r="ER96" s="39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4" t="str">
        <f t="shared" si="133"/>
        <v>TR</v>
      </c>
      <c r="D97" s="55" t="s">
        <v>200</v>
      </c>
      <c r="E97" s="66" t="s">
        <v>214</v>
      </c>
      <c r="F97" s="56" t="str">
        <f t="shared" ref="F97:F103" si="146">F96</f>
        <v>Electricity</v>
      </c>
      <c r="G97" s="54" t="s">
        <v>215</v>
      </c>
      <c r="H97" s="57">
        <f ca="1">OFFSET(TIAM15_assumptions!$G97,0,MATCH(VLOOKUP(Assumptions!H$2,TIAM15_assumptions!$Y$3:$Z$87,2,FALSE),TIAM15_assumptions!$H$2:$V$2,0))</f>
        <v>0</v>
      </c>
      <c r="I97" s="57">
        <f ca="1">OFFSET(TIAM15_assumptions!$G97,0,MATCH(VLOOKUP(Assumptions!I$2,TIAM15_assumptions!$Y$3:$Z$87,2,FALSE),TIAM15_assumptions!$H$2:$V$2,0))</f>
        <v>0</v>
      </c>
      <c r="J97" s="57">
        <f ca="1">OFFSET(TIAM15_assumptions!$G97,0,MATCH(VLOOKUP(Assumptions!J$2,TIAM15_assumptions!$Y$3:$Z$87,2,FALSE),TIAM15_assumptions!$H$2:$V$2,0))</f>
        <v>0</v>
      </c>
      <c r="K97" s="57">
        <f ca="1">OFFSET(TIAM15_assumptions!$G97,0,MATCH(VLOOKUP(Assumptions!K$2,TIAM15_assumptions!$Y$3:$Z$87,2,FALSE),TIAM15_assumptions!$H$2:$V$2,0))</f>
        <v>0</v>
      </c>
      <c r="L97" s="57">
        <f ca="1">OFFSET(TIAM15_assumptions!$G97,0,MATCH(VLOOKUP(Assumptions!L$2,TIAM15_assumptions!$Y$3:$Z$87,2,FALSE),TIAM15_assumptions!$H$2:$V$2,0))</f>
        <v>0</v>
      </c>
      <c r="M97" s="57">
        <f ca="1">OFFSET(TIAM15_assumptions!$G97,0,MATCH(VLOOKUP(Assumptions!M$2,TIAM15_assumptions!$Y$3:$Z$87,2,FALSE),TIAM15_assumptions!$H$2:$V$2,0))</f>
        <v>0</v>
      </c>
      <c r="N97" s="57">
        <f ca="1">OFFSET(TIAM15_assumptions!$G97,0,MATCH(VLOOKUP(Assumptions!N$2,TIAM15_assumptions!$Y$3:$Z$87,2,FALSE),TIAM15_assumptions!$H$2:$V$2,0))</f>
        <v>0</v>
      </c>
      <c r="O97" s="57">
        <f ca="1">OFFSET(TIAM15_assumptions!$G97,0,MATCH(VLOOKUP(Assumptions!O$2,TIAM15_assumptions!$Y$3:$Z$87,2,FALSE),TIAM15_assumptions!$H$2:$V$2,0))</f>
        <v>0</v>
      </c>
      <c r="P97" s="57">
        <f ca="1">OFFSET(TIAM15_assumptions!$G97,0,MATCH(VLOOKUP(Assumptions!P$2,TIAM15_assumptions!$Y$3:$Z$87,2,FALSE),TIAM15_assumptions!$H$2:$V$2,0))</f>
        <v>0</v>
      </c>
      <c r="Q97" s="57">
        <f ca="1">OFFSET(TIAM15_assumptions!$G97,0,MATCH(VLOOKUP(Assumptions!Q$2,TIAM15_assumptions!$Y$3:$Z$87,2,FALSE),TIAM15_assumptions!$H$2:$V$2,0))</f>
        <v>0</v>
      </c>
      <c r="R97" s="57">
        <f ca="1">OFFSET(TIAM15_assumptions!$G97,0,MATCH(VLOOKUP(Assumptions!R$2,TIAM15_assumptions!$Y$3:$Z$87,2,FALSE),TIAM15_assumptions!$H$2:$V$2,0))</f>
        <v>0</v>
      </c>
      <c r="S97" s="57">
        <f ca="1">OFFSET(TIAM15_assumptions!$G97,0,MATCH(VLOOKUP(Assumptions!S$2,TIAM15_assumptions!$Y$3:$Z$87,2,FALSE),TIAM15_assumptions!$H$2:$V$2,0))</f>
        <v>0</v>
      </c>
      <c r="T97" s="57">
        <f ca="1">OFFSET(TIAM15_assumptions!$G97,0,MATCH(VLOOKUP(Assumptions!T$2,TIAM15_assumptions!$Y$3:$Z$87,2,FALSE),TIAM15_assumptions!$H$2:$V$2,0))</f>
        <v>0</v>
      </c>
      <c r="U97" s="57">
        <f ca="1">OFFSET(TIAM15_assumptions!$G97,0,MATCH(VLOOKUP(Assumptions!U$2,TIAM15_assumptions!$Y$3:$Z$87,2,FALSE),TIAM15_assumptions!$H$2:$V$2,0))</f>
        <v>0</v>
      </c>
      <c r="V97" s="57">
        <f ca="1">OFFSET(TIAM15_assumptions!$G97,0,MATCH(VLOOKUP(Assumptions!V$2,TIAM15_assumptions!$Y$3:$Z$87,2,FALSE),TIAM15_assumptions!$H$2:$V$2,0))</f>
        <v>0</v>
      </c>
      <c r="W97" s="57">
        <f ca="1">OFFSET(TIAM15_assumptions!$G97,0,MATCH(VLOOKUP(Assumptions!W$2,TIAM15_assumptions!$Y$3:$Z$87,2,FALSE),TIAM15_assumptions!$H$2:$V$2,0))</f>
        <v>0</v>
      </c>
      <c r="X97" s="57">
        <f ca="1">OFFSET(TIAM15_assumptions!$G97,0,MATCH(VLOOKUP(Assumptions!X$2,TIAM15_assumptions!$Y$3:$Z$87,2,FALSE),TIAM15_assumptions!$H$2:$V$2,0))</f>
        <v>0</v>
      </c>
      <c r="Y97" s="57">
        <f ca="1">OFFSET(TIAM15_assumptions!$G97,0,MATCH(VLOOKUP(Assumptions!Y$2,TIAM15_assumptions!$Y$3:$Z$87,2,FALSE),TIAM15_assumptions!$H$2:$V$2,0))</f>
        <v>0</v>
      </c>
      <c r="Z97" s="57">
        <f ca="1">OFFSET(TIAM15_assumptions!$G97,0,MATCH(VLOOKUP(Assumptions!Z$2,TIAM15_assumptions!$Y$3:$Z$87,2,FALSE),TIAM15_assumptions!$H$2:$V$2,0))</f>
        <v>0</v>
      </c>
      <c r="AA97" s="57">
        <f ca="1">OFFSET(TIAM15_assumptions!$G97,0,MATCH(VLOOKUP(Assumptions!AA$2,TIAM15_assumptions!$Y$3:$Z$87,2,FALSE),TIAM15_assumptions!$H$2:$V$2,0))</f>
        <v>0</v>
      </c>
      <c r="AB97" s="57">
        <f ca="1">OFFSET(TIAM15_assumptions!$G97,0,MATCH(VLOOKUP(Assumptions!AB$2,TIAM15_assumptions!$Y$3:$Z$87,2,FALSE),TIAM15_assumptions!$H$2:$V$2,0))</f>
        <v>0</v>
      </c>
      <c r="AC97" s="57">
        <f ca="1">OFFSET(TIAM15_assumptions!$G97,0,MATCH(VLOOKUP(Assumptions!AC$2,TIAM15_assumptions!$Y$3:$Z$87,2,FALSE),TIAM15_assumptions!$H$2:$V$2,0))</f>
        <v>0</v>
      </c>
      <c r="AD97" s="57">
        <f ca="1">OFFSET(TIAM15_assumptions!$G97,0,MATCH(VLOOKUP(Assumptions!AD$2,TIAM15_assumptions!$Y$3:$Z$87,2,FALSE),TIAM15_assumptions!$H$2:$V$2,0))</f>
        <v>0</v>
      </c>
      <c r="AE97" s="57">
        <f ca="1">OFFSET(TIAM15_assumptions!$G97,0,MATCH(VLOOKUP(Assumptions!AE$2,TIAM15_assumptions!$Y$3:$Z$87,2,FALSE),TIAM15_assumptions!$H$2:$V$2,0))</f>
        <v>0</v>
      </c>
      <c r="AF97" s="57">
        <f ca="1">OFFSET(TIAM15_assumptions!$G97,0,MATCH(VLOOKUP(Assumptions!AF$2,TIAM15_assumptions!$Y$3:$Z$87,2,FALSE),TIAM15_assumptions!$H$2:$V$2,0))</f>
        <v>0</v>
      </c>
      <c r="AG97" s="57">
        <f ca="1">OFFSET(TIAM15_assumptions!$G97,0,MATCH(VLOOKUP(Assumptions!AG$2,TIAM15_assumptions!$Y$3:$Z$87,2,FALSE),TIAM15_assumptions!$H$2:$V$2,0))</f>
        <v>0</v>
      </c>
      <c r="AH97" s="57">
        <f ca="1">OFFSET(TIAM15_assumptions!$G97,0,MATCH(VLOOKUP(Assumptions!AH$2,TIAM15_assumptions!$Y$3:$Z$87,2,FALSE),TIAM15_assumptions!$H$2:$V$2,0))</f>
        <v>0</v>
      </c>
      <c r="AI97" s="57">
        <f ca="1">OFFSET(TIAM15_assumptions!$G97,0,MATCH(VLOOKUP(Assumptions!AI$2,TIAM15_assumptions!$Y$3:$Z$87,2,FALSE),TIAM15_assumptions!$H$2:$V$2,0))</f>
        <v>0</v>
      </c>
      <c r="AJ97" s="57">
        <f ca="1">OFFSET(TIAM15_assumptions!$G97,0,MATCH(VLOOKUP(Assumptions!AJ$2,TIAM15_assumptions!$Y$3:$Z$87,2,FALSE),TIAM15_assumptions!$H$2:$V$2,0))</f>
        <v>0</v>
      </c>
      <c r="AK97" s="57">
        <f ca="1">OFFSET(TIAM15_assumptions!$G97,0,MATCH(VLOOKUP(Assumptions!AK$2,TIAM15_assumptions!$Y$3:$Z$87,2,FALSE),TIAM15_assumptions!$H$2:$V$2,0))</f>
        <v>0</v>
      </c>
      <c r="AL97" s="57">
        <f ca="1">OFFSET(TIAM15_assumptions!$G97,0,MATCH(VLOOKUP(Assumptions!AL$2,TIAM15_assumptions!$Y$3:$Z$87,2,FALSE),TIAM15_assumptions!$H$2:$V$2,0))</f>
        <v>0</v>
      </c>
      <c r="AM97" s="57">
        <f ca="1">OFFSET(TIAM15_assumptions!$G97,0,MATCH(VLOOKUP(Assumptions!AM$2,TIAM15_assumptions!$Y$3:$Z$87,2,FALSE),TIAM15_assumptions!$H$2:$V$2,0))</f>
        <v>0</v>
      </c>
      <c r="AN97" s="57">
        <f ca="1">OFFSET(TIAM15_assumptions!$G97,0,MATCH(VLOOKUP(Assumptions!AN$2,TIAM15_assumptions!$Y$3:$Z$87,2,FALSE),TIAM15_assumptions!$H$2:$V$2,0))</f>
        <v>0</v>
      </c>
      <c r="AO97" s="57">
        <f ca="1">OFFSET(TIAM15_assumptions!$G97,0,MATCH(VLOOKUP(Assumptions!AO$2,TIAM15_assumptions!$Y$3:$Z$87,2,FALSE),TIAM15_assumptions!$H$2:$V$2,0))</f>
        <v>0</v>
      </c>
      <c r="AP97" s="57">
        <f ca="1">OFFSET(TIAM15_assumptions!$G97,0,MATCH(VLOOKUP(Assumptions!AP$2,TIAM15_assumptions!$Y$3:$Z$87,2,FALSE),TIAM15_assumptions!$H$2:$V$2,0))</f>
        <v>0</v>
      </c>
      <c r="AQ97" s="57">
        <f ca="1">OFFSET(TIAM15_assumptions!$G97,0,MATCH(VLOOKUP(Assumptions!AQ$2,TIAM15_assumptions!$Y$3:$Z$87,2,FALSE),TIAM15_assumptions!$H$2:$V$2,0))</f>
        <v>0</v>
      </c>
      <c r="AR97" s="57">
        <f ca="1">OFFSET(TIAM15_assumptions!$G97,0,MATCH(VLOOKUP(Assumptions!AR$2,TIAM15_assumptions!$Y$3:$Z$87,2,FALSE),TIAM15_assumptions!$H$2:$V$2,0))</f>
        <v>0</v>
      </c>
      <c r="AS97" s="57">
        <f ca="1">OFFSET(TIAM15_assumptions!$G97,0,MATCH(VLOOKUP(Assumptions!AS$2,TIAM15_assumptions!$Y$3:$Z$87,2,FALSE),TIAM15_assumptions!$H$2:$V$2,0))</f>
        <v>0</v>
      </c>
      <c r="AT97" s="57">
        <f ca="1">OFFSET(TIAM15_assumptions!$G97,0,MATCH(VLOOKUP(Assumptions!AT$2,TIAM15_assumptions!$Y$3:$Z$87,2,FALSE),TIAM15_assumptions!$H$2:$V$2,0))</f>
        <v>0</v>
      </c>
      <c r="AU97" s="57">
        <f ca="1">OFFSET(TIAM15_assumptions!$G97,0,MATCH(VLOOKUP(Assumptions!AU$2,TIAM15_assumptions!$Y$3:$Z$87,2,FALSE),TIAM15_assumptions!$H$2:$V$2,0))</f>
        <v>0</v>
      </c>
      <c r="AV97" s="57">
        <f ca="1">OFFSET(TIAM15_assumptions!$G97,0,MATCH(VLOOKUP(Assumptions!AV$2,TIAM15_assumptions!$Y$3:$Z$87,2,FALSE),TIAM15_assumptions!$H$2:$V$2,0))</f>
        <v>0</v>
      </c>
      <c r="AW97" s="57">
        <f ca="1">OFFSET(TIAM15_assumptions!$G97,0,MATCH(VLOOKUP(Assumptions!AW$2,TIAM15_assumptions!$Y$3:$Z$87,2,FALSE),TIAM15_assumptions!$H$2:$V$2,0))</f>
        <v>0</v>
      </c>
      <c r="AX97" s="57">
        <f ca="1">OFFSET(TIAM15_assumptions!$G97,0,MATCH(VLOOKUP(Assumptions!AX$2,TIAM15_assumptions!$Y$3:$Z$87,2,FALSE),TIAM15_assumptions!$H$2:$V$2,0))</f>
        <v>0</v>
      </c>
      <c r="AY97" s="57">
        <f ca="1">OFFSET(TIAM15_assumptions!$G97,0,MATCH(VLOOKUP(Assumptions!AY$2,TIAM15_assumptions!$Y$3:$Z$87,2,FALSE),TIAM15_assumptions!$H$2:$V$2,0))</f>
        <v>0</v>
      </c>
      <c r="AZ97" s="57">
        <f ca="1">OFFSET(TIAM15_assumptions!$G97,0,MATCH(VLOOKUP(Assumptions!AZ$2,TIAM15_assumptions!$Y$3:$Z$87,2,FALSE),TIAM15_assumptions!$H$2:$V$2,0))</f>
        <v>0</v>
      </c>
      <c r="BA97" s="57">
        <f ca="1">OFFSET(TIAM15_assumptions!$G97,0,MATCH(VLOOKUP(Assumptions!BA$2,TIAM15_assumptions!$Y$3:$Z$87,2,FALSE),TIAM15_assumptions!$H$2:$V$2,0))</f>
        <v>0</v>
      </c>
      <c r="BD97" s="40">
        <f ca="1">IFERROR(SUMIFS('TRA balance'!E$5:E$40,'TRA balance'!$C$5:$C$40,Assumptions!$C97,'TRA balance'!$D$5:$D$40,Assumptions!$B97)*CY97*H97,"")</f>
        <v>0</v>
      </c>
      <c r="BE97" s="40">
        <f ca="1">IFERROR(SUMIFS('TRA balance'!F$5:F$40,'TRA balance'!$C$5:$C$40,Assumptions!$C97,'TRA balance'!$D$5:$D$40,Assumptions!$B97)*CZ97*I97,"")</f>
        <v>0</v>
      </c>
      <c r="BF97" s="40">
        <f ca="1">IFERROR(SUMIFS('TRA balance'!G$5:G$40,'TRA balance'!$C$5:$C$40,Assumptions!$C97,'TRA balance'!$D$5:$D$40,Assumptions!$B97)*DA97*J97,"")</f>
        <v>0</v>
      </c>
      <c r="BG97" s="40">
        <f ca="1">IFERROR(SUMIFS('TRA balance'!H$5:H$40,'TRA balance'!$C$5:$C$40,Assumptions!$C97,'TRA balance'!$D$5:$D$40,Assumptions!$B97)*DB97*K97,"")</f>
        <v>0</v>
      </c>
      <c r="BH97" s="40">
        <f ca="1">IFERROR(SUMIFS('TRA balance'!I$5:I$40,'TRA balance'!$C$5:$C$40,Assumptions!$C97,'TRA balance'!$D$5:$D$40,Assumptions!$B97)*DC97*L97,"")</f>
        <v>0</v>
      </c>
      <c r="BI97" s="40">
        <f ca="1">IFERROR(SUMIFS('TRA balance'!J$5:J$40,'TRA balance'!$C$5:$C$40,Assumptions!$C97,'TRA balance'!$D$5:$D$40,Assumptions!$B97)*DD97*M97,"")</f>
        <v>0</v>
      </c>
      <c r="BJ97" s="40">
        <f ca="1">IFERROR(SUMIFS('TRA balance'!K$5:K$40,'TRA balance'!$C$5:$C$40,Assumptions!$C97,'TRA balance'!$D$5:$D$40,Assumptions!$B97)*DE97*N97,"")</f>
        <v>0</v>
      </c>
      <c r="BK97" s="40">
        <f ca="1">IFERROR(SUMIFS('TRA balance'!L$5:L$40,'TRA balance'!$C$5:$C$40,Assumptions!$C97,'TRA balance'!$D$5:$D$40,Assumptions!$B97)*DF97*O97,"")</f>
        <v>0</v>
      </c>
      <c r="BL97" s="40">
        <f ca="1">IFERROR(SUMIFS('TRA balance'!M$5:M$40,'TRA balance'!$C$5:$C$40,Assumptions!$C97,'TRA balance'!$D$5:$D$40,Assumptions!$B97)*DG97*P97,"")</f>
        <v>0</v>
      </c>
      <c r="BM97" s="40">
        <f ca="1">IFERROR(SUMIFS('TRA balance'!N$5:N$40,'TRA balance'!$C$5:$C$40,Assumptions!$C97,'TRA balance'!$D$5:$D$40,Assumptions!$B97)*DH97*Q97,"")</f>
        <v>0</v>
      </c>
      <c r="BN97" s="40">
        <f ca="1">IFERROR(SUMIFS('TRA balance'!O$5:O$40,'TRA balance'!$C$5:$C$40,Assumptions!$C97,'TRA balance'!$D$5:$D$40,Assumptions!$B97)*DI97*R97,"")</f>
        <v>0</v>
      </c>
      <c r="BO97" s="40">
        <f ca="1">IFERROR(SUMIFS('TRA balance'!P$5:P$40,'TRA balance'!$C$5:$C$40,Assumptions!$C97,'TRA balance'!$D$5:$D$40,Assumptions!$B97)*DJ97*S97,"")</f>
        <v>0</v>
      </c>
      <c r="BP97" s="40">
        <f ca="1">IFERROR(SUMIFS('TRA balance'!Q$5:Q$40,'TRA balance'!$C$5:$C$40,Assumptions!$C97,'TRA balance'!$D$5:$D$40,Assumptions!$B97)*DK97*T97,"")</f>
        <v>0</v>
      </c>
      <c r="BQ97" s="40">
        <f ca="1">IFERROR(SUMIFS('TRA balance'!R$5:R$40,'TRA balance'!$C$5:$C$40,Assumptions!$C97,'TRA balance'!$D$5:$D$40,Assumptions!$B97)*DL97*U97,"")</f>
        <v>0</v>
      </c>
      <c r="BR97" s="40">
        <f ca="1">IFERROR(SUMIFS('TRA balance'!S$5:S$40,'TRA balance'!$C$5:$C$40,Assumptions!$C97,'TRA balance'!$D$5:$D$40,Assumptions!$B97)*DM97*V97,"")</f>
        <v>0</v>
      </c>
      <c r="BS97" s="40">
        <f ca="1">IFERROR(SUMIFS('TRA balance'!T$5:T$40,'TRA balance'!$C$5:$C$40,Assumptions!$C97,'TRA balance'!$D$5:$D$40,Assumptions!$B97)*DN97*W97,"")</f>
        <v>0</v>
      </c>
      <c r="BT97" s="40">
        <f ca="1">IFERROR(SUMIFS('TRA balance'!U$5:U$40,'TRA balance'!$C$5:$C$40,Assumptions!$C97,'TRA balance'!$D$5:$D$40,Assumptions!$B97)*DO97*X97,"")</f>
        <v>0</v>
      </c>
      <c r="BU97" s="40">
        <f ca="1">IFERROR(SUMIFS('TRA balance'!V$5:V$40,'TRA balance'!$C$5:$C$40,Assumptions!$C97,'TRA balance'!$D$5:$D$40,Assumptions!$B97)*DP97*Y97,"")</f>
        <v>0</v>
      </c>
      <c r="BV97" s="40">
        <f ca="1">IFERROR(SUMIFS('TRA balance'!W$5:W$40,'TRA balance'!$C$5:$C$40,Assumptions!$C97,'TRA balance'!$D$5:$D$40,Assumptions!$B97)*DQ97*Z97,"")</f>
        <v>0</v>
      </c>
      <c r="BW97" s="40">
        <f ca="1">IFERROR(SUMIFS('TRA balance'!X$5:X$40,'TRA balance'!$C$5:$C$40,Assumptions!$C97,'TRA balance'!$D$5:$D$40,Assumptions!$B97)*DR97*AA97,"")</f>
        <v>0</v>
      </c>
      <c r="BX97" s="40">
        <f ca="1">IFERROR(SUMIFS('TRA balance'!Y$5:Y$40,'TRA balance'!$C$5:$C$40,Assumptions!$C97,'TRA balance'!$D$5:$D$40,Assumptions!$B97)*DS97*AB97,"")</f>
        <v>0</v>
      </c>
      <c r="BY97" s="40">
        <f ca="1">IFERROR(SUMIFS('TRA balance'!Z$5:Z$40,'TRA balance'!$C$5:$C$40,Assumptions!$C97,'TRA balance'!$D$5:$D$40,Assumptions!$B97)*DT97*AC97,"")</f>
        <v>0</v>
      </c>
      <c r="BZ97" s="40">
        <f ca="1">IFERROR(SUMIFS('TRA balance'!AA$5:AA$40,'TRA balance'!$C$5:$C$40,Assumptions!$C97,'TRA balance'!$D$5:$D$40,Assumptions!$B97)*DU97*AD97,"")</f>
        <v>0</v>
      </c>
      <c r="CA97" s="40">
        <f ca="1">IFERROR(SUMIFS('TRA balance'!AB$5:AB$40,'TRA balance'!$C$5:$C$40,Assumptions!$C97,'TRA balance'!$D$5:$D$40,Assumptions!$B97)*DV97*AE97,"")</f>
        <v>0</v>
      </c>
      <c r="CB97" s="40">
        <f ca="1">IFERROR(SUMIFS('TRA balance'!AC$5:AC$40,'TRA balance'!$C$5:$C$40,Assumptions!$C97,'TRA balance'!$D$5:$D$40,Assumptions!$B97)*DW97*AF97,"")</f>
        <v>0</v>
      </c>
      <c r="CC97" s="40">
        <f ca="1">IFERROR(SUMIFS('TRA balance'!AD$5:AD$40,'TRA balance'!$C$5:$C$40,Assumptions!$C97,'TRA balance'!$D$5:$D$40,Assumptions!$B97)*DX97*AG97,"")</f>
        <v>0</v>
      </c>
      <c r="CD97" s="40">
        <f ca="1">IFERROR(SUMIFS('TRA balance'!AE$5:AE$40,'TRA balance'!$C$5:$C$40,Assumptions!$C97,'TRA balance'!$D$5:$D$40,Assumptions!$B97)*DY97*AH97,"")</f>
        <v>0</v>
      </c>
      <c r="CE97" s="40">
        <f ca="1">IFERROR(SUMIFS('TRA balance'!AF$5:AF$40,'TRA balance'!$C$5:$C$40,Assumptions!$C97,'TRA balance'!$D$5:$D$40,Assumptions!$B97)*DZ97*AI97,"")</f>
        <v>0</v>
      </c>
      <c r="CF97" s="40">
        <f ca="1">IFERROR(SUMIFS('TRA balance'!AG$5:AG$40,'TRA balance'!$C$5:$C$40,Assumptions!$C97,'TRA balance'!$D$5:$D$40,Assumptions!$B97)*EA97*AJ97,"")</f>
        <v>0</v>
      </c>
      <c r="CG97" s="40">
        <f ca="1">IFERROR(SUMIFS('TRA balance'!AH$5:AH$40,'TRA balance'!$C$5:$C$40,Assumptions!$C97,'TRA balance'!$D$5:$D$40,Assumptions!$B97)*EB97*AK97,"")</f>
        <v>0</v>
      </c>
      <c r="CH97" s="40">
        <f ca="1">IFERROR(SUMIFS('TRA balance'!AI$5:AI$40,'TRA balance'!$C$5:$C$40,Assumptions!$C97,'TRA balance'!$D$5:$D$40,Assumptions!$B97)*EC97*AL97,"")</f>
        <v>0</v>
      </c>
      <c r="CI97" s="40">
        <f ca="1">IFERROR(SUMIFS('TRA balance'!AJ$5:AJ$40,'TRA balance'!$C$5:$C$40,Assumptions!$C97,'TRA balance'!$D$5:$D$40,Assumptions!$B97)*ED97*AM97,"")</f>
        <v>0</v>
      </c>
      <c r="CJ97" s="40">
        <f ca="1">IFERROR(SUMIFS('TRA balance'!AK$5:AK$40,'TRA balance'!$C$5:$C$40,Assumptions!$C97,'TRA balance'!$D$5:$D$40,Assumptions!$B97)*EE97*AN97,"")</f>
        <v>0</v>
      </c>
      <c r="CK97" s="40">
        <f ca="1">IFERROR(SUMIFS('TRA balance'!AL$5:AL$40,'TRA balance'!$C$5:$C$40,Assumptions!$C97,'TRA balance'!$D$5:$D$40,Assumptions!$B97)*EF97*AO97,"")</f>
        <v>0</v>
      </c>
      <c r="CL97" s="40">
        <f ca="1">IFERROR(SUMIFS('TRA balance'!AM$5:AM$40,'TRA balance'!$C$5:$C$40,Assumptions!$C97,'TRA balance'!$D$5:$D$40,Assumptions!$B97)*EG97*AP97,"")</f>
        <v>0</v>
      </c>
      <c r="CM97" s="40">
        <f ca="1">IFERROR(SUMIFS('TRA balance'!AN$5:AN$40,'TRA balance'!$C$5:$C$40,Assumptions!$C97,'TRA balance'!$D$5:$D$40,Assumptions!$B97)*EH97*AQ97,"")</f>
        <v>0</v>
      </c>
      <c r="CN97" s="40">
        <f ca="1">IFERROR(SUMIFS('TRA balance'!AO$5:AO$40,'TRA balance'!$C$5:$C$40,Assumptions!$C97,'TRA balance'!$D$5:$D$40,Assumptions!$B97)*EI97*AR97,"")</f>
        <v>0</v>
      </c>
      <c r="CO97" s="40">
        <f ca="1">IFERROR(SUMIFS('TRA balance'!AP$5:AP$40,'TRA balance'!$C$5:$C$40,Assumptions!$C97,'TRA balance'!$D$5:$D$40,Assumptions!$B97)*EJ97*AS97,"")</f>
        <v>0</v>
      </c>
      <c r="CP97" s="40">
        <f ca="1">IFERROR(SUMIFS('TRA balance'!AQ$5:AQ$40,'TRA balance'!$C$5:$C$40,Assumptions!$C97,'TRA balance'!$D$5:$D$40,Assumptions!$B97)*EK97*AT97,"")</f>
        <v>0</v>
      </c>
      <c r="CQ97" s="40">
        <f ca="1">IFERROR(SUMIFS('TRA balance'!AR$5:AR$40,'TRA balance'!$C$5:$C$40,Assumptions!$C97,'TRA balance'!$D$5:$D$40,Assumptions!$B97)*EL97*AU97,"")</f>
        <v>0</v>
      </c>
      <c r="CR97" s="40">
        <f ca="1">IFERROR(SUMIFS('TRA balance'!AS$5:AS$40,'TRA balance'!$C$5:$C$40,Assumptions!$C97,'TRA balance'!$D$5:$D$40,Assumptions!$B97)*EM97*AV97,"")</f>
        <v>0</v>
      </c>
      <c r="CS97" s="40">
        <f ca="1">IFERROR(SUMIFS('TRA balance'!AT$5:AT$40,'TRA balance'!$C$5:$C$40,Assumptions!$C97,'TRA balance'!$D$5:$D$40,Assumptions!$B97)*EN97*AW97,"")</f>
        <v>0</v>
      </c>
      <c r="CT97" s="40">
        <f ca="1">IFERROR(SUMIFS('TRA balance'!AU$5:AU$40,'TRA balance'!$C$5:$C$40,Assumptions!$C97,'TRA balance'!$D$5:$D$40,Assumptions!$B97)*EO97*AX97,"")</f>
        <v>0</v>
      </c>
      <c r="CU97" s="40">
        <f ca="1">IFERROR(SUMIFS('TRA balance'!AV$5:AV$40,'TRA balance'!$C$5:$C$40,Assumptions!$C97,'TRA balance'!$D$5:$D$40,Assumptions!$B97)*EP97*AY97,"")</f>
        <v>0</v>
      </c>
      <c r="CV97" s="40">
        <f ca="1">IFERROR(SUMIFS('TRA balance'!AW$5:AW$40,'TRA balance'!$C$5:$C$40,Assumptions!$C97,'TRA balance'!$D$5:$D$40,Assumptions!$B97)*EQ97*AZ97,"")</f>
        <v>0</v>
      </c>
      <c r="CW97" s="40">
        <f ca="1">IFERROR(SUMIFS('TRA balance'!AX$5:AX$40,'TRA balance'!$C$5:$C$40,Assumptions!$C97,'TRA balance'!$D$5:$D$40,Assumptions!$B97)*ER97*BA97,"")</f>
        <v>0</v>
      </c>
      <c r="CY97" s="39">
        <f ca="1" t="shared" si="86"/>
        <v>1</v>
      </c>
      <c r="CZ97" s="39">
        <f ca="1" t="shared" si="87"/>
        <v>1</v>
      </c>
      <c r="DA97" s="39">
        <f ca="1" t="shared" si="88"/>
        <v>0</v>
      </c>
      <c r="DB97" s="39">
        <f ca="1" t="shared" si="89"/>
        <v>0</v>
      </c>
      <c r="DC97" s="39">
        <f ca="1" t="shared" si="90"/>
        <v>1</v>
      </c>
      <c r="DD97" s="39">
        <f ca="1" t="shared" si="91"/>
        <v>0</v>
      </c>
      <c r="DE97" s="39">
        <f ca="1" t="shared" si="92"/>
        <v>0.5</v>
      </c>
      <c r="DF97" s="39">
        <f ca="1" t="shared" si="93"/>
        <v>0.2</v>
      </c>
      <c r="DG97" s="39">
        <f ca="1" t="shared" si="94"/>
        <v>1</v>
      </c>
      <c r="DH97" s="39">
        <f ca="1" t="shared" si="95"/>
        <v>1</v>
      </c>
      <c r="DI97" s="39">
        <f ca="1" t="shared" si="96"/>
        <v>0</v>
      </c>
      <c r="DJ97" s="39">
        <f ca="1" t="shared" si="97"/>
        <v>0</v>
      </c>
      <c r="DK97" s="39">
        <f ca="1" t="shared" si="98"/>
        <v>0</v>
      </c>
      <c r="DL97" s="39">
        <f ca="1" t="shared" si="99"/>
        <v>1</v>
      </c>
      <c r="DM97" s="39">
        <f ca="1" t="shared" si="100"/>
        <v>0</v>
      </c>
      <c r="DN97" s="39">
        <f ca="1" t="shared" si="101"/>
        <v>1</v>
      </c>
      <c r="DO97" s="39">
        <f ca="1" t="shared" si="102"/>
        <v>0</v>
      </c>
      <c r="DP97" s="39">
        <f ca="1" t="shared" si="103"/>
        <v>0</v>
      </c>
      <c r="DQ97" s="39">
        <f ca="1" t="shared" si="104"/>
        <v>0</v>
      </c>
      <c r="DR97" s="39">
        <f ca="1" t="shared" si="105"/>
        <v>0.5</v>
      </c>
      <c r="DS97" s="39">
        <f ca="1" t="shared" si="106"/>
        <v>1</v>
      </c>
      <c r="DT97" s="39">
        <f ca="1" t="shared" si="107"/>
        <v>0</v>
      </c>
      <c r="DU97" s="39">
        <f ca="1" t="shared" si="108"/>
        <v>0</v>
      </c>
      <c r="DV97" s="39">
        <f ca="1" t="shared" si="109"/>
        <v>1</v>
      </c>
      <c r="DW97" s="39">
        <f ca="1" t="shared" si="110"/>
        <v>0</v>
      </c>
      <c r="DX97" s="39">
        <f ca="1" t="shared" si="111"/>
        <v>1</v>
      </c>
      <c r="DY97" s="39">
        <f ca="1" t="shared" si="112"/>
        <v>1</v>
      </c>
      <c r="DZ97" s="39">
        <f ca="1" t="shared" si="113"/>
        <v>1</v>
      </c>
      <c r="EA97" s="39">
        <f ca="1" t="shared" si="114"/>
        <v>0</v>
      </c>
      <c r="EB97" s="39">
        <f ca="1" t="shared" si="115"/>
        <v>0</v>
      </c>
      <c r="EC97" s="39">
        <f ca="1" t="shared" si="116"/>
        <v>0</v>
      </c>
      <c r="ED97" s="39">
        <f ca="1" t="shared" si="117"/>
        <v>1</v>
      </c>
      <c r="EE97" s="39">
        <f ca="1" t="shared" si="118"/>
        <v>0</v>
      </c>
      <c r="EF97" s="39">
        <f ca="1" t="shared" si="119"/>
        <v>1</v>
      </c>
      <c r="EG97" s="39">
        <f ca="1" t="shared" si="120"/>
        <v>1</v>
      </c>
      <c r="EH97" s="39">
        <f ca="1" t="shared" si="121"/>
        <v>0</v>
      </c>
      <c r="EI97" s="39">
        <f ca="1" t="shared" si="122"/>
        <v>0</v>
      </c>
      <c r="EJ97" s="39">
        <f ca="1" t="shared" si="123"/>
        <v>0</v>
      </c>
      <c r="EK97" s="39">
        <f ca="1" t="shared" si="124"/>
        <v>0</v>
      </c>
      <c r="EL97" s="39">
        <f ca="1" t="shared" si="125"/>
        <v>0</v>
      </c>
      <c r="EM97" s="39">
        <f ca="1" t="shared" si="126"/>
        <v>0</v>
      </c>
      <c r="EN97" s="39">
        <f ca="1" t="shared" si="127"/>
        <v>0</v>
      </c>
      <c r="EO97" s="39">
        <f ca="1" t="shared" si="128"/>
        <v>0</v>
      </c>
      <c r="EP97" s="39">
        <f ca="1" t="shared" si="129"/>
        <v>0</v>
      </c>
      <c r="EQ97" s="39">
        <f ca="1" t="shared" si="130"/>
        <v>0</v>
      </c>
      <c r="ER97" s="39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4" t="str">
        <f t="shared" si="133"/>
        <v>TR</v>
      </c>
      <c r="D98" s="55" t="s">
        <v>200</v>
      </c>
      <c r="E98" s="66" t="s">
        <v>216</v>
      </c>
      <c r="F98" s="56" t="str">
        <f t="shared" si="146"/>
        <v>Electricity</v>
      </c>
      <c r="G98" s="54" t="s">
        <v>217</v>
      </c>
      <c r="H98" s="57">
        <f ca="1">OFFSET(TIAM15_assumptions!$G98,0,MATCH(VLOOKUP(Assumptions!H$2,TIAM15_assumptions!$Y$3:$Z$87,2,FALSE),TIAM15_assumptions!$H$2:$V$2,0))</f>
        <v>0</v>
      </c>
      <c r="I98" s="57">
        <f ca="1">OFFSET(TIAM15_assumptions!$G98,0,MATCH(VLOOKUP(Assumptions!I$2,TIAM15_assumptions!$Y$3:$Z$87,2,FALSE),TIAM15_assumptions!$H$2:$V$2,0))</f>
        <v>0</v>
      </c>
      <c r="J98" s="57">
        <f ca="1">OFFSET(TIAM15_assumptions!$G98,0,MATCH(VLOOKUP(Assumptions!J$2,TIAM15_assumptions!$Y$3:$Z$87,2,FALSE),TIAM15_assumptions!$H$2:$V$2,0))</f>
        <v>0</v>
      </c>
      <c r="K98" s="57">
        <f ca="1">OFFSET(TIAM15_assumptions!$G98,0,MATCH(VLOOKUP(Assumptions!K$2,TIAM15_assumptions!$Y$3:$Z$87,2,FALSE),TIAM15_assumptions!$H$2:$V$2,0))</f>
        <v>0</v>
      </c>
      <c r="L98" s="57">
        <f ca="1">OFFSET(TIAM15_assumptions!$G98,0,MATCH(VLOOKUP(Assumptions!L$2,TIAM15_assumptions!$Y$3:$Z$87,2,FALSE),TIAM15_assumptions!$H$2:$V$2,0))</f>
        <v>0</v>
      </c>
      <c r="M98" s="57">
        <f ca="1">OFFSET(TIAM15_assumptions!$G98,0,MATCH(VLOOKUP(Assumptions!M$2,TIAM15_assumptions!$Y$3:$Z$87,2,FALSE),TIAM15_assumptions!$H$2:$V$2,0))</f>
        <v>0</v>
      </c>
      <c r="N98" s="57">
        <f ca="1">OFFSET(TIAM15_assumptions!$G98,0,MATCH(VLOOKUP(Assumptions!N$2,TIAM15_assumptions!$Y$3:$Z$87,2,FALSE),TIAM15_assumptions!$H$2:$V$2,0))</f>
        <v>0</v>
      </c>
      <c r="O98" s="57">
        <f ca="1">OFFSET(TIAM15_assumptions!$G98,0,MATCH(VLOOKUP(Assumptions!O$2,TIAM15_assumptions!$Y$3:$Z$87,2,FALSE),TIAM15_assumptions!$H$2:$V$2,0))</f>
        <v>0</v>
      </c>
      <c r="P98" s="57">
        <f ca="1">OFFSET(TIAM15_assumptions!$G98,0,MATCH(VLOOKUP(Assumptions!P$2,TIAM15_assumptions!$Y$3:$Z$87,2,FALSE),TIAM15_assumptions!$H$2:$V$2,0))</f>
        <v>0</v>
      </c>
      <c r="Q98" s="57">
        <f ca="1">OFFSET(TIAM15_assumptions!$G98,0,MATCH(VLOOKUP(Assumptions!Q$2,TIAM15_assumptions!$Y$3:$Z$87,2,FALSE),TIAM15_assumptions!$H$2:$V$2,0))</f>
        <v>0</v>
      </c>
      <c r="R98" s="57">
        <f ca="1">OFFSET(TIAM15_assumptions!$G98,0,MATCH(VLOOKUP(Assumptions!R$2,TIAM15_assumptions!$Y$3:$Z$87,2,FALSE),TIAM15_assumptions!$H$2:$V$2,0))</f>
        <v>0</v>
      </c>
      <c r="S98" s="57">
        <f ca="1">OFFSET(TIAM15_assumptions!$G98,0,MATCH(VLOOKUP(Assumptions!S$2,TIAM15_assumptions!$Y$3:$Z$87,2,FALSE),TIAM15_assumptions!$H$2:$V$2,0))</f>
        <v>0</v>
      </c>
      <c r="T98" s="57">
        <f ca="1">OFFSET(TIAM15_assumptions!$G98,0,MATCH(VLOOKUP(Assumptions!T$2,TIAM15_assumptions!$Y$3:$Z$87,2,FALSE),TIAM15_assumptions!$H$2:$V$2,0))</f>
        <v>0</v>
      </c>
      <c r="U98" s="57">
        <f ca="1">OFFSET(TIAM15_assumptions!$G98,0,MATCH(VLOOKUP(Assumptions!U$2,TIAM15_assumptions!$Y$3:$Z$87,2,FALSE),TIAM15_assumptions!$H$2:$V$2,0))</f>
        <v>0</v>
      </c>
      <c r="V98" s="57">
        <f ca="1">OFFSET(TIAM15_assumptions!$G98,0,MATCH(VLOOKUP(Assumptions!V$2,TIAM15_assumptions!$Y$3:$Z$87,2,FALSE),TIAM15_assumptions!$H$2:$V$2,0))</f>
        <v>0</v>
      </c>
      <c r="W98" s="57">
        <f ca="1">OFFSET(TIAM15_assumptions!$G98,0,MATCH(VLOOKUP(Assumptions!W$2,TIAM15_assumptions!$Y$3:$Z$87,2,FALSE),TIAM15_assumptions!$H$2:$V$2,0))</f>
        <v>0</v>
      </c>
      <c r="X98" s="57">
        <f ca="1">OFFSET(TIAM15_assumptions!$G98,0,MATCH(VLOOKUP(Assumptions!X$2,TIAM15_assumptions!$Y$3:$Z$87,2,FALSE),TIAM15_assumptions!$H$2:$V$2,0))</f>
        <v>0</v>
      </c>
      <c r="Y98" s="57">
        <f ca="1">OFFSET(TIAM15_assumptions!$G98,0,MATCH(VLOOKUP(Assumptions!Y$2,TIAM15_assumptions!$Y$3:$Z$87,2,FALSE),TIAM15_assumptions!$H$2:$V$2,0))</f>
        <v>0</v>
      </c>
      <c r="Z98" s="57">
        <f ca="1">OFFSET(TIAM15_assumptions!$G98,0,MATCH(VLOOKUP(Assumptions!Z$2,TIAM15_assumptions!$Y$3:$Z$87,2,FALSE),TIAM15_assumptions!$H$2:$V$2,0))</f>
        <v>0</v>
      </c>
      <c r="AA98" s="57">
        <f ca="1">OFFSET(TIAM15_assumptions!$G98,0,MATCH(VLOOKUP(Assumptions!AA$2,TIAM15_assumptions!$Y$3:$Z$87,2,FALSE),TIAM15_assumptions!$H$2:$V$2,0))</f>
        <v>0</v>
      </c>
      <c r="AB98" s="57">
        <f ca="1">OFFSET(TIAM15_assumptions!$G98,0,MATCH(VLOOKUP(Assumptions!AB$2,TIAM15_assumptions!$Y$3:$Z$87,2,FALSE),TIAM15_assumptions!$H$2:$V$2,0))</f>
        <v>0</v>
      </c>
      <c r="AC98" s="57">
        <f ca="1">OFFSET(TIAM15_assumptions!$G98,0,MATCH(VLOOKUP(Assumptions!AC$2,TIAM15_assumptions!$Y$3:$Z$87,2,FALSE),TIAM15_assumptions!$H$2:$V$2,0))</f>
        <v>0</v>
      </c>
      <c r="AD98" s="57">
        <f ca="1">OFFSET(TIAM15_assumptions!$G98,0,MATCH(VLOOKUP(Assumptions!AD$2,TIAM15_assumptions!$Y$3:$Z$87,2,FALSE),TIAM15_assumptions!$H$2:$V$2,0))</f>
        <v>0</v>
      </c>
      <c r="AE98" s="57">
        <f ca="1">OFFSET(TIAM15_assumptions!$G98,0,MATCH(VLOOKUP(Assumptions!AE$2,TIAM15_assumptions!$Y$3:$Z$87,2,FALSE),TIAM15_assumptions!$H$2:$V$2,0))</f>
        <v>0</v>
      </c>
      <c r="AF98" s="57">
        <f ca="1">OFFSET(TIAM15_assumptions!$G98,0,MATCH(VLOOKUP(Assumptions!AF$2,TIAM15_assumptions!$Y$3:$Z$87,2,FALSE),TIAM15_assumptions!$H$2:$V$2,0))</f>
        <v>0</v>
      </c>
      <c r="AG98" s="57">
        <f ca="1">OFFSET(TIAM15_assumptions!$G98,0,MATCH(VLOOKUP(Assumptions!AG$2,TIAM15_assumptions!$Y$3:$Z$87,2,FALSE),TIAM15_assumptions!$H$2:$V$2,0))</f>
        <v>0</v>
      </c>
      <c r="AH98" s="57">
        <f ca="1">OFFSET(TIAM15_assumptions!$G98,0,MATCH(VLOOKUP(Assumptions!AH$2,TIAM15_assumptions!$Y$3:$Z$87,2,FALSE),TIAM15_assumptions!$H$2:$V$2,0))</f>
        <v>0</v>
      </c>
      <c r="AI98" s="57">
        <f ca="1">OFFSET(TIAM15_assumptions!$G98,0,MATCH(VLOOKUP(Assumptions!AI$2,TIAM15_assumptions!$Y$3:$Z$87,2,FALSE),TIAM15_assumptions!$H$2:$V$2,0))</f>
        <v>0</v>
      </c>
      <c r="AJ98" s="57">
        <f ca="1">OFFSET(TIAM15_assumptions!$G98,0,MATCH(VLOOKUP(Assumptions!AJ$2,TIAM15_assumptions!$Y$3:$Z$87,2,FALSE),TIAM15_assumptions!$H$2:$V$2,0))</f>
        <v>0</v>
      </c>
      <c r="AK98" s="57">
        <f ca="1">OFFSET(TIAM15_assumptions!$G98,0,MATCH(VLOOKUP(Assumptions!AK$2,TIAM15_assumptions!$Y$3:$Z$87,2,FALSE),TIAM15_assumptions!$H$2:$V$2,0))</f>
        <v>0</v>
      </c>
      <c r="AL98" s="57">
        <f ca="1">OFFSET(TIAM15_assumptions!$G98,0,MATCH(VLOOKUP(Assumptions!AL$2,TIAM15_assumptions!$Y$3:$Z$87,2,FALSE),TIAM15_assumptions!$H$2:$V$2,0))</f>
        <v>0</v>
      </c>
      <c r="AM98" s="57">
        <f ca="1">OFFSET(TIAM15_assumptions!$G98,0,MATCH(VLOOKUP(Assumptions!AM$2,TIAM15_assumptions!$Y$3:$Z$87,2,FALSE),TIAM15_assumptions!$H$2:$V$2,0))</f>
        <v>0</v>
      </c>
      <c r="AN98" s="57">
        <f ca="1">OFFSET(TIAM15_assumptions!$G98,0,MATCH(VLOOKUP(Assumptions!AN$2,TIAM15_assumptions!$Y$3:$Z$87,2,FALSE),TIAM15_assumptions!$H$2:$V$2,0))</f>
        <v>0</v>
      </c>
      <c r="AO98" s="57">
        <f ca="1">OFFSET(TIAM15_assumptions!$G98,0,MATCH(VLOOKUP(Assumptions!AO$2,TIAM15_assumptions!$Y$3:$Z$87,2,FALSE),TIAM15_assumptions!$H$2:$V$2,0))</f>
        <v>0</v>
      </c>
      <c r="AP98" s="57">
        <f ca="1">OFFSET(TIAM15_assumptions!$G98,0,MATCH(VLOOKUP(Assumptions!AP$2,TIAM15_assumptions!$Y$3:$Z$87,2,FALSE),TIAM15_assumptions!$H$2:$V$2,0))</f>
        <v>0</v>
      </c>
      <c r="AQ98" s="57">
        <f ca="1">OFFSET(TIAM15_assumptions!$G98,0,MATCH(VLOOKUP(Assumptions!AQ$2,TIAM15_assumptions!$Y$3:$Z$87,2,FALSE),TIAM15_assumptions!$H$2:$V$2,0))</f>
        <v>0</v>
      </c>
      <c r="AR98" s="57">
        <f ca="1">OFFSET(TIAM15_assumptions!$G98,0,MATCH(VLOOKUP(Assumptions!AR$2,TIAM15_assumptions!$Y$3:$Z$87,2,FALSE),TIAM15_assumptions!$H$2:$V$2,0))</f>
        <v>0</v>
      </c>
      <c r="AS98" s="57">
        <f ca="1">OFFSET(TIAM15_assumptions!$G98,0,MATCH(VLOOKUP(Assumptions!AS$2,TIAM15_assumptions!$Y$3:$Z$87,2,FALSE),TIAM15_assumptions!$H$2:$V$2,0))</f>
        <v>0</v>
      </c>
      <c r="AT98" s="57">
        <f ca="1">OFFSET(TIAM15_assumptions!$G98,0,MATCH(VLOOKUP(Assumptions!AT$2,TIAM15_assumptions!$Y$3:$Z$87,2,FALSE),TIAM15_assumptions!$H$2:$V$2,0))</f>
        <v>0</v>
      </c>
      <c r="AU98" s="57">
        <f ca="1">OFFSET(TIAM15_assumptions!$G98,0,MATCH(VLOOKUP(Assumptions!AU$2,TIAM15_assumptions!$Y$3:$Z$87,2,FALSE),TIAM15_assumptions!$H$2:$V$2,0))</f>
        <v>0</v>
      </c>
      <c r="AV98" s="57">
        <f ca="1">OFFSET(TIAM15_assumptions!$G98,0,MATCH(VLOOKUP(Assumptions!AV$2,TIAM15_assumptions!$Y$3:$Z$87,2,FALSE),TIAM15_assumptions!$H$2:$V$2,0))</f>
        <v>0</v>
      </c>
      <c r="AW98" s="57">
        <f ca="1">OFFSET(TIAM15_assumptions!$G98,0,MATCH(VLOOKUP(Assumptions!AW$2,TIAM15_assumptions!$Y$3:$Z$87,2,FALSE),TIAM15_assumptions!$H$2:$V$2,0))</f>
        <v>0</v>
      </c>
      <c r="AX98" s="57">
        <f ca="1">OFFSET(TIAM15_assumptions!$G98,0,MATCH(VLOOKUP(Assumptions!AX$2,TIAM15_assumptions!$Y$3:$Z$87,2,FALSE),TIAM15_assumptions!$H$2:$V$2,0))</f>
        <v>0</v>
      </c>
      <c r="AY98" s="57">
        <f ca="1">OFFSET(TIAM15_assumptions!$G98,0,MATCH(VLOOKUP(Assumptions!AY$2,TIAM15_assumptions!$Y$3:$Z$87,2,FALSE),TIAM15_assumptions!$H$2:$V$2,0))</f>
        <v>0</v>
      </c>
      <c r="AZ98" s="57">
        <f ca="1">OFFSET(TIAM15_assumptions!$G98,0,MATCH(VLOOKUP(Assumptions!AZ$2,TIAM15_assumptions!$Y$3:$Z$87,2,FALSE),TIAM15_assumptions!$H$2:$V$2,0))</f>
        <v>0</v>
      </c>
      <c r="BA98" s="57">
        <f ca="1">OFFSET(TIAM15_assumptions!$G98,0,MATCH(VLOOKUP(Assumptions!BA$2,TIAM15_assumptions!$Y$3:$Z$87,2,FALSE),TIAM15_assumptions!$H$2:$V$2,0))</f>
        <v>0</v>
      </c>
      <c r="BD98" s="40">
        <f ca="1">IFERROR(SUMIFS('TRA balance'!E$5:E$40,'TRA balance'!$C$5:$C$40,Assumptions!$C98,'TRA balance'!$D$5:$D$40,Assumptions!$B98)*CY98*H98,"")</f>
        <v>0</v>
      </c>
      <c r="BE98" s="40">
        <f ca="1">IFERROR(SUMIFS('TRA balance'!F$5:F$40,'TRA balance'!$C$5:$C$40,Assumptions!$C98,'TRA balance'!$D$5:$D$40,Assumptions!$B98)*CZ98*I98,"")</f>
        <v>0</v>
      </c>
      <c r="BF98" s="40">
        <f ca="1">IFERROR(SUMIFS('TRA balance'!G$5:G$40,'TRA balance'!$C$5:$C$40,Assumptions!$C98,'TRA balance'!$D$5:$D$40,Assumptions!$B98)*DA98*J98,"")</f>
        <v>0</v>
      </c>
      <c r="BG98" s="40">
        <f ca="1">IFERROR(SUMIFS('TRA balance'!H$5:H$40,'TRA balance'!$C$5:$C$40,Assumptions!$C98,'TRA balance'!$D$5:$D$40,Assumptions!$B98)*DB98*K98,"")</f>
        <v>0</v>
      </c>
      <c r="BH98" s="40">
        <f ca="1">IFERROR(SUMIFS('TRA balance'!I$5:I$40,'TRA balance'!$C$5:$C$40,Assumptions!$C98,'TRA balance'!$D$5:$D$40,Assumptions!$B98)*DC98*L98,"")</f>
        <v>0</v>
      </c>
      <c r="BI98" s="40">
        <f ca="1">IFERROR(SUMIFS('TRA balance'!J$5:J$40,'TRA balance'!$C$5:$C$40,Assumptions!$C98,'TRA balance'!$D$5:$D$40,Assumptions!$B98)*DD98*M98,"")</f>
        <v>0</v>
      </c>
      <c r="BJ98" s="40">
        <f ca="1">IFERROR(SUMIFS('TRA balance'!K$5:K$40,'TRA balance'!$C$5:$C$40,Assumptions!$C98,'TRA balance'!$D$5:$D$40,Assumptions!$B98)*DE98*N98,"")</f>
        <v>0</v>
      </c>
      <c r="BK98" s="40">
        <f ca="1">IFERROR(SUMIFS('TRA balance'!L$5:L$40,'TRA balance'!$C$5:$C$40,Assumptions!$C98,'TRA balance'!$D$5:$D$40,Assumptions!$B98)*DF98*O98,"")</f>
        <v>0</v>
      </c>
      <c r="BL98" s="40">
        <f ca="1">IFERROR(SUMIFS('TRA balance'!M$5:M$40,'TRA balance'!$C$5:$C$40,Assumptions!$C98,'TRA balance'!$D$5:$D$40,Assumptions!$B98)*DG98*P98,"")</f>
        <v>0</v>
      </c>
      <c r="BM98" s="40">
        <f ca="1">IFERROR(SUMIFS('TRA balance'!N$5:N$40,'TRA balance'!$C$5:$C$40,Assumptions!$C98,'TRA balance'!$D$5:$D$40,Assumptions!$B98)*DH98*Q98,"")</f>
        <v>0</v>
      </c>
      <c r="BN98" s="40">
        <f ca="1">IFERROR(SUMIFS('TRA balance'!O$5:O$40,'TRA balance'!$C$5:$C$40,Assumptions!$C98,'TRA balance'!$D$5:$D$40,Assumptions!$B98)*DI98*R98,"")</f>
        <v>0</v>
      </c>
      <c r="BO98" s="40">
        <f ca="1">IFERROR(SUMIFS('TRA balance'!P$5:P$40,'TRA balance'!$C$5:$C$40,Assumptions!$C98,'TRA balance'!$D$5:$D$40,Assumptions!$B98)*DJ98*S98,"")</f>
        <v>0</v>
      </c>
      <c r="BP98" s="40">
        <f ca="1">IFERROR(SUMIFS('TRA balance'!Q$5:Q$40,'TRA balance'!$C$5:$C$40,Assumptions!$C98,'TRA balance'!$D$5:$D$40,Assumptions!$B98)*DK98*T98,"")</f>
        <v>0</v>
      </c>
      <c r="BQ98" s="40">
        <f ca="1">IFERROR(SUMIFS('TRA balance'!R$5:R$40,'TRA balance'!$C$5:$C$40,Assumptions!$C98,'TRA balance'!$D$5:$D$40,Assumptions!$B98)*DL98*U98,"")</f>
        <v>0</v>
      </c>
      <c r="BR98" s="40">
        <f ca="1">IFERROR(SUMIFS('TRA balance'!S$5:S$40,'TRA balance'!$C$5:$C$40,Assumptions!$C98,'TRA balance'!$D$5:$D$40,Assumptions!$B98)*DM98*V98,"")</f>
        <v>0</v>
      </c>
      <c r="BS98" s="40">
        <f ca="1">IFERROR(SUMIFS('TRA balance'!T$5:T$40,'TRA balance'!$C$5:$C$40,Assumptions!$C98,'TRA balance'!$D$5:$D$40,Assumptions!$B98)*DN98*W98,"")</f>
        <v>0</v>
      </c>
      <c r="BT98" s="40">
        <f ca="1">IFERROR(SUMIFS('TRA balance'!U$5:U$40,'TRA balance'!$C$5:$C$40,Assumptions!$C98,'TRA balance'!$D$5:$D$40,Assumptions!$B98)*DO98*X98,"")</f>
        <v>0</v>
      </c>
      <c r="BU98" s="40">
        <f ca="1">IFERROR(SUMIFS('TRA balance'!V$5:V$40,'TRA balance'!$C$5:$C$40,Assumptions!$C98,'TRA balance'!$D$5:$D$40,Assumptions!$B98)*DP98*Y98,"")</f>
        <v>0</v>
      </c>
      <c r="BV98" s="40">
        <f ca="1">IFERROR(SUMIFS('TRA balance'!W$5:W$40,'TRA balance'!$C$5:$C$40,Assumptions!$C98,'TRA balance'!$D$5:$D$40,Assumptions!$B98)*DQ98*Z98,"")</f>
        <v>0</v>
      </c>
      <c r="BW98" s="40">
        <f ca="1">IFERROR(SUMIFS('TRA balance'!X$5:X$40,'TRA balance'!$C$5:$C$40,Assumptions!$C98,'TRA balance'!$D$5:$D$40,Assumptions!$B98)*DR98*AA98,"")</f>
        <v>0</v>
      </c>
      <c r="BX98" s="40">
        <f ca="1">IFERROR(SUMIFS('TRA balance'!Y$5:Y$40,'TRA balance'!$C$5:$C$40,Assumptions!$C98,'TRA balance'!$D$5:$D$40,Assumptions!$B98)*DS98*AB98,"")</f>
        <v>0</v>
      </c>
      <c r="BY98" s="40">
        <f ca="1">IFERROR(SUMIFS('TRA balance'!Z$5:Z$40,'TRA balance'!$C$5:$C$40,Assumptions!$C98,'TRA balance'!$D$5:$D$40,Assumptions!$B98)*DT98*AC98,"")</f>
        <v>0</v>
      </c>
      <c r="BZ98" s="40">
        <f ca="1">IFERROR(SUMIFS('TRA balance'!AA$5:AA$40,'TRA balance'!$C$5:$C$40,Assumptions!$C98,'TRA balance'!$D$5:$D$40,Assumptions!$B98)*DU98*AD98,"")</f>
        <v>0</v>
      </c>
      <c r="CA98" s="40">
        <f ca="1">IFERROR(SUMIFS('TRA balance'!AB$5:AB$40,'TRA balance'!$C$5:$C$40,Assumptions!$C98,'TRA balance'!$D$5:$D$40,Assumptions!$B98)*DV98*AE98,"")</f>
        <v>0</v>
      </c>
      <c r="CB98" s="40">
        <f ca="1">IFERROR(SUMIFS('TRA balance'!AC$5:AC$40,'TRA balance'!$C$5:$C$40,Assumptions!$C98,'TRA balance'!$D$5:$D$40,Assumptions!$B98)*DW98*AF98,"")</f>
        <v>0</v>
      </c>
      <c r="CC98" s="40">
        <f ca="1">IFERROR(SUMIFS('TRA balance'!AD$5:AD$40,'TRA balance'!$C$5:$C$40,Assumptions!$C98,'TRA balance'!$D$5:$D$40,Assumptions!$B98)*DX98*AG98,"")</f>
        <v>0</v>
      </c>
      <c r="CD98" s="40">
        <f ca="1">IFERROR(SUMIFS('TRA balance'!AE$5:AE$40,'TRA balance'!$C$5:$C$40,Assumptions!$C98,'TRA balance'!$D$5:$D$40,Assumptions!$B98)*DY98*AH98,"")</f>
        <v>0</v>
      </c>
      <c r="CE98" s="40">
        <f ca="1">IFERROR(SUMIFS('TRA balance'!AF$5:AF$40,'TRA balance'!$C$5:$C$40,Assumptions!$C98,'TRA balance'!$D$5:$D$40,Assumptions!$B98)*DZ98*AI98,"")</f>
        <v>0</v>
      </c>
      <c r="CF98" s="40">
        <f ca="1">IFERROR(SUMIFS('TRA balance'!AG$5:AG$40,'TRA balance'!$C$5:$C$40,Assumptions!$C98,'TRA balance'!$D$5:$D$40,Assumptions!$B98)*EA98*AJ98,"")</f>
        <v>0</v>
      </c>
      <c r="CG98" s="40">
        <f ca="1">IFERROR(SUMIFS('TRA balance'!AH$5:AH$40,'TRA balance'!$C$5:$C$40,Assumptions!$C98,'TRA balance'!$D$5:$D$40,Assumptions!$B98)*EB98*AK98,"")</f>
        <v>0</v>
      </c>
      <c r="CH98" s="40">
        <f ca="1">IFERROR(SUMIFS('TRA balance'!AI$5:AI$40,'TRA balance'!$C$5:$C$40,Assumptions!$C98,'TRA balance'!$D$5:$D$40,Assumptions!$B98)*EC98*AL98,"")</f>
        <v>0</v>
      </c>
      <c r="CI98" s="40">
        <f ca="1">IFERROR(SUMIFS('TRA balance'!AJ$5:AJ$40,'TRA balance'!$C$5:$C$40,Assumptions!$C98,'TRA balance'!$D$5:$D$40,Assumptions!$B98)*ED98*AM98,"")</f>
        <v>0</v>
      </c>
      <c r="CJ98" s="40">
        <f ca="1">IFERROR(SUMIFS('TRA balance'!AK$5:AK$40,'TRA balance'!$C$5:$C$40,Assumptions!$C98,'TRA balance'!$D$5:$D$40,Assumptions!$B98)*EE98*AN98,"")</f>
        <v>0</v>
      </c>
      <c r="CK98" s="40">
        <f ca="1">IFERROR(SUMIFS('TRA balance'!AL$5:AL$40,'TRA balance'!$C$5:$C$40,Assumptions!$C98,'TRA balance'!$D$5:$D$40,Assumptions!$B98)*EF98*AO98,"")</f>
        <v>0</v>
      </c>
      <c r="CL98" s="40">
        <f ca="1">IFERROR(SUMIFS('TRA balance'!AM$5:AM$40,'TRA balance'!$C$5:$C$40,Assumptions!$C98,'TRA balance'!$D$5:$D$40,Assumptions!$B98)*EG98*AP98,"")</f>
        <v>0</v>
      </c>
      <c r="CM98" s="40">
        <f ca="1">IFERROR(SUMIFS('TRA balance'!AN$5:AN$40,'TRA balance'!$C$5:$C$40,Assumptions!$C98,'TRA balance'!$D$5:$D$40,Assumptions!$B98)*EH98*AQ98,"")</f>
        <v>0</v>
      </c>
      <c r="CN98" s="40">
        <f ca="1">IFERROR(SUMIFS('TRA balance'!AO$5:AO$40,'TRA balance'!$C$5:$C$40,Assumptions!$C98,'TRA balance'!$D$5:$D$40,Assumptions!$B98)*EI98*AR98,"")</f>
        <v>0</v>
      </c>
      <c r="CO98" s="40">
        <f ca="1">IFERROR(SUMIFS('TRA balance'!AP$5:AP$40,'TRA balance'!$C$5:$C$40,Assumptions!$C98,'TRA balance'!$D$5:$D$40,Assumptions!$B98)*EJ98*AS98,"")</f>
        <v>0</v>
      </c>
      <c r="CP98" s="40">
        <f ca="1">IFERROR(SUMIFS('TRA balance'!AQ$5:AQ$40,'TRA balance'!$C$5:$C$40,Assumptions!$C98,'TRA balance'!$D$5:$D$40,Assumptions!$B98)*EK98*AT98,"")</f>
        <v>0</v>
      </c>
      <c r="CQ98" s="40">
        <f ca="1">IFERROR(SUMIFS('TRA balance'!AR$5:AR$40,'TRA balance'!$C$5:$C$40,Assumptions!$C98,'TRA balance'!$D$5:$D$40,Assumptions!$B98)*EL98*AU98,"")</f>
        <v>0</v>
      </c>
      <c r="CR98" s="40">
        <f ca="1">IFERROR(SUMIFS('TRA balance'!AS$5:AS$40,'TRA balance'!$C$5:$C$40,Assumptions!$C98,'TRA balance'!$D$5:$D$40,Assumptions!$B98)*EM98*AV98,"")</f>
        <v>0</v>
      </c>
      <c r="CS98" s="40">
        <f ca="1">IFERROR(SUMIFS('TRA balance'!AT$5:AT$40,'TRA balance'!$C$5:$C$40,Assumptions!$C98,'TRA balance'!$D$5:$D$40,Assumptions!$B98)*EN98*AW98,"")</f>
        <v>0</v>
      </c>
      <c r="CT98" s="40">
        <f ca="1">IFERROR(SUMIFS('TRA balance'!AU$5:AU$40,'TRA balance'!$C$5:$C$40,Assumptions!$C98,'TRA balance'!$D$5:$D$40,Assumptions!$B98)*EO98*AX98,"")</f>
        <v>0</v>
      </c>
      <c r="CU98" s="40">
        <f ca="1">IFERROR(SUMIFS('TRA balance'!AV$5:AV$40,'TRA balance'!$C$5:$C$40,Assumptions!$C98,'TRA balance'!$D$5:$D$40,Assumptions!$B98)*EP98*AY98,"")</f>
        <v>0</v>
      </c>
      <c r="CV98" s="40">
        <f ca="1">IFERROR(SUMIFS('TRA balance'!AW$5:AW$40,'TRA balance'!$C$5:$C$40,Assumptions!$C98,'TRA balance'!$D$5:$D$40,Assumptions!$B98)*EQ98*AZ98,"")</f>
        <v>0</v>
      </c>
      <c r="CW98" s="40">
        <f ca="1">IFERROR(SUMIFS('TRA balance'!AX$5:AX$40,'TRA balance'!$C$5:$C$40,Assumptions!$C98,'TRA balance'!$D$5:$D$40,Assumptions!$B98)*ER98*BA98,"")</f>
        <v>0</v>
      </c>
      <c r="CY98" s="39">
        <f ca="1" t="shared" si="86"/>
        <v>1</v>
      </c>
      <c r="CZ98" s="39">
        <f ca="1" t="shared" si="87"/>
        <v>1</v>
      </c>
      <c r="DA98" s="39">
        <f ca="1" t="shared" si="88"/>
        <v>0</v>
      </c>
      <c r="DB98" s="39">
        <f ca="1" t="shared" si="89"/>
        <v>0</v>
      </c>
      <c r="DC98" s="39">
        <f ca="1" t="shared" si="90"/>
        <v>1</v>
      </c>
      <c r="DD98" s="39">
        <f ca="1" t="shared" si="91"/>
        <v>0</v>
      </c>
      <c r="DE98" s="39">
        <f ca="1" t="shared" si="92"/>
        <v>0.5</v>
      </c>
      <c r="DF98" s="39">
        <f ca="1" t="shared" si="93"/>
        <v>0.2</v>
      </c>
      <c r="DG98" s="39">
        <f ca="1" t="shared" si="94"/>
        <v>1</v>
      </c>
      <c r="DH98" s="39">
        <f ca="1" t="shared" si="95"/>
        <v>1</v>
      </c>
      <c r="DI98" s="39">
        <f ca="1" t="shared" si="96"/>
        <v>0</v>
      </c>
      <c r="DJ98" s="39">
        <f ca="1" t="shared" si="97"/>
        <v>0</v>
      </c>
      <c r="DK98" s="39">
        <f ca="1" t="shared" si="98"/>
        <v>0</v>
      </c>
      <c r="DL98" s="39">
        <f ca="1" t="shared" si="99"/>
        <v>1</v>
      </c>
      <c r="DM98" s="39">
        <f ca="1" t="shared" si="100"/>
        <v>0</v>
      </c>
      <c r="DN98" s="39">
        <f ca="1" t="shared" si="101"/>
        <v>1</v>
      </c>
      <c r="DO98" s="39">
        <f ca="1" t="shared" si="102"/>
        <v>0</v>
      </c>
      <c r="DP98" s="39">
        <f ca="1" t="shared" si="103"/>
        <v>0</v>
      </c>
      <c r="DQ98" s="39">
        <f ca="1" t="shared" si="104"/>
        <v>0</v>
      </c>
      <c r="DR98" s="39">
        <f ca="1" t="shared" si="105"/>
        <v>0.5</v>
      </c>
      <c r="DS98" s="39">
        <f ca="1" t="shared" si="106"/>
        <v>1</v>
      </c>
      <c r="DT98" s="39">
        <f ca="1" t="shared" si="107"/>
        <v>0</v>
      </c>
      <c r="DU98" s="39">
        <f ca="1" t="shared" si="108"/>
        <v>0</v>
      </c>
      <c r="DV98" s="39">
        <f ca="1" t="shared" si="109"/>
        <v>1</v>
      </c>
      <c r="DW98" s="39">
        <f ca="1" t="shared" si="110"/>
        <v>0</v>
      </c>
      <c r="DX98" s="39">
        <f ca="1" t="shared" si="111"/>
        <v>1</v>
      </c>
      <c r="DY98" s="39">
        <f ca="1" t="shared" si="112"/>
        <v>1</v>
      </c>
      <c r="DZ98" s="39">
        <f ca="1" t="shared" si="113"/>
        <v>1</v>
      </c>
      <c r="EA98" s="39">
        <f ca="1" t="shared" si="114"/>
        <v>0</v>
      </c>
      <c r="EB98" s="39">
        <f ca="1" t="shared" si="115"/>
        <v>0</v>
      </c>
      <c r="EC98" s="39">
        <f ca="1" t="shared" si="116"/>
        <v>0</v>
      </c>
      <c r="ED98" s="39">
        <f ca="1" t="shared" si="117"/>
        <v>1</v>
      </c>
      <c r="EE98" s="39">
        <f ca="1" t="shared" si="118"/>
        <v>0</v>
      </c>
      <c r="EF98" s="39">
        <f ca="1" t="shared" si="119"/>
        <v>1</v>
      </c>
      <c r="EG98" s="39">
        <f ca="1" t="shared" si="120"/>
        <v>1</v>
      </c>
      <c r="EH98" s="39">
        <f ca="1" t="shared" si="121"/>
        <v>0</v>
      </c>
      <c r="EI98" s="39">
        <f ca="1" t="shared" si="122"/>
        <v>0</v>
      </c>
      <c r="EJ98" s="39">
        <f ca="1" t="shared" si="123"/>
        <v>0</v>
      </c>
      <c r="EK98" s="39">
        <f ca="1" t="shared" si="124"/>
        <v>0</v>
      </c>
      <c r="EL98" s="39">
        <f ca="1" t="shared" si="125"/>
        <v>0</v>
      </c>
      <c r="EM98" s="39">
        <f ca="1" t="shared" si="126"/>
        <v>0</v>
      </c>
      <c r="EN98" s="39">
        <f ca="1" t="shared" si="127"/>
        <v>0</v>
      </c>
      <c r="EO98" s="39">
        <f ca="1" t="shared" si="128"/>
        <v>0</v>
      </c>
      <c r="EP98" s="39">
        <f ca="1" t="shared" si="129"/>
        <v>0</v>
      </c>
      <c r="EQ98" s="39">
        <f ca="1" t="shared" si="130"/>
        <v>0</v>
      </c>
      <c r="ER98" s="39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4" t="str">
        <f t="shared" si="133"/>
        <v>TR</v>
      </c>
      <c r="D99" s="55" t="s">
        <v>200</v>
      </c>
      <c r="E99" s="66" t="s">
        <v>218</v>
      </c>
      <c r="F99" s="56" t="str">
        <f t="shared" si="146"/>
        <v>Electricity</v>
      </c>
      <c r="G99" s="54" t="s">
        <v>219</v>
      </c>
      <c r="H99" s="57">
        <f ca="1">OFFSET(TIAM15_assumptions!$G99,0,MATCH(VLOOKUP(Assumptions!H$2,TIAM15_assumptions!$Y$3:$Z$87,2,FALSE),TIAM15_assumptions!$H$2:$V$2,0))</f>
        <v>0</v>
      </c>
      <c r="I99" s="57">
        <f ca="1">OFFSET(TIAM15_assumptions!$G99,0,MATCH(VLOOKUP(Assumptions!I$2,TIAM15_assumptions!$Y$3:$Z$87,2,FALSE),TIAM15_assumptions!$H$2:$V$2,0))</f>
        <v>0</v>
      </c>
      <c r="J99" s="57">
        <f ca="1">OFFSET(TIAM15_assumptions!$G99,0,MATCH(VLOOKUP(Assumptions!J$2,TIAM15_assumptions!$Y$3:$Z$87,2,FALSE),TIAM15_assumptions!$H$2:$V$2,0))</f>
        <v>0</v>
      </c>
      <c r="K99" s="57">
        <f ca="1">OFFSET(TIAM15_assumptions!$G99,0,MATCH(VLOOKUP(Assumptions!K$2,TIAM15_assumptions!$Y$3:$Z$87,2,FALSE),TIAM15_assumptions!$H$2:$V$2,0))</f>
        <v>0</v>
      </c>
      <c r="L99" s="57">
        <f ca="1">OFFSET(TIAM15_assumptions!$G99,0,MATCH(VLOOKUP(Assumptions!L$2,TIAM15_assumptions!$Y$3:$Z$87,2,FALSE),TIAM15_assumptions!$H$2:$V$2,0))</f>
        <v>0</v>
      </c>
      <c r="M99" s="57">
        <f ca="1">OFFSET(TIAM15_assumptions!$G99,0,MATCH(VLOOKUP(Assumptions!M$2,TIAM15_assumptions!$Y$3:$Z$87,2,FALSE),TIAM15_assumptions!$H$2:$V$2,0))</f>
        <v>0</v>
      </c>
      <c r="N99" s="57">
        <f ca="1">OFFSET(TIAM15_assumptions!$G99,0,MATCH(VLOOKUP(Assumptions!N$2,TIAM15_assumptions!$Y$3:$Z$87,2,FALSE),TIAM15_assumptions!$H$2:$V$2,0))</f>
        <v>0</v>
      </c>
      <c r="O99" s="57">
        <f ca="1">OFFSET(TIAM15_assumptions!$G99,0,MATCH(VLOOKUP(Assumptions!O$2,TIAM15_assumptions!$Y$3:$Z$87,2,FALSE),TIAM15_assumptions!$H$2:$V$2,0))</f>
        <v>0.5</v>
      </c>
      <c r="P99" s="57">
        <f ca="1">OFFSET(TIAM15_assumptions!$G99,0,MATCH(VLOOKUP(Assumptions!P$2,TIAM15_assumptions!$Y$3:$Z$87,2,FALSE),TIAM15_assumptions!$H$2:$V$2,0))</f>
        <v>0</v>
      </c>
      <c r="Q99" s="57">
        <f ca="1">OFFSET(TIAM15_assumptions!$G99,0,MATCH(VLOOKUP(Assumptions!Q$2,TIAM15_assumptions!$Y$3:$Z$87,2,FALSE),TIAM15_assumptions!$H$2:$V$2,0))</f>
        <v>0</v>
      </c>
      <c r="R99" s="57">
        <f ca="1">OFFSET(TIAM15_assumptions!$G99,0,MATCH(VLOOKUP(Assumptions!R$2,TIAM15_assumptions!$Y$3:$Z$87,2,FALSE),TIAM15_assumptions!$H$2:$V$2,0))</f>
        <v>0</v>
      </c>
      <c r="S99" s="57">
        <f ca="1">OFFSET(TIAM15_assumptions!$G99,0,MATCH(VLOOKUP(Assumptions!S$2,TIAM15_assumptions!$Y$3:$Z$87,2,FALSE),TIAM15_assumptions!$H$2:$V$2,0))</f>
        <v>0</v>
      </c>
      <c r="T99" s="57">
        <f ca="1">OFFSET(TIAM15_assumptions!$G99,0,MATCH(VLOOKUP(Assumptions!T$2,TIAM15_assumptions!$Y$3:$Z$87,2,FALSE),TIAM15_assumptions!$H$2:$V$2,0))</f>
        <v>0</v>
      </c>
      <c r="U99" s="57">
        <f ca="1">OFFSET(TIAM15_assumptions!$G99,0,MATCH(VLOOKUP(Assumptions!U$2,TIAM15_assumptions!$Y$3:$Z$87,2,FALSE),TIAM15_assumptions!$H$2:$V$2,0))</f>
        <v>0</v>
      </c>
      <c r="V99" s="57">
        <f ca="1">OFFSET(TIAM15_assumptions!$G99,0,MATCH(VLOOKUP(Assumptions!V$2,TIAM15_assumptions!$Y$3:$Z$87,2,FALSE),TIAM15_assumptions!$H$2:$V$2,0))</f>
        <v>0</v>
      </c>
      <c r="W99" s="57">
        <f ca="1">OFFSET(TIAM15_assumptions!$G99,0,MATCH(VLOOKUP(Assumptions!W$2,TIAM15_assumptions!$Y$3:$Z$87,2,FALSE),TIAM15_assumptions!$H$2:$V$2,0))</f>
        <v>0</v>
      </c>
      <c r="X99" s="57">
        <f ca="1">OFFSET(TIAM15_assumptions!$G99,0,MATCH(VLOOKUP(Assumptions!X$2,TIAM15_assumptions!$Y$3:$Z$87,2,FALSE),TIAM15_assumptions!$H$2:$V$2,0))</f>
        <v>0</v>
      </c>
      <c r="Y99" s="57">
        <f ca="1">OFFSET(TIAM15_assumptions!$G99,0,MATCH(VLOOKUP(Assumptions!Y$2,TIAM15_assumptions!$Y$3:$Z$87,2,FALSE),TIAM15_assumptions!$H$2:$V$2,0))</f>
        <v>0</v>
      </c>
      <c r="Z99" s="57">
        <f ca="1">OFFSET(TIAM15_assumptions!$G99,0,MATCH(VLOOKUP(Assumptions!Z$2,TIAM15_assumptions!$Y$3:$Z$87,2,FALSE),TIAM15_assumptions!$H$2:$V$2,0))</f>
        <v>0</v>
      </c>
      <c r="AA99" s="57">
        <f ca="1">OFFSET(TIAM15_assumptions!$G99,0,MATCH(VLOOKUP(Assumptions!AA$2,TIAM15_assumptions!$Y$3:$Z$87,2,FALSE),TIAM15_assumptions!$H$2:$V$2,0))</f>
        <v>0</v>
      </c>
      <c r="AB99" s="57">
        <f ca="1">OFFSET(TIAM15_assumptions!$G99,0,MATCH(VLOOKUP(Assumptions!AB$2,TIAM15_assumptions!$Y$3:$Z$87,2,FALSE),TIAM15_assumptions!$H$2:$V$2,0))</f>
        <v>0</v>
      </c>
      <c r="AC99" s="57">
        <f ca="1">OFFSET(TIAM15_assumptions!$G99,0,MATCH(VLOOKUP(Assumptions!AC$2,TIAM15_assumptions!$Y$3:$Z$87,2,FALSE),TIAM15_assumptions!$H$2:$V$2,0))</f>
        <v>0</v>
      </c>
      <c r="AD99" s="57">
        <f ca="1">OFFSET(TIAM15_assumptions!$G99,0,MATCH(VLOOKUP(Assumptions!AD$2,TIAM15_assumptions!$Y$3:$Z$87,2,FALSE),TIAM15_assumptions!$H$2:$V$2,0))</f>
        <v>0</v>
      </c>
      <c r="AE99" s="57">
        <f ca="1">OFFSET(TIAM15_assumptions!$G99,0,MATCH(VLOOKUP(Assumptions!AE$2,TIAM15_assumptions!$Y$3:$Z$87,2,FALSE),TIAM15_assumptions!$H$2:$V$2,0))</f>
        <v>0</v>
      </c>
      <c r="AF99" s="57">
        <f ca="1">OFFSET(TIAM15_assumptions!$G99,0,MATCH(VLOOKUP(Assumptions!AF$2,TIAM15_assumptions!$Y$3:$Z$87,2,FALSE),TIAM15_assumptions!$H$2:$V$2,0))</f>
        <v>0</v>
      </c>
      <c r="AG99" s="57">
        <f ca="1">OFFSET(TIAM15_assumptions!$G99,0,MATCH(VLOOKUP(Assumptions!AG$2,TIAM15_assumptions!$Y$3:$Z$87,2,FALSE),TIAM15_assumptions!$H$2:$V$2,0))</f>
        <v>0</v>
      </c>
      <c r="AH99" s="57">
        <f ca="1">OFFSET(TIAM15_assumptions!$G99,0,MATCH(VLOOKUP(Assumptions!AH$2,TIAM15_assumptions!$Y$3:$Z$87,2,FALSE),TIAM15_assumptions!$H$2:$V$2,0))</f>
        <v>0</v>
      </c>
      <c r="AI99" s="57">
        <f ca="1">OFFSET(TIAM15_assumptions!$G99,0,MATCH(VLOOKUP(Assumptions!AI$2,TIAM15_assumptions!$Y$3:$Z$87,2,FALSE),TIAM15_assumptions!$H$2:$V$2,0))</f>
        <v>0</v>
      </c>
      <c r="AJ99" s="57">
        <f ca="1">OFFSET(TIAM15_assumptions!$G99,0,MATCH(VLOOKUP(Assumptions!AJ$2,TIAM15_assumptions!$Y$3:$Z$87,2,FALSE),TIAM15_assumptions!$H$2:$V$2,0))</f>
        <v>0</v>
      </c>
      <c r="AK99" s="57">
        <f ca="1">OFFSET(TIAM15_assumptions!$G99,0,MATCH(VLOOKUP(Assumptions!AK$2,TIAM15_assumptions!$Y$3:$Z$87,2,FALSE),TIAM15_assumptions!$H$2:$V$2,0))</f>
        <v>0</v>
      </c>
      <c r="AL99" s="57">
        <f ca="1">OFFSET(TIAM15_assumptions!$G99,0,MATCH(VLOOKUP(Assumptions!AL$2,TIAM15_assumptions!$Y$3:$Z$87,2,FALSE),TIAM15_assumptions!$H$2:$V$2,0))</f>
        <v>0</v>
      </c>
      <c r="AM99" s="57">
        <f ca="1">OFFSET(TIAM15_assumptions!$G99,0,MATCH(VLOOKUP(Assumptions!AM$2,TIAM15_assumptions!$Y$3:$Z$87,2,FALSE),TIAM15_assumptions!$H$2:$V$2,0))</f>
        <v>0</v>
      </c>
      <c r="AN99" s="57">
        <f ca="1">OFFSET(TIAM15_assumptions!$G99,0,MATCH(VLOOKUP(Assumptions!AN$2,TIAM15_assumptions!$Y$3:$Z$87,2,FALSE),TIAM15_assumptions!$H$2:$V$2,0))</f>
        <v>0</v>
      </c>
      <c r="AO99" s="57">
        <f ca="1">OFFSET(TIAM15_assumptions!$G99,0,MATCH(VLOOKUP(Assumptions!AO$2,TIAM15_assumptions!$Y$3:$Z$87,2,FALSE),TIAM15_assumptions!$H$2:$V$2,0))</f>
        <v>0</v>
      </c>
      <c r="AP99" s="57">
        <f ca="1">OFFSET(TIAM15_assumptions!$G99,0,MATCH(VLOOKUP(Assumptions!AP$2,TIAM15_assumptions!$Y$3:$Z$87,2,FALSE),TIAM15_assumptions!$H$2:$V$2,0))</f>
        <v>0</v>
      </c>
      <c r="AQ99" s="57">
        <f ca="1">OFFSET(TIAM15_assumptions!$G99,0,MATCH(VLOOKUP(Assumptions!AQ$2,TIAM15_assumptions!$Y$3:$Z$87,2,FALSE),TIAM15_assumptions!$H$2:$V$2,0))</f>
        <v>0</v>
      </c>
      <c r="AR99" s="57">
        <f ca="1">OFFSET(TIAM15_assumptions!$G99,0,MATCH(VLOOKUP(Assumptions!AR$2,TIAM15_assumptions!$Y$3:$Z$87,2,FALSE),TIAM15_assumptions!$H$2:$V$2,0))</f>
        <v>0</v>
      </c>
      <c r="AS99" s="57">
        <f ca="1">OFFSET(TIAM15_assumptions!$G99,0,MATCH(VLOOKUP(Assumptions!AS$2,TIAM15_assumptions!$Y$3:$Z$87,2,FALSE),TIAM15_assumptions!$H$2:$V$2,0))</f>
        <v>0</v>
      </c>
      <c r="AT99" s="57">
        <f ca="1">OFFSET(TIAM15_assumptions!$G99,0,MATCH(VLOOKUP(Assumptions!AT$2,TIAM15_assumptions!$Y$3:$Z$87,2,FALSE),TIAM15_assumptions!$H$2:$V$2,0))</f>
        <v>0</v>
      </c>
      <c r="AU99" s="57">
        <f ca="1">OFFSET(TIAM15_assumptions!$G99,0,MATCH(VLOOKUP(Assumptions!AU$2,TIAM15_assumptions!$Y$3:$Z$87,2,FALSE),TIAM15_assumptions!$H$2:$V$2,0))</f>
        <v>0</v>
      </c>
      <c r="AV99" s="57">
        <f ca="1">OFFSET(TIAM15_assumptions!$G99,0,MATCH(VLOOKUP(Assumptions!AV$2,TIAM15_assumptions!$Y$3:$Z$87,2,FALSE),TIAM15_assumptions!$H$2:$V$2,0))</f>
        <v>0</v>
      </c>
      <c r="AW99" s="57">
        <f ca="1">OFFSET(TIAM15_assumptions!$G99,0,MATCH(VLOOKUP(Assumptions!AW$2,TIAM15_assumptions!$Y$3:$Z$87,2,FALSE),TIAM15_assumptions!$H$2:$V$2,0))</f>
        <v>0</v>
      </c>
      <c r="AX99" s="57">
        <f ca="1">OFFSET(TIAM15_assumptions!$G99,0,MATCH(VLOOKUP(Assumptions!AX$2,TIAM15_assumptions!$Y$3:$Z$87,2,FALSE),TIAM15_assumptions!$H$2:$V$2,0))</f>
        <v>0</v>
      </c>
      <c r="AY99" s="57">
        <f ca="1">OFFSET(TIAM15_assumptions!$G99,0,MATCH(VLOOKUP(Assumptions!AY$2,TIAM15_assumptions!$Y$3:$Z$87,2,FALSE),TIAM15_assumptions!$H$2:$V$2,0))</f>
        <v>0</v>
      </c>
      <c r="AZ99" s="57">
        <f ca="1">OFFSET(TIAM15_assumptions!$G99,0,MATCH(VLOOKUP(Assumptions!AZ$2,TIAM15_assumptions!$Y$3:$Z$87,2,FALSE),TIAM15_assumptions!$H$2:$V$2,0))</f>
        <v>0</v>
      </c>
      <c r="BA99" s="57">
        <f ca="1">OFFSET(TIAM15_assumptions!$G99,0,MATCH(VLOOKUP(Assumptions!BA$2,TIAM15_assumptions!$Y$3:$Z$87,2,FALSE),TIAM15_assumptions!$H$2:$V$2,0))</f>
        <v>0</v>
      </c>
      <c r="BD99" s="40">
        <f ca="1">IFERROR(SUMIFS('TRA balance'!E$5:E$40,'TRA balance'!$C$5:$C$40,Assumptions!$C99,'TRA balance'!$D$5:$D$40,Assumptions!$B99)*CY99*H99,"")</f>
        <v>0</v>
      </c>
      <c r="BE99" s="40">
        <f ca="1">IFERROR(SUMIFS('TRA balance'!F$5:F$40,'TRA balance'!$C$5:$C$40,Assumptions!$C99,'TRA balance'!$D$5:$D$40,Assumptions!$B99)*CZ99*I99,"")</f>
        <v>0</v>
      </c>
      <c r="BF99" s="40">
        <f ca="1">IFERROR(SUMIFS('TRA balance'!G$5:G$40,'TRA balance'!$C$5:$C$40,Assumptions!$C99,'TRA balance'!$D$5:$D$40,Assumptions!$B99)*DA99*J99,"")</f>
        <v>0</v>
      </c>
      <c r="BG99" s="40">
        <f ca="1">IFERROR(SUMIFS('TRA balance'!H$5:H$40,'TRA balance'!$C$5:$C$40,Assumptions!$C99,'TRA balance'!$D$5:$D$40,Assumptions!$B99)*DB99*K99,"")</f>
        <v>0</v>
      </c>
      <c r="BH99" s="40">
        <f ca="1">IFERROR(SUMIFS('TRA balance'!I$5:I$40,'TRA balance'!$C$5:$C$40,Assumptions!$C99,'TRA balance'!$D$5:$D$40,Assumptions!$B99)*DC99*L99,"")</f>
        <v>0</v>
      </c>
      <c r="BI99" s="40">
        <f ca="1">IFERROR(SUMIFS('TRA balance'!J$5:J$40,'TRA balance'!$C$5:$C$40,Assumptions!$C99,'TRA balance'!$D$5:$D$40,Assumptions!$B99)*DD99*M99,"")</f>
        <v>0</v>
      </c>
      <c r="BJ99" s="40">
        <f ca="1">IFERROR(SUMIFS('TRA balance'!K$5:K$40,'TRA balance'!$C$5:$C$40,Assumptions!$C99,'TRA balance'!$D$5:$D$40,Assumptions!$B99)*DE99*N99,"")</f>
        <v>0</v>
      </c>
      <c r="BK99" s="40">
        <f ca="1">IFERROR(SUMIFS('TRA balance'!L$5:L$40,'TRA balance'!$C$5:$C$40,Assumptions!$C99,'TRA balance'!$D$5:$D$40,Assumptions!$B99)*DF99*O99,"")</f>
        <v>24.53630136732</v>
      </c>
      <c r="BL99" s="40">
        <f ca="1">IFERROR(SUMIFS('TRA balance'!M$5:M$40,'TRA balance'!$C$5:$C$40,Assumptions!$C99,'TRA balance'!$D$5:$D$40,Assumptions!$B99)*DG99*P99,"")</f>
        <v>0</v>
      </c>
      <c r="BM99" s="40">
        <f ca="1">IFERROR(SUMIFS('TRA balance'!N$5:N$40,'TRA balance'!$C$5:$C$40,Assumptions!$C99,'TRA balance'!$D$5:$D$40,Assumptions!$B99)*DH99*Q99,"")</f>
        <v>0</v>
      </c>
      <c r="BN99" s="40">
        <f ca="1">IFERROR(SUMIFS('TRA balance'!O$5:O$40,'TRA balance'!$C$5:$C$40,Assumptions!$C99,'TRA balance'!$D$5:$D$40,Assumptions!$B99)*DI99*R99,"")</f>
        <v>0</v>
      </c>
      <c r="BO99" s="40">
        <f ca="1">IFERROR(SUMIFS('TRA balance'!P$5:P$40,'TRA balance'!$C$5:$C$40,Assumptions!$C99,'TRA balance'!$D$5:$D$40,Assumptions!$B99)*DJ99*S99,"")</f>
        <v>0</v>
      </c>
      <c r="BP99" s="40">
        <f ca="1">IFERROR(SUMIFS('TRA balance'!Q$5:Q$40,'TRA balance'!$C$5:$C$40,Assumptions!$C99,'TRA balance'!$D$5:$D$40,Assumptions!$B99)*DK99*T99,"")</f>
        <v>0</v>
      </c>
      <c r="BQ99" s="40">
        <f ca="1">IFERROR(SUMIFS('TRA balance'!R$5:R$40,'TRA balance'!$C$5:$C$40,Assumptions!$C99,'TRA balance'!$D$5:$D$40,Assumptions!$B99)*DL99*U99,"")</f>
        <v>0</v>
      </c>
      <c r="BR99" s="40">
        <f ca="1">IFERROR(SUMIFS('TRA balance'!S$5:S$40,'TRA balance'!$C$5:$C$40,Assumptions!$C99,'TRA balance'!$D$5:$D$40,Assumptions!$B99)*DM99*V99,"")</f>
        <v>0</v>
      </c>
      <c r="BS99" s="40">
        <f ca="1">IFERROR(SUMIFS('TRA balance'!T$5:T$40,'TRA balance'!$C$5:$C$40,Assumptions!$C99,'TRA balance'!$D$5:$D$40,Assumptions!$B99)*DN99*W99,"")</f>
        <v>0</v>
      </c>
      <c r="BT99" s="40">
        <f ca="1">IFERROR(SUMIFS('TRA balance'!U$5:U$40,'TRA balance'!$C$5:$C$40,Assumptions!$C99,'TRA balance'!$D$5:$D$40,Assumptions!$B99)*DO99*X99,"")</f>
        <v>0</v>
      </c>
      <c r="BU99" s="40">
        <f ca="1">IFERROR(SUMIFS('TRA balance'!V$5:V$40,'TRA balance'!$C$5:$C$40,Assumptions!$C99,'TRA balance'!$D$5:$D$40,Assumptions!$B99)*DP99*Y99,"")</f>
        <v>0</v>
      </c>
      <c r="BV99" s="40">
        <f ca="1">IFERROR(SUMIFS('TRA balance'!W$5:W$40,'TRA balance'!$C$5:$C$40,Assumptions!$C99,'TRA balance'!$D$5:$D$40,Assumptions!$B99)*DQ99*Z99,"")</f>
        <v>0</v>
      </c>
      <c r="BW99" s="40">
        <f ca="1">IFERROR(SUMIFS('TRA balance'!X$5:X$40,'TRA balance'!$C$5:$C$40,Assumptions!$C99,'TRA balance'!$D$5:$D$40,Assumptions!$B99)*DR99*AA99,"")</f>
        <v>0</v>
      </c>
      <c r="BX99" s="40">
        <f ca="1">IFERROR(SUMIFS('TRA balance'!Y$5:Y$40,'TRA balance'!$C$5:$C$40,Assumptions!$C99,'TRA balance'!$D$5:$D$40,Assumptions!$B99)*DS99*AB99,"")</f>
        <v>0</v>
      </c>
      <c r="BY99" s="40">
        <f ca="1">IFERROR(SUMIFS('TRA balance'!Z$5:Z$40,'TRA balance'!$C$5:$C$40,Assumptions!$C99,'TRA balance'!$D$5:$D$40,Assumptions!$B99)*DT99*AC99,"")</f>
        <v>0</v>
      </c>
      <c r="BZ99" s="40">
        <f ca="1">IFERROR(SUMIFS('TRA balance'!AA$5:AA$40,'TRA balance'!$C$5:$C$40,Assumptions!$C99,'TRA balance'!$D$5:$D$40,Assumptions!$B99)*DU99*AD99,"")</f>
        <v>0</v>
      </c>
      <c r="CA99" s="40">
        <f ca="1">IFERROR(SUMIFS('TRA balance'!AB$5:AB$40,'TRA balance'!$C$5:$C$40,Assumptions!$C99,'TRA balance'!$D$5:$D$40,Assumptions!$B99)*DV99*AE99,"")</f>
        <v>0</v>
      </c>
      <c r="CB99" s="40">
        <f ca="1">IFERROR(SUMIFS('TRA balance'!AC$5:AC$40,'TRA balance'!$C$5:$C$40,Assumptions!$C99,'TRA balance'!$D$5:$D$40,Assumptions!$B99)*DW99*AF99,"")</f>
        <v>0</v>
      </c>
      <c r="CC99" s="40">
        <f ca="1">IFERROR(SUMIFS('TRA balance'!AD$5:AD$40,'TRA balance'!$C$5:$C$40,Assumptions!$C99,'TRA balance'!$D$5:$D$40,Assumptions!$B99)*DX99*AG99,"")</f>
        <v>0</v>
      </c>
      <c r="CD99" s="40">
        <f ca="1">IFERROR(SUMIFS('TRA balance'!AE$5:AE$40,'TRA balance'!$C$5:$C$40,Assumptions!$C99,'TRA balance'!$D$5:$D$40,Assumptions!$B99)*DY99*AH99,"")</f>
        <v>0</v>
      </c>
      <c r="CE99" s="40">
        <f ca="1">IFERROR(SUMIFS('TRA balance'!AF$5:AF$40,'TRA balance'!$C$5:$C$40,Assumptions!$C99,'TRA balance'!$D$5:$D$40,Assumptions!$B99)*DZ99*AI99,"")</f>
        <v>0</v>
      </c>
      <c r="CF99" s="40">
        <f ca="1">IFERROR(SUMIFS('TRA balance'!AG$5:AG$40,'TRA balance'!$C$5:$C$40,Assumptions!$C99,'TRA balance'!$D$5:$D$40,Assumptions!$B99)*EA99*AJ99,"")</f>
        <v>0</v>
      </c>
      <c r="CG99" s="40">
        <f ca="1">IFERROR(SUMIFS('TRA balance'!AH$5:AH$40,'TRA balance'!$C$5:$C$40,Assumptions!$C99,'TRA balance'!$D$5:$D$40,Assumptions!$B99)*EB99*AK99,"")</f>
        <v>0</v>
      </c>
      <c r="CH99" s="40">
        <f ca="1">IFERROR(SUMIFS('TRA balance'!AI$5:AI$40,'TRA balance'!$C$5:$C$40,Assumptions!$C99,'TRA balance'!$D$5:$D$40,Assumptions!$B99)*EC99*AL99,"")</f>
        <v>0</v>
      </c>
      <c r="CI99" s="40">
        <f ca="1">IFERROR(SUMIFS('TRA balance'!AJ$5:AJ$40,'TRA balance'!$C$5:$C$40,Assumptions!$C99,'TRA balance'!$D$5:$D$40,Assumptions!$B99)*ED99*AM99,"")</f>
        <v>0</v>
      </c>
      <c r="CJ99" s="40">
        <f ca="1">IFERROR(SUMIFS('TRA balance'!AK$5:AK$40,'TRA balance'!$C$5:$C$40,Assumptions!$C99,'TRA balance'!$D$5:$D$40,Assumptions!$B99)*EE99*AN99,"")</f>
        <v>0</v>
      </c>
      <c r="CK99" s="40">
        <f ca="1">IFERROR(SUMIFS('TRA balance'!AL$5:AL$40,'TRA balance'!$C$5:$C$40,Assumptions!$C99,'TRA balance'!$D$5:$D$40,Assumptions!$B99)*EF99*AO99,"")</f>
        <v>0</v>
      </c>
      <c r="CL99" s="40">
        <f ca="1">IFERROR(SUMIFS('TRA balance'!AM$5:AM$40,'TRA balance'!$C$5:$C$40,Assumptions!$C99,'TRA balance'!$D$5:$D$40,Assumptions!$B99)*EG99*AP99,"")</f>
        <v>0</v>
      </c>
      <c r="CM99" s="40">
        <f ca="1">IFERROR(SUMIFS('TRA balance'!AN$5:AN$40,'TRA balance'!$C$5:$C$40,Assumptions!$C99,'TRA balance'!$D$5:$D$40,Assumptions!$B99)*EH99*AQ99,"")</f>
        <v>0</v>
      </c>
      <c r="CN99" s="40">
        <f ca="1">IFERROR(SUMIFS('TRA balance'!AO$5:AO$40,'TRA balance'!$C$5:$C$40,Assumptions!$C99,'TRA balance'!$D$5:$D$40,Assumptions!$B99)*EI99*AR99,"")</f>
        <v>0</v>
      </c>
      <c r="CO99" s="40">
        <f ca="1">IFERROR(SUMIFS('TRA balance'!AP$5:AP$40,'TRA balance'!$C$5:$C$40,Assumptions!$C99,'TRA balance'!$D$5:$D$40,Assumptions!$B99)*EJ99*AS99,"")</f>
        <v>0</v>
      </c>
      <c r="CP99" s="40">
        <f ca="1">IFERROR(SUMIFS('TRA balance'!AQ$5:AQ$40,'TRA balance'!$C$5:$C$40,Assumptions!$C99,'TRA balance'!$D$5:$D$40,Assumptions!$B99)*EK99*AT99,"")</f>
        <v>0</v>
      </c>
      <c r="CQ99" s="40">
        <f ca="1">IFERROR(SUMIFS('TRA balance'!AR$5:AR$40,'TRA balance'!$C$5:$C$40,Assumptions!$C99,'TRA balance'!$D$5:$D$40,Assumptions!$B99)*EL99*AU99,"")</f>
        <v>0</v>
      </c>
      <c r="CR99" s="40">
        <f ca="1">IFERROR(SUMIFS('TRA balance'!AS$5:AS$40,'TRA balance'!$C$5:$C$40,Assumptions!$C99,'TRA balance'!$D$5:$D$40,Assumptions!$B99)*EM99*AV99,"")</f>
        <v>0</v>
      </c>
      <c r="CS99" s="40">
        <f ca="1">IFERROR(SUMIFS('TRA balance'!AT$5:AT$40,'TRA balance'!$C$5:$C$40,Assumptions!$C99,'TRA balance'!$D$5:$D$40,Assumptions!$B99)*EN99*AW99,"")</f>
        <v>0</v>
      </c>
      <c r="CT99" s="40">
        <f ca="1">IFERROR(SUMIFS('TRA balance'!AU$5:AU$40,'TRA balance'!$C$5:$C$40,Assumptions!$C99,'TRA balance'!$D$5:$D$40,Assumptions!$B99)*EO99*AX99,"")</f>
        <v>0</v>
      </c>
      <c r="CU99" s="40">
        <f ca="1">IFERROR(SUMIFS('TRA balance'!AV$5:AV$40,'TRA balance'!$C$5:$C$40,Assumptions!$C99,'TRA balance'!$D$5:$D$40,Assumptions!$B99)*EP99*AY99,"")</f>
        <v>0</v>
      </c>
      <c r="CV99" s="40">
        <f ca="1">IFERROR(SUMIFS('TRA balance'!AW$5:AW$40,'TRA balance'!$C$5:$C$40,Assumptions!$C99,'TRA balance'!$D$5:$D$40,Assumptions!$B99)*EQ99*AZ99,"")</f>
        <v>0</v>
      </c>
      <c r="CW99" s="40">
        <f ca="1">IFERROR(SUMIFS('TRA balance'!AX$5:AX$40,'TRA balance'!$C$5:$C$40,Assumptions!$C99,'TRA balance'!$D$5:$D$40,Assumptions!$B99)*ER99*BA99,"")</f>
        <v>0</v>
      </c>
      <c r="CY99" s="39">
        <f ca="1" t="shared" si="86"/>
        <v>1</v>
      </c>
      <c r="CZ99" s="39">
        <f ca="1" t="shared" si="87"/>
        <v>1</v>
      </c>
      <c r="DA99" s="39">
        <f ca="1" t="shared" si="88"/>
        <v>0</v>
      </c>
      <c r="DB99" s="39">
        <f ca="1" t="shared" si="89"/>
        <v>0</v>
      </c>
      <c r="DC99" s="39">
        <f ca="1" t="shared" si="90"/>
        <v>1</v>
      </c>
      <c r="DD99" s="39">
        <f ca="1" t="shared" si="91"/>
        <v>0</v>
      </c>
      <c r="DE99" s="39">
        <f ca="1" t="shared" si="92"/>
        <v>0.5</v>
      </c>
      <c r="DF99" s="39">
        <f ca="1" t="shared" si="93"/>
        <v>0.2</v>
      </c>
      <c r="DG99" s="39">
        <f ca="1" t="shared" si="94"/>
        <v>1</v>
      </c>
      <c r="DH99" s="39">
        <f ca="1" t="shared" si="95"/>
        <v>1</v>
      </c>
      <c r="DI99" s="39">
        <f ca="1" t="shared" si="96"/>
        <v>0</v>
      </c>
      <c r="DJ99" s="39">
        <f ca="1" t="shared" si="97"/>
        <v>0</v>
      </c>
      <c r="DK99" s="39">
        <f ca="1" t="shared" si="98"/>
        <v>0</v>
      </c>
      <c r="DL99" s="39">
        <f ca="1" t="shared" si="99"/>
        <v>1</v>
      </c>
      <c r="DM99" s="39">
        <f ca="1" t="shared" si="100"/>
        <v>0</v>
      </c>
      <c r="DN99" s="39">
        <f ca="1" t="shared" si="101"/>
        <v>1</v>
      </c>
      <c r="DO99" s="39">
        <f ca="1" t="shared" si="102"/>
        <v>0</v>
      </c>
      <c r="DP99" s="39">
        <f ca="1" t="shared" si="103"/>
        <v>0</v>
      </c>
      <c r="DQ99" s="39">
        <f ca="1" t="shared" si="104"/>
        <v>0</v>
      </c>
      <c r="DR99" s="39">
        <f ca="1" t="shared" si="105"/>
        <v>0.5</v>
      </c>
      <c r="DS99" s="39">
        <f ca="1" t="shared" si="106"/>
        <v>1</v>
      </c>
      <c r="DT99" s="39">
        <f ca="1" t="shared" si="107"/>
        <v>0</v>
      </c>
      <c r="DU99" s="39">
        <f ca="1" t="shared" si="108"/>
        <v>0</v>
      </c>
      <c r="DV99" s="39">
        <f ca="1" t="shared" si="109"/>
        <v>1</v>
      </c>
      <c r="DW99" s="39">
        <f ca="1" t="shared" si="110"/>
        <v>0</v>
      </c>
      <c r="DX99" s="39">
        <f ca="1" t="shared" si="111"/>
        <v>1</v>
      </c>
      <c r="DY99" s="39">
        <f ca="1" t="shared" si="112"/>
        <v>1</v>
      </c>
      <c r="DZ99" s="39">
        <f ca="1" t="shared" si="113"/>
        <v>1</v>
      </c>
      <c r="EA99" s="39">
        <f ca="1" t="shared" si="114"/>
        <v>0</v>
      </c>
      <c r="EB99" s="39">
        <f ca="1" t="shared" si="115"/>
        <v>0</v>
      </c>
      <c r="EC99" s="39">
        <f ca="1" t="shared" si="116"/>
        <v>0</v>
      </c>
      <c r="ED99" s="39">
        <f ca="1" t="shared" si="117"/>
        <v>1</v>
      </c>
      <c r="EE99" s="39">
        <f ca="1" t="shared" si="118"/>
        <v>0</v>
      </c>
      <c r="EF99" s="39">
        <f ca="1" t="shared" si="119"/>
        <v>1</v>
      </c>
      <c r="EG99" s="39">
        <f ca="1" t="shared" si="120"/>
        <v>1</v>
      </c>
      <c r="EH99" s="39">
        <f ca="1" t="shared" si="121"/>
        <v>0</v>
      </c>
      <c r="EI99" s="39">
        <f ca="1" t="shared" si="122"/>
        <v>0</v>
      </c>
      <c r="EJ99" s="39">
        <f ca="1" t="shared" si="123"/>
        <v>0</v>
      </c>
      <c r="EK99" s="39">
        <f ca="1" t="shared" si="124"/>
        <v>0</v>
      </c>
      <c r="EL99" s="39">
        <f ca="1" t="shared" si="125"/>
        <v>0</v>
      </c>
      <c r="EM99" s="39">
        <f ca="1" t="shared" si="126"/>
        <v>0</v>
      </c>
      <c r="EN99" s="39">
        <f ca="1" t="shared" si="127"/>
        <v>0</v>
      </c>
      <c r="EO99" s="39">
        <f ca="1" t="shared" si="128"/>
        <v>0</v>
      </c>
      <c r="EP99" s="39">
        <f ca="1" t="shared" si="129"/>
        <v>0</v>
      </c>
      <c r="EQ99" s="39">
        <f ca="1" t="shared" si="130"/>
        <v>0</v>
      </c>
      <c r="ER99" s="39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4" t="str">
        <f t="shared" si="133"/>
        <v/>
      </c>
      <c r="D100" s="55"/>
      <c r="E100" s="67" t="s">
        <v>220</v>
      </c>
      <c r="F100" s="56" t="str">
        <f t="shared" si="146"/>
        <v>Electricity</v>
      </c>
      <c r="G100" s="54"/>
      <c r="H100" s="69" t="str">
        <f ca="1">IF(SUM(H96:H99)=1,"-","&lt;&gt;1!!")</f>
        <v>-</v>
      </c>
      <c r="I100" s="69" t="str">
        <f ca="1" t="shared" ref="I100:BA100" si="147">IF(SUM(I96:I99)=1,"-","&lt;&gt;1!!")</f>
        <v>-</v>
      </c>
      <c r="J100" s="69" t="str">
        <f ca="1" t="shared" si="147"/>
        <v>-</v>
      </c>
      <c r="K100" s="69" t="str">
        <f ca="1" t="shared" si="147"/>
        <v>-</v>
      </c>
      <c r="L100" s="69" t="str">
        <f ca="1" t="shared" si="147"/>
        <v>-</v>
      </c>
      <c r="M100" s="69" t="str">
        <f ca="1" t="shared" si="147"/>
        <v>-</v>
      </c>
      <c r="N100" s="69" t="str">
        <f ca="1" t="shared" si="147"/>
        <v>-</v>
      </c>
      <c r="O100" s="69" t="str">
        <f ca="1" t="shared" si="147"/>
        <v>-</v>
      </c>
      <c r="P100" s="69" t="str">
        <f ca="1" t="shared" si="147"/>
        <v>-</v>
      </c>
      <c r="Q100" s="69" t="str">
        <f ca="1" t="shared" si="147"/>
        <v>-</v>
      </c>
      <c r="R100" s="69" t="str">
        <f ca="1" t="shared" si="147"/>
        <v>-</v>
      </c>
      <c r="S100" s="69" t="str">
        <f ca="1" t="shared" si="147"/>
        <v>-</v>
      </c>
      <c r="T100" s="69" t="str">
        <f ca="1" t="shared" si="147"/>
        <v>-</v>
      </c>
      <c r="U100" s="69" t="str">
        <f ca="1" t="shared" si="147"/>
        <v>-</v>
      </c>
      <c r="V100" s="69" t="str">
        <f ca="1" t="shared" si="147"/>
        <v>-</v>
      </c>
      <c r="W100" s="69" t="str">
        <f ca="1" t="shared" si="147"/>
        <v>-</v>
      </c>
      <c r="X100" s="69" t="str">
        <f ca="1" t="shared" si="147"/>
        <v>-</v>
      </c>
      <c r="Y100" s="69" t="str">
        <f ca="1" t="shared" si="147"/>
        <v>-</v>
      </c>
      <c r="Z100" s="69" t="str">
        <f ca="1" t="shared" si="147"/>
        <v>-</v>
      </c>
      <c r="AA100" s="69" t="str">
        <f ca="1" t="shared" si="147"/>
        <v>-</v>
      </c>
      <c r="AB100" s="69" t="str">
        <f ca="1" t="shared" si="147"/>
        <v>-</v>
      </c>
      <c r="AC100" s="69" t="str">
        <f ca="1" t="shared" si="147"/>
        <v>-</v>
      </c>
      <c r="AD100" s="69" t="str">
        <f ca="1" t="shared" si="147"/>
        <v>-</v>
      </c>
      <c r="AE100" s="69" t="str">
        <f ca="1" t="shared" si="147"/>
        <v>-</v>
      </c>
      <c r="AF100" s="69" t="str">
        <f ca="1" t="shared" si="147"/>
        <v>-</v>
      </c>
      <c r="AG100" s="69" t="str">
        <f ca="1" t="shared" si="147"/>
        <v>-</v>
      </c>
      <c r="AH100" s="69" t="str">
        <f ca="1" t="shared" si="147"/>
        <v>-</v>
      </c>
      <c r="AI100" s="69" t="str">
        <f ca="1" t="shared" si="147"/>
        <v>-</v>
      </c>
      <c r="AJ100" s="69" t="str">
        <f ca="1" t="shared" si="147"/>
        <v>-</v>
      </c>
      <c r="AK100" s="69" t="str">
        <f ca="1" t="shared" si="147"/>
        <v>-</v>
      </c>
      <c r="AL100" s="69" t="str">
        <f ca="1" t="shared" si="147"/>
        <v>-</v>
      </c>
      <c r="AM100" s="69" t="str">
        <f ca="1" t="shared" si="147"/>
        <v>-</v>
      </c>
      <c r="AN100" s="69" t="str">
        <f ca="1" t="shared" si="147"/>
        <v>-</v>
      </c>
      <c r="AO100" s="69" t="str">
        <f ca="1" t="shared" si="147"/>
        <v>-</v>
      </c>
      <c r="AP100" s="69" t="str">
        <f ca="1" t="shared" si="147"/>
        <v>-</v>
      </c>
      <c r="AQ100" s="69" t="str">
        <f ca="1" t="shared" si="147"/>
        <v>-</v>
      </c>
      <c r="AR100" s="69" t="str">
        <f ca="1" t="shared" si="147"/>
        <v>-</v>
      </c>
      <c r="AS100" s="69" t="str">
        <f ca="1" t="shared" si="147"/>
        <v>-</v>
      </c>
      <c r="AT100" s="69" t="str">
        <f ca="1" t="shared" si="147"/>
        <v>-</v>
      </c>
      <c r="AU100" s="69" t="str">
        <f ca="1" t="shared" si="147"/>
        <v>-</v>
      </c>
      <c r="AV100" s="69" t="str">
        <f ca="1" t="shared" si="147"/>
        <v>-</v>
      </c>
      <c r="AW100" s="69" t="str">
        <f ca="1" t="shared" si="147"/>
        <v>-</v>
      </c>
      <c r="AX100" s="69" t="str">
        <f ca="1" t="shared" si="147"/>
        <v>-</v>
      </c>
      <c r="AY100" s="69" t="str">
        <f ca="1" t="shared" si="147"/>
        <v>-</v>
      </c>
      <c r="AZ100" s="69" t="str">
        <f ca="1" t="shared" si="147"/>
        <v>-</v>
      </c>
      <c r="BA100" s="69" t="str">
        <f ca="1" t="shared" si="147"/>
        <v>-</v>
      </c>
      <c r="BD100" s="40" t="str">
        <f ca="1">IFERROR(SUMIFS('TRA balance'!E$5:E$40,'TRA balance'!$C$5:$C$40,Assumptions!$C100,'TRA balance'!$D$5:$D$40,Assumptions!$B100)*CY100*H100,"")</f>
        <v/>
      </c>
      <c r="BE100" s="40" t="str">
        <f ca="1">IFERROR(SUMIFS('TRA balance'!F$5:F$40,'TRA balance'!$C$5:$C$40,Assumptions!$C100,'TRA balance'!$D$5:$D$40,Assumptions!$B100)*CZ100*I100,"")</f>
        <v/>
      </c>
      <c r="BF100" s="40" t="str">
        <f ca="1">IFERROR(SUMIFS('TRA balance'!G$5:G$40,'TRA balance'!$C$5:$C$40,Assumptions!$C100,'TRA balance'!$D$5:$D$40,Assumptions!$B100)*DA100*J100,"")</f>
        <v/>
      </c>
      <c r="BG100" s="40" t="str">
        <f ca="1">IFERROR(SUMIFS('TRA balance'!H$5:H$40,'TRA balance'!$C$5:$C$40,Assumptions!$C100,'TRA balance'!$D$5:$D$40,Assumptions!$B100)*DB100*K100,"")</f>
        <v/>
      </c>
      <c r="BH100" s="40" t="str">
        <f ca="1">IFERROR(SUMIFS('TRA balance'!I$5:I$40,'TRA balance'!$C$5:$C$40,Assumptions!$C100,'TRA balance'!$D$5:$D$40,Assumptions!$B100)*DC100*L100,"")</f>
        <v/>
      </c>
      <c r="BI100" s="40" t="str">
        <f ca="1">IFERROR(SUMIFS('TRA balance'!J$5:J$40,'TRA balance'!$C$5:$C$40,Assumptions!$C100,'TRA balance'!$D$5:$D$40,Assumptions!$B100)*DD100*M100,"")</f>
        <v/>
      </c>
      <c r="BJ100" s="40" t="str">
        <f ca="1">IFERROR(SUMIFS('TRA balance'!K$5:K$40,'TRA balance'!$C$5:$C$40,Assumptions!$C100,'TRA balance'!$D$5:$D$40,Assumptions!$B100)*DE100*N100,"")</f>
        <v/>
      </c>
      <c r="BK100" s="40" t="str">
        <f ca="1">IFERROR(SUMIFS('TRA balance'!L$5:L$40,'TRA balance'!$C$5:$C$40,Assumptions!$C100,'TRA balance'!$D$5:$D$40,Assumptions!$B100)*DF100*O100,"")</f>
        <v/>
      </c>
      <c r="BL100" s="40" t="str">
        <f ca="1">IFERROR(SUMIFS('TRA balance'!M$5:M$40,'TRA balance'!$C$5:$C$40,Assumptions!$C100,'TRA balance'!$D$5:$D$40,Assumptions!$B100)*DG100*P100,"")</f>
        <v/>
      </c>
      <c r="BM100" s="40" t="str">
        <f ca="1">IFERROR(SUMIFS('TRA balance'!N$5:N$40,'TRA balance'!$C$5:$C$40,Assumptions!$C100,'TRA balance'!$D$5:$D$40,Assumptions!$B100)*DH100*Q100,"")</f>
        <v/>
      </c>
      <c r="BN100" s="40" t="str">
        <f ca="1">IFERROR(SUMIFS('TRA balance'!O$5:O$40,'TRA balance'!$C$5:$C$40,Assumptions!$C100,'TRA balance'!$D$5:$D$40,Assumptions!$B100)*DI100*R100,"")</f>
        <v/>
      </c>
      <c r="BO100" s="40" t="str">
        <f ca="1">IFERROR(SUMIFS('TRA balance'!P$5:P$40,'TRA balance'!$C$5:$C$40,Assumptions!$C100,'TRA balance'!$D$5:$D$40,Assumptions!$B100)*DJ100*S100,"")</f>
        <v/>
      </c>
      <c r="BP100" s="40" t="str">
        <f ca="1">IFERROR(SUMIFS('TRA balance'!Q$5:Q$40,'TRA balance'!$C$5:$C$40,Assumptions!$C100,'TRA balance'!$D$5:$D$40,Assumptions!$B100)*DK100*T100,"")</f>
        <v/>
      </c>
      <c r="BQ100" s="40" t="str">
        <f ca="1">IFERROR(SUMIFS('TRA balance'!R$5:R$40,'TRA balance'!$C$5:$C$40,Assumptions!$C100,'TRA balance'!$D$5:$D$40,Assumptions!$B100)*DL100*U100,"")</f>
        <v/>
      </c>
      <c r="BR100" s="40" t="str">
        <f ca="1">IFERROR(SUMIFS('TRA balance'!S$5:S$40,'TRA balance'!$C$5:$C$40,Assumptions!$C100,'TRA balance'!$D$5:$D$40,Assumptions!$B100)*DM100*V100,"")</f>
        <v/>
      </c>
      <c r="BS100" s="40" t="str">
        <f ca="1">IFERROR(SUMIFS('TRA balance'!T$5:T$40,'TRA balance'!$C$5:$C$40,Assumptions!$C100,'TRA balance'!$D$5:$D$40,Assumptions!$B100)*DN100*W100,"")</f>
        <v/>
      </c>
      <c r="BT100" s="40" t="str">
        <f ca="1">IFERROR(SUMIFS('TRA balance'!U$5:U$40,'TRA balance'!$C$5:$C$40,Assumptions!$C100,'TRA balance'!$D$5:$D$40,Assumptions!$B100)*DO100*X100,"")</f>
        <v/>
      </c>
      <c r="BU100" s="40" t="str">
        <f ca="1">IFERROR(SUMIFS('TRA balance'!V$5:V$40,'TRA balance'!$C$5:$C$40,Assumptions!$C100,'TRA balance'!$D$5:$D$40,Assumptions!$B100)*DP100*Y100,"")</f>
        <v/>
      </c>
      <c r="BV100" s="40" t="str">
        <f ca="1">IFERROR(SUMIFS('TRA balance'!W$5:W$40,'TRA balance'!$C$5:$C$40,Assumptions!$C100,'TRA balance'!$D$5:$D$40,Assumptions!$B100)*DQ100*Z100,"")</f>
        <v/>
      </c>
      <c r="BW100" s="40" t="str">
        <f ca="1">IFERROR(SUMIFS('TRA balance'!X$5:X$40,'TRA balance'!$C$5:$C$40,Assumptions!$C100,'TRA balance'!$D$5:$D$40,Assumptions!$B100)*DR100*AA100,"")</f>
        <v/>
      </c>
      <c r="BX100" s="40" t="str">
        <f ca="1">IFERROR(SUMIFS('TRA balance'!Y$5:Y$40,'TRA balance'!$C$5:$C$40,Assumptions!$C100,'TRA balance'!$D$5:$D$40,Assumptions!$B100)*DS100*AB100,"")</f>
        <v/>
      </c>
      <c r="BY100" s="40" t="str">
        <f ca="1">IFERROR(SUMIFS('TRA balance'!Z$5:Z$40,'TRA balance'!$C$5:$C$40,Assumptions!$C100,'TRA balance'!$D$5:$D$40,Assumptions!$B100)*DT100*AC100,"")</f>
        <v/>
      </c>
      <c r="BZ100" s="40" t="str">
        <f ca="1">IFERROR(SUMIFS('TRA balance'!AA$5:AA$40,'TRA balance'!$C$5:$C$40,Assumptions!$C100,'TRA balance'!$D$5:$D$40,Assumptions!$B100)*DU100*AD100,"")</f>
        <v/>
      </c>
      <c r="CA100" s="40" t="str">
        <f ca="1">IFERROR(SUMIFS('TRA balance'!AB$5:AB$40,'TRA balance'!$C$5:$C$40,Assumptions!$C100,'TRA balance'!$D$5:$D$40,Assumptions!$B100)*DV100*AE100,"")</f>
        <v/>
      </c>
      <c r="CB100" s="40" t="str">
        <f ca="1">IFERROR(SUMIFS('TRA balance'!AC$5:AC$40,'TRA balance'!$C$5:$C$40,Assumptions!$C100,'TRA balance'!$D$5:$D$40,Assumptions!$B100)*DW100*AF100,"")</f>
        <v/>
      </c>
      <c r="CC100" s="40" t="str">
        <f ca="1">IFERROR(SUMIFS('TRA balance'!AD$5:AD$40,'TRA balance'!$C$5:$C$40,Assumptions!$C100,'TRA balance'!$D$5:$D$40,Assumptions!$B100)*DX100*AG100,"")</f>
        <v/>
      </c>
      <c r="CD100" s="40" t="str">
        <f ca="1">IFERROR(SUMIFS('TRA balance'!AE$5:AE$40,'TRA balance'!$C$5:$C$40,Assumptions!$C100,'TRA balance'!$D$5:$D$40,Assumptions!$B100)*DY100*AH100,"")</f>
        <v/>
      </c>
      <c r="CE100" s="40" t="str">
        <f ca="1">IFERROR(SUMIFS('TRA balance'!AF$5:AF$40,'TRA balance'!$C$5:$C$40,Assumptions!$C100,'TRA balance'!$D$5:$D$40,Assumptions!$B100)*DZ100*AI100,"")</f>
        <v/>
      </c>
      <c r="CF100" s="40" t="str">
        <f ca="1">IFERROR(SUMIFS('TRA balance'!AG$5:AG$40,'TRA balance'!$C$5:$C$40,Assumptions!$C100,'TRA balance'!$D$5:$D$40,Assumptions!$B100)*EA100*AJ100,"")</f>
        <v/>
      </c>
      <c r="CG100" s="40" t="str">
        <f ca="1">IFERROR(SUMIFS('TRA balance'!AH$5:AH$40,'TRA balance'!$C$5:$C$40,Assumptions!$C100,'TRA balance'!$D$5:$D$40,Assumptions!$B100)*EB100*AK100,"")</f>
        <v/>
      </c>
      <c r="CH100" s="40" t="str">
        <f ca="1">IFERROR(SUMIFS('TRA balance'!AI$5:AI$40,'TRA balance'!$C$5:$C$40,Assumptions!$C100,'TRA balance'!$D$5:$D$40,Assumptions!$B100)*EC100*AL100,"")</f>
        <v/>
      </c>
      <c r="CI100" s="40" t="str">
        <f ca="1">IFERROR(SUMIFS('TRA balance'!AJ$5:AJ$40,'TRA balance'!$C$5:$C$40,Assumptions!$C100,'TRA balance'!$D$5:$D$40,Assumptions!$B100)*ED100*AM100,"")</f>
        <v/>
      </c>
      <c r="CJ100" s="40" t="str">
        <f ca="1">IFERROR(SUMIFS('TRA balance'!AK$5:AK$40,'TRA balance'!$C$5:$C$40,Assumptions!$C100,'TRA balance'!$D$5:$D$40,Assumptions!$B100)*EE100*AN100,"")</f>
        <v/>
      </c>
      <c r="CK100" s="40" t="str">
        <f ca="1">IFERROR(SUMIFS('TRA balance'!AL$5:AL$40,'TRA balance'!$C$5:$C$40,Assumptions!$C100,'TRA balance'!$D$5:$D$40,Assumptions!$B100)*EF100*AO100,"")</f>
        <v/>
      </c>
      <c r="CL100" s="40" t="str">
        <f ca="1">IFERROR(SUMIFS('TRA balance'!AM$5:AM$40,'TRA balance'!$C$5:$C$40,Assumptions!$C100,'TRA balance'!$D$5:$D$40,Assumptions!$B100)*EG100*AP100,"")</f>
        <v/>
      </c>
      <c r="CM100" s="40" t="str">
        <f ca="1">IFERROR(SUMIFS('TRA balance'!AN$5:AN$40,'TRA balance'!$C$5:$C$40,Assumptions!$C100,'TRA balance'!$D$5:$D$40,Assumptions!$B100)*EH100*AQ100,"")</f>
        <v/>
      </c>
      <c r="CN100" s="40" t="str">
        <f ca="1">IFERROR(SUMIFS('TRA balance'!AO$5:AO$40,'TRA balance'!$C$5:$C$40,Assumptions!$C100,'TRA balance'!$D$5:$D$40,Assumptions!$B100)*EI100*AR100,"")</f>
        <v/>
      </c>
      <c r="CO100" s="40" t="str">
        <f ca="1">IFERROR(SUMIFS('TRA balance'!AP$5:AP$40,'TRA balance'!$C$5:$C$40,Assumptions!$C100,'TRA balance'!$D$5:$D$40,Assumptions!$B100)*EJ100*AS100,"")</f>
        <v/>
      </c>
      <c r="CP100" s="40" t="str">
        <f ca="1">IFERROR(SUMIFS('TRA balance'!AQ$5:AQ$40,'TRA balance'!$C$5:$C$40,Assumptions!$C100,'TRA balance'!$D$5:$D$40,Assumptions!$B100)*EK100*AT100,"")</f>
        <v/>
      </c>
      <c r="CQ100" s="40" t="str">
        <f ca="1">IFERROR(SUMIFS('TRA balance'!AR$5:AR$40,'TRA balance'!$C$5:$C$40,Assumptions!$C100,'TRA balance'!$D$5:$D$40,Assumptions!$B100)*EL100*AU100,"")</f>
        <v/>
      </c>
      <c r="CR100" s="40" t="str">
        <f ca="1">IFERROR(SUMIFS('TRA balance'!AS$5:AS$40,'TRA balance'!$C$5:$C$40,Assumptions!$C100,'TRA balance'!$D$5:$D$40,Assumptions!$B100)*EM100*AV100,"")</f>
        <v/>
      </c>
      <c r="CS100" s="40" t="str">
        <f ca="1">IFERROR(SUMIFS('TRA balance'!AT$5:AT$40,'TRA balance'!$C$5:$C$40,Assumptions!$C100,'TRA balance'!$D$5:$D$40,Assumptions!$B100)*EN100*AW100,"")</f>
        <v/>
      </c>
      <c r="CT100" s="40" t="str">
        <f ca="1">IFERROR(SUMIFS('TRA balance'!AU$5:AU$40,'TRA balance'!$C$5:$C$40,Assumptions!$C100,'TRA balance'!$D$5:$D$40,Assumptions!$B100)*EO100*AX100,"")</f>
        <v/>
      </c>
      <c r="CU100" s="40" t="str">
        <f ca="1">IFERROR(SUMIFS('TRA balance'!AV$5:AV$40,'TRA balance'!$C$5:$C$40,Assumptions!$C100,'TRA balance'!$D$5:$D$40,Assumptions!$B100)*EP100*AY100,"")</f>
        <v/>
      </c>
      <c r="CV100" s="40" t="str">
        <f ca="1">IFERROR(SUMIFS('TRA balance'!AW$5:AW$40,'TRA balance'!$C$5:$C$40,Assumptions!$C100,'TRA balance'!$D$5:$D$40,Assumptions!$B100)*EQ100*AZ100,"")</f>
        <v/>
      </c>
      <c r="CW100" s="40" t="str">
        <f ca="1">IFERROR(SUMIFS('TRA balance'!AX$5:AX$40,'TRA balance'!$C$5:$C$40,Assumptions!$C100,'TRA balance'!$D$5:$D$40,Assumptions!$B100)*ER100*BA100,"")</f>
        <v/>
      </c>
      <c r="CY100" s="39">
        <f ca="1" t="shared" si="86"/>
        <v>1</v>
      </c>
      <c r="CZ100" s="39">
        <f ca="1" t="shared" si="87"/>
        <v>1</v>
      </c>
      <c r="DA100" s="39">
        <f ca="1" t="shared" si="88"/>
        <v>1</v>
      </c>
      <c r="DB100" s="39">
        <f ca="1" t="shared" si="89"/>
        <v>1</v>
      </c>
      <c r="DC100" s="39">
        <f ca="1" t="shared" si="90"/>
        <v>1</v>
      </c>
      <c r="DD100" s="39">
        <f ca="1" t="shared" si="91"/>
        <v>1</v>
      </c>
      <c r="DE100" s="39">
        <f ca="1" t="shared" si="92"/>
        <v>1</v>
      </c>
      <c r="DF100" s="39">
        <f ca="1" t="shared" si="93"/>
        <v>1</v>
      </c>
      <c r="DG100" s="39">
        <f ca="1" t="shared" si="94"/>
        <v>1</v>
      </c>
      <c r="DH100" s="39">
        <f ca="1" t="shared" si="95"/>
        <v>1</v>
      </c>
      <c r="DI100" s="39">
        <f ca="1" t="shared" si="96"/>
        <v>1</v>
      </c>
      <c r="DJ100" s="39">
        <f ca="1" t="shared" si="97"/>
        <v>1</v>
      </c>
      <c r="DK100" s="39">
        <f ca="1" t="shared" si="98"/>
        <v>1</v>
      </c>
      <c r="DL100" s="39">
        <f ca="1" t="shared" si="99"/>
        <v>1</v>
      </c>
      <c r="DM100" s="39">
        <f ca="1" t="shared" si="100"/>
        <v>1</v>
      </c>
      <c r="DN100" s="39">
        <f ca="1" t="shared" si="101"/>
        <v>1</v>
      </c>
      <c r="DO100" s="39">
        <f ca="1" t="shared" si="102"/>
        <v>1</v>
      </c>
      <c r="DP100" s="39">
        <f ca="1" t="shared" si="103"/>
        <v>1</v>
      </c>
      <c r="DQ100" s="39">
        <f ca="1" t="shared" si="104"/>
        <v>1</v>
      </c>
      <c r="DR100" s="39">
        <f ca="1" t="shared" si="105"/>
        <v>1</v>
      </c>
      <c r="DS100" s="39">
        <f ca="1" t="shared" si="106"/>
        <v>1</v>
      </c>
      <c r="DT100" s="39">
        <f ca="1" t="shared" si="107"/>
        <v>1</v>
      </c>
      <c r="DU100" s="39">
        <f ca="1" t="shared" si="108"/>
        <v>1</v>
      </c>
      <c r="DV100" s="39">
        <f ca="1" t="shared" si="109"/>
        <v>1</v>
      </c>
      <c r="DW100" s="39">
        <f ca="1" t="shared" si="110"/>
        <v>1</v>
      </c>
      <c r="DX100" s="39">
        <f ca="1" t="shared" si="111"/>
        <v>1</v>
      </c>
      <c r="DY100" s="39">
        <f ca="1" t="shared" si="112"/>
        <v>1</v>
      </c>
      <c r="DZ100" s="39">
        <f ca="1" t="shared" si="113"/>
        <v>1</v>
      </c>
      <c r="EA100" s="39">
        <f ca="1" t="shared" si="114"/>
        <v>1</v>
      </c>
      <c r="EB100" s="39">
        <f ca="1" t="shared" si="115"/>
        <v>1</v>
      </c>
      <c r="EC100" s="39">
        <f ca="1" t="shared" si="116"/>
        <v>1</v>
      </c>
      <c r="ED100" s="39">
        <f ca="1" t="shared" si="117"/>
        <v>1</v>
      </c>
      <c r="EE100" s="39">
        <f ca="1" t="shared" si="118"/>
        <v>1</v>
      </c>
      <c r="EF100" s="39">
        <f ca="1" t="shared" si="119"/>
        <v>1</v>
      </c>
      <c r="EG100" s="39">
        <f ca="1" t="shared" si="120"/>
        <v>1</v>
      </c>
      <c r="EH100" s="39">
        <f ca="1" t="shared" si="121"/>
        <v>1</v>
      </c>
      <c r="EI100" s="39">
        <f ca="1" t="shared" si="122"/>
        <v>1</v>
      </c>
      <c r="EJ100" s="39">
        <f ca="1" t="shared" si="123"/>
        <v>1</v>
      </c>
      <c r="EK100" s="39">
        <f ca="1" t="shared" si="124"/>
        <v>1</v>
      </c>
      <c r="EL100" s="39">
        <f ca="1" t="shared" si="125"/>
        <v>1</v>
      </c>
      <c r="EM100" s="39">
        <f ca="1" t="shared" si="126"/>
        <v>1</v>
      </c>
      <c r="EN100" s="39">
        <f ca="1" t="shared" si="127"/>
        <v>1</v>
      </c>
      <c r="EO100" s="39">
        <f ca="1" t="shared" si="128"/>
        <v>1</v>
      </c>
      <c r="EP100" s="39">
        <f ca="1" t="shared" si="129"/>
        <v>1</v>
      </c>
      <c r="EQ100" s="39">
        <f ca="1" t="shared" si="130"/>
        <v>1</v>
      </c>
      <c r="ER100" s="39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4" t="str">
        <f t="shared" si="133"/>
        <v>TT</v>
      </c>
      <c r="D101" s="55" t="s">
        <v>192</v>
      </c>
      <c r="E101" s="55" t="s">
        <v>193</v>
      </c>
      <c r="F101" s="56" t="str">
        <f t="shared" si="146"/>
        <v>Electricity</v>
      </c>
      <c r="G101" s="54" t="s">
        <v>194</v>
      </c>
      <c r="H101" s="57">
        <f ca="1">OFFSET(TIAM15_assumptions!$G101,0,MATCH(VLOOKUP(Assumptions!H$2,TIAM15_assumptions!$Y$3:$Z$87,2,FALSE),TIAM15_assumptions!$H$2:$V$2,0))</f>
        <v>0.3</v>
      </c>
      <c r="I101" s="57">
        <f ca="1">OFFSET(TIAM15_assumptions!$G101,0,MATCH(VLOOKUP(Assumptions!I$2,TIAM15_assumptions!$Y$3:$Z$87,2,FALSE),TIAM15_assumptions!$H$2:$V$2,0))</f>
        <v>0.3</v>
      </c>
      <c r="J101" s="57">
        <f ca="1">OFFSET(TIAM15_assumptions!$G101,0,MATCH(VLOOKUP(Assumptions!J$2,TIAM15_assumptions!$Y$3:$Z$87,2,FALSE),TIAM15_assumptions!$H$2:$V$2,0))</f>
        <v>0.3</v>
      </c>
      <c r="K101" s="57">
        <f ca="1">OFFSET(TIAM15_assumptions!$G101,0,MATCH(VLOOKUP(Assumptions!K$2,TIAM15_assumptions!$Y$3:$Z$87,2,FALSE),TIAM15_assumptions!$H$2:$V$2,0))</f>
        <v>0</v>
      </c>
      <c r="L101" s="57">
        <f ca="1">OFFSET(TIAM15_assumptions!$G101,0,MATCH(VLOOKUP(Assumptions!L$2,TIAM15_assumptions!$Y$3:$Z$87,2,FALSE),TIAM15_assumptions!$H$2:$V$2,0))</f>
        <v>0.2</v>
      </c>
      <c r="M101" s="57">
        <f ca="1">OFFSET(TIAM15_assumptions!$G101,0,MATCH(VLOOKUP(Assumptions!M$2,TIAM15_assumptions!$Y$3:$Z$87,2,FALSE),TIAM15_assumptions!$H$2:$V$2,0))</f>
        <v>0</v>
      </c>
      <c r="N101" s="57">
        <f ca="1">OFFSET(TIAM15_assumptions!$G101,0,MATCH(VLOOKUP(Assumptions!N$2,TIAM15_assumptions!$Y$3:$Z$87,2,FALSE),TIAM15_assumptions!$H$2:$V$2,0))</f>
        <v>0.05</v>
      </c>
      <c r="O101" s="57">
        <f ca="1">OFFSET(TIAM15_assumptions!$G101,0,MATCH(VLOOKUP(Assumptions!O$2,TIAM15_assumptions!$Y$3:$Z$87,2,FALSE),TIAM15_assumptions!$H$2:$V$2,0))</f>
        <v>0.2</v>
      </c>
      <c r="P101" s="57">
        <f ca="1">OFFSET(TIAM15_assumptions!$G101,0,MATCH(VLOOKUP(Assumptions!P$2,TIAM15_assumptions!$Y$3:$Z$87,2,FALSE),TIAM15_assumptions!$H$2:$V$2,0))</f>
        <v>0.1</v>
      </c>
      <c r="Q101" s="57">
        <f ca="1">OFFSET(TIAM15_assumptions!$G101,0,MATCH(VLOOKUP(Assumptions!Q$2,TIAM15_assumptions!$Y$3:$Z$87,2,FALSE),TIAM15_assumptions!$H$2:$V$2,0))</f>
        <v>0.1</v>
      </c>
      <c r="R101" s="57">
        <f ca="1">OFFSET(TIAM15_assumptions!$G101,0,MATCH(VLOOKUP(Assumptions!R$2,TIAM15_assumptions!$Y$3:$Z$87,2,FALSE),TIAM15_assumptions!$H$2:$V$2,0))</f>
        <v>0</v>
      </c>
      <c r="S101" s="57">
        <f ca="1">OFFSET(TIAM15_assumptions!$G101,0,MATCH(VLOOKUP(Assumptions!S$2,TIAM15_assumptions!$Y$3:$Z$87,2,FALSE),TIAM15_assumptions!$H$2:$V$2,0))</f>
        <v>0</v>
      </c>
      <c r="T101" s="57">
        <f ca="1">OFFSET(TIAM15_assumptions!$G101,0,MATCH(VLOOKUP(Assumptions!T$2,TIAM15_assumptions!$Y$3:$Z$87,2,FALSE),TIAM15_assumptions!$H$2:$V$2,0))</f>
        <v>0</v>
      </c>
      <c r="U101" s="57">
        <f ca="1">OFFSET(TIAM15_assumptions!$G101,0,MATCH(VLOOKUP(Assumptions!U$2,TIAM15_assumptions!$Y$3:$Z$87,2,FALSE),TIAM15_assumptions!$H$2:$V$2,0))</f>
        <v>0.1</v>
      </c>
      <c r="V101" s="57">
        <f ca="1">OFFSET(TIAM15_assumptions!$G101,0,MATCH(VLOOKUP(Assumptions!V$2,TIAM15_assumptions!$Y$3:$Z$87,2,FALSE),TIAM15_assumptions!$H$2:$V$2,0))</f>
        <v>0</v>
      </c>
      <c r="W101" s="57">
        <f ca="1">OFFSET(TIAM15_assumptions!$G101,0,MATCH(VLOOKUP(Assumptions!W$2,TIAM15_assumptions!$Y$3:$Z$87,2,FALSE),TIAM15_assumptions!$H$2:$V$2,0))</f>
        <v>0.3</v>
      </c>
      <c r="X101" s="57">
        <f ca="1">OFFSET(TIAM15_assumptions!$G101,0,MATCH(VLOOKUP(Assumptions!X$2,TIAM15_assumptions!$Y$3:$Z$87,2,FALSE),TIAM15_assumptions!$H$2:$V$2,0))</f>
        <v>0</v>
      </c>
      <c r="Y101" s="57">
        <f ca="1">OFFSET(TIAM15_assumptions!$G101,0,MATCH(VLOOKUP(Assumptions!Y$2,TIAM15_assumptions!$Y$3:$Z$87,2,FALSE),TIAM15_assumptions!$H$2:$V$2,0))</f>
        <v>0</v>
      </c>
      <c r="Z101" s="57">
        <f ca="1">OFFSET(TIAM15_assumptions!$G101,0,MATCH(VLOOKUP(Assumptions!Z$2,TIAM15_assumptions!$Y$3:$Z$87,2,FALSE),TIAM15_assumptions!$H$2:$V$2,0))</f>
        <v>0</v>
      </c>
      <c r="AA101" s="57">
        <f ca="1">OFFSET(TIAM15_assumptions!$G101,0,MATCH(VLOOKUP(Assumptions!AA$2,TIAM15_assumptions!$Y$3:$Z$87,2,FALSE),TIAM15_assumptions!$H$2:$V$2,0))</f>
        <v>0.05</v>
      </c>
      <c r="AB101" s="57">
        <f ca="1">OFFSET(TIAM15_assumptions!$G101,0,MATCH(VLOOKUP(Assumptions!AB$2,TIAM15_assumptions!$Y$3:$Z$87,2,FALSE),TIAM15_assumptions!$H$2:$V$2,0))</f>
        <v>0.1</v>
      </c>
      <c r="AC101" s="57">
        <f ca="1">OFFSET(TIAM15_assumptions!$G101,0,MATCH(VLOOKUP(Assumptions!AC$2,TIAM15_assumptions!$Y$3:$Z$87,2,FALSE),TIAM15_assumptions!$H$2:$V$2,0))</f>
        <v>0</v>
      </c>
      <c r="AD101" s="57">
        <f ca="1">OFFSET(TIAM15_assumptions!$G101,0,MATCH(VLOOKUP(Assumptions!AD$2,TIAM15_assumptions!$Y$3:$Z$87,2,FALSE),TIAM15_assumptions!$H$2:$V$2,0))</f>
        <v>0</v>
      </c>
      <c r="AE101" s="57">
        <f ca="1">OFFSET(TIAM15_assumptions!$G101,0,MATCH(VLOOKUP(Assumptions!AE$2,TIAM15_assumptions!$Y$3:$Z$87,2,FALSE),TIAM15_assumptions!$H$2:$V$2,0))</f>
        <v>0.1</v>
      </c>
      <c r="AF101" s="57">
        <f ca="1">OFFSET(TIAM15_assumptions!$G101,0,MATCH(VLOOKUP(Assumptions!AF$2,TIAM15_assumptions!$Y$3:$Z$87,2,FALSE),TIAM15_assumptions!$H$2:$V$2,0))</f>
        <v>0.05</v>
      </c>
      <c r="AG101" s="57">
        <f ca="1">OFFSET(TIAM15_assumptions!$G101,0,MATCH(VLOOKUP(Assumptions!AG$2,TIAM15_assumptions!$Y$3:$Z$87,2,FALSE),TIAM15_assumptions!$H$2:$V$2,0))</f>
        <v>0.2</v>
      </c>
      <c r="AH101" s="57">
        <f ca="1">OFFSET(TIAM15_assumptions!$G101,0,MATCH(VLOOKUP(Assumptions!AH$2,TIAM15_assumptions!$Y$3:$Z$87,2,FALSE),TIAM15_assumptions!$H$2:$V$2,0))</f>
        <v>0.1</v>
      </c>
      <c r="AI101" s="57">
        <f ca="1">OFFSET(TIAM15_assumptions!$G101,0,MATCH(VLOOKUP(Assumptions!AI$2,TIAM15_assumptions!$Y$3:$Z$87,2,FALSE),TIAM15_assumptions!$H$2:$V$2,0))</f>
        <v>0.3</v>
      </c>
      <c r="AJ101" s="57">
        <f ca="1">OFFSET(TIAM15_assumptions!$G101,0,MATCH(VLOOKUP(Assumptions!AJ$2,TIAM15_assumptions!$Y$3:$Z$87,2,FALSE),TIAM15_assumptions!$H$2:$V$2,0))</f>
        <v>0</v>
      </c>
      <c r="AK101" s="57">
        <f ca="1">OFFSET(TIAM15_assumptions!$G101,0,MATCH(VLOOKUP(Assumptions!AK$2,TIAM15_assumptions!$Y$3:$Z$87,2,FALSE),TIAM15_assumptions!$H$2:$V$2,0))</f>
        <v>0</v>
      </c>
      <c r="AL101" s="57">
        <f ca="1">OFFSET(TIAM15_assumptions!$G101,0,MATCH(VLOOKUP(Assumptions!AL$2,TIAM15_assumptions!$Y$3:$Z$87,2,FALSE),TIAM15_assumptions!$H$2:$V$2,0))</f>
        <v>0</v>
      </c>
      <c r="AM101" s="57">
        <f ca="1">OFFSET(TIAM15_assumptions!$G101,0,MATCH(VLOOKUP(Assumptions!AM$2,TIAM15_assumptions!$Y$3:$Z$87,2,FALSE),TIAM15_assumptions!$H$2:$V$2,0))</f>
        <v>0.1</v>
      </c>
      <c r="AN101" s="57">
        <f ca="1">OFFSET(TIAM15_assumptions!$G101,0,MATCH(VLOOKUP(Assumptions!AN$2,TIAM15_assumptions!$Y$3:$Z$87,2,FALSE),TIAM15_assumptions!$H$2:$V$2,0))</f>
        <v>0</v>
      </c>
      <c r="AO101" s="57">
        <f ca="1">OFFSET(TIAM15_assumptions!$G101,0,MATCH(VLOOKUP(Assumptions!AO$2,TIAM15_assumptions!$Y$3:$Z$87,2,FALSE),TIAM15_assumptions!$H$2:$V$2,0))</f>
        <v>0.2</v>
      </c>
      <c r="AP101" s="57">
        <f ca="1">OFFSET(TIAM15_assumptions!$G101,0,MATCH(VLOOKUP(Assumptions!AP$2,TIAM15_assumptions!$Y$3:$Z$87,2,FALSE),TIAM15_assumptions!$H$2:$V$2,0))</f>
        <v>0.1</v>
      </c>
      <c r="AQ101" s="57">
        <f ca="1">OFFSET(TIAM15_assumptions!$G101,0,MATCH(VLOOKUP(Assumptions!AQ$2,TIAM15_assumptions!$Y$3:$Z$87,2,FALSE),TIAM15_assumptions!$H$2:$V$2,0))</f>
        <v>0</v>
      </c>
      <c r="AR101" s="57">
        <f ca="1">OFFSET(TIAM15_assumptions!$G101,0,MATCH(VLOOKUP(Assumptions!AR$2,TIAM15_assumptions!$Y$3:$Z$87,2,FALSE),TIAM15_assumptions!$H$2:$V$2,0))</f>
        <v>0</v>
      </c>
      <c r="AS101" s="57">
        <f ca="1">OFFSET(TIAM15_assumptions!$G101,0,MATCH(VLOOKUP(Assumptions!AS$2,TIAM15_assumptions!$Y$3:$Z$87,2,FALSE),TIAM15_assumptions!$H$2:$V$2,0))</f>
        <v>0</v>
      </c>
      <c r="AT101" s="57">
        <f ca="1">OFFSET(TIAM15_assumptions!$G101,0,MATCH(VLOOKUP(Assumptions!AT$2,TIAM15_assumptions!$Y$3:$Z$87,2,FALSE),TIAM15_assumptions!$H$2:$V$2,0))</f>
        <v>0</v>
      </c>
      <c r="AU101" s="57">
        <f ca="1">OFFSET(TIAM15_assumptions!$G101,0,MATCH(VLOOKUP(Assumptions!AU$2,TIAM15_assumptions!$Y$3:$Z$87,2,FALSE),TIAM15_assumptions!$H$2:$V$2,0))</f>
        <v>0</v>
      </c>
      <c r="AV101" s="57">
        <f ca="1">OFFSET(TIAM15_assumptions!$G101,0,MATCH(VLOOKUP(Assumptions!AV$2,TIAM15_assumptions!$Y$3:$Z$87,2,FALSE),TIAM15_assumptions!$H$2:$V$2,0))</f>
        <v>0</v>
      </c>
      <c r="AW101" s="57">
        <f ca="1">OFFSET(TIAM15_assumptions!$G101,0,MATCH(VLOOKUP(Assumptions!AW$2,TIAM15_assumptions!$Y$3:$Z$87,2,FALSE),TIAM15_assumptions!$H$2:$V$2,0))</f>
        <v>0</v>
      </c>
      <c r="AX101" s="57">
        <f ca="1">OFFSET(TIAM15_assumptions!$G101,0,MATCH(VLOOKUP(Assumptions!AX$2,TIAM15_assumptions!$Y$3:$Z$87,2,FALSE),TIAM15_assumptions!$H$2:$V$2,0))</f>
        <v>0</v>
      </c>
      <c r="AY101" s="57">
        <f ca="1">OFFSET(TIAM15_assumptions!$G101,0,MATCH(VLOOKUP(Assumptions!AY$2,TIAM15_assumptions!$Y$3:$Z$87,2,FALSE),TIAM15_assumptions!$H$2:$V$2,0))</f>
        <v>0</v>
      </c>
      <c r="AZ101" s="57">
        <f ca="1">OFFSET(TIAM15_assumptions!$G101,0,MATCH(VLOOKUP(Assumptions!AZ$2,TIAM15_assumptions!$Y$3:$Z$87,2,FALSE),TIAM15_assumptions!$H$2:$V$2,0))</f>
        <v>0</v>
      </c>
      <c r="BA101" s="57">
        <f ca="1">OFFSET(TIAM15_assumptions!$G101,0,MATCH(VLOOKUP(Assumptions!BA$2,TIAM15_assumptions!$Y$3:$Z$87,2,FALSE),TIAM15_assumptions!$H$2:$V$2,0))</f>
        <v>0</v>
      </c>
      <c r="BD101" s="40">
        <f ca="1">IFERROR(SUMIFS('TRA balance'!E$5:E$40,'TRA balance'!$C$5:$C$40,Assumptions!$C101,'TRA balance'!$D$5:$D$40,Assumptions!$B101)*CY101*H101,"")</f>
        <v>2.33582241888</v>
      </c>
      <c r="BE101" s="40">
        <f ca="1">IFERROR(SUMIFS('TRA balance'!F$5:F$40,'TRA balance'!$C$5:$C$40,Assumptions!$C101,'TRA balance'!$D$5:$D$40,Assumptions!$B101)*CZ101*I101,"")</f>
        <v>0.05456614572</v>
      </c>
      <c r="BF101" s="40">
        <f ca="1">IFERROR(SUMIFS('TRA balance'!G$5:G$40,'TRA balance'!$C$5:$C$40,Assumptions!$C101,'TRA balance'!$D$5:$D$40,Assumptions!$B101)*DA101*J101,"")</f>
        <v>3.49920057996</v>
      </c>
      <c r="BG101" s="40">
        <f ca="1">IFERROR(SUMIFS('TRA balance'!H$5:H$40,'TRA balance'!$C$5:$C$40,Assumptions!$C101,'TRA balance'!$D$5:$D$40,Assumptions!$B101)*DB101*K101,"")</f>
        <v>0</v>
      </c>
      <c r="BH101" s="40">
        <f ca="1">IFERROR(SUMIFS('TRA balance'!I$5:I$40,'TRA balance'!$C$5:$C$40,Assumptions!$C101,'TRA balance'!$D$5:$D$40,Assumptions!$B101)*DC101*L101,"")</f>
        <v>0.06814351944</v>
      </c>
      <c r="BI101" s="40">
        <f ca="1">IFERROR(SUMIFS('TRA balance'!J$5:J$40,'TRA balance'!$C$5:$C$40,Assumptions!$C101,'TRA balance'!$D$5:$D$40,Assumptions!$B101)*DD101*M101,"")</f>
        <v>0</v>
      </c>
      <c r="BJ101" s="40">
        <f ca="1">IFERROR(SUMIFS('TRA balance'!K$5:K$40,'TRA balance'!$C$5:$C$40,Assumptions!$C101,'TRA balance'!$D$5:$D$40,Assumptions!$B101)*DE101*N101,"")</f>
        <v>0.4051022076</v>
      </c>
      <c r="BK101" s="40">
        <f ca="1">IFERROR(SUMIFS('TRA balance'!L$5:L$40,'TRA balance'!$C$5:$C$40,Assumptions!$C101,'TRA balance'!$D$5:$D$40,Assumptions!$B101)*DF101*O101,"")</f>
        <v>70.21846486296</v>
      </c>
      <c r="BL101" s="40">
        <f ca="1">IFERROR(SUMIFS('TRA balance'!M$5:M$40,'TRA balance'!$C$5:$C$40,Assumptions!$C101,'TRA balance'!$D$5:$D$40,Assumptions!$B101)*DG101*P101,"")</f>
        <v>0.16635579912</v>
      </c>
      <c r="BM101" s="40">
        <f ca="1">IFERROR(SUMIFS('TRA balance'!N$5:N$40,'TRA balance'!$C$5:$C$40,Assumptions!$C101,'TRA balance'!$D$5:$D$40,Assumptions!$B101)*DH101*Q101,"")</f>
        <v>0.74760924312</v>
      </c>
      <c r="BN101" s="40">
        <f ca="1">IFERROR(SUMIFS('TRA balance'!O$5:O$40,'TRA balance'!$C$5:$C$40,Assumptions!$C101,'TRA balance'!$D$5:$D$40,Assumptions!$B101)*DI101*R101,"")</f>
        <v>0</v>
      </c>
      <c r="BO101" s="40">
        <f ca="1">IFERROR(SUMIFS('TRA balance'!P$5:P$40,'TRA balance'!$C$5:$C$40,Assumptions!$C101,'TRA balance'!$D$5:$D$40,Assumptions!$B101)*DJ101*S101,"")</f>
        <v>0</v>
      </c>
      <c r="BP101" s="40">
        <f ca="1">IFERROR(SUMIFS('TRA balance'!Q$5:Q$40,'TRA balance'!$C$5:$C$40,Assumptions!$C101,'TRA balance'!$D$5:$D$40,Assumptions!$B101)*DK101*T101,"")</f>
        <v>0</v>
      </c>
      <c r="BQ101" s="40">
        <f ca="1">IFERROR(SUMIFS('TRA balance'!R$5:R$40,'TRA balance'!$C$5:$C$40,Assumptions!$C101,'TRA balance'!$D$5:$D$40,Assumptions!$B101)*DL101*U101,"")</f>
        <v>0.88579373976</v>
      </c>
      <c r="BR101" s="40">
        <f ca="1">IFERROR(SUMIFS('TRA balance'!S$5:S$40,'TRA balance'!$C$5:$C$40,Assumptions!$C101,'TRA balance'!$D$5:$D$40,Assumptions!$B101)*DM101*V101,"")</f>
        <v>0</v>
      </c>
      <c r="BS101" s="40">
        <f ca="1">IFERROR(SUMIFS('TRA balance'!T$5:T$40,'TRA balance'!$C$5:$C$40,Assumptions!$C101,'TRA balance'!$D$5:$D$40,Assumptions!$B101)*DN101*W101,"")</f>
        <v>20.67983946864</v>
      </c>
      <c r="BT101" s="40">
        <f ca="1">IFERROR(SUMIFS('TRA balance'!U$5:U$40,'TRA balance'!$C$5:$C$40,Assumptions!$C101,'TRA balance'!$D$5:$D$40,Assumptions!$B101)*DO101*X101,"")</f>
        <v>0</v>
      </c>
      <c r="BU101" s="40">
        <f ca="1">IFERROR(SUMIFS('TRA balance'!V$5:V$40,'TRA balance'!$C$5:$C$40,Assumptions!$C101,'TRA balance'!$D$5:$D$40,Assumptions!$B101)*DP101*Y101,"")</f>
        <v>0</v>
      </c>
      <c r="BV101" s="40">
        <f ca="1">IFERROR(SUMIFS('TRA balance'!W$5:W$40,'TRA balance'!$C$5:$C$40,Assumptions!$C101,'TRA balance'!$D$5:$D$40,Assumptions!$B101)*DQ101*Z101,"")</f>
        <v>0</v>
      </c>
      <c r="BW101" s="40">
        <f ca="1">IFERROR(SUMIFS('TRA balance'!X$5:X$40,'TRA balance'!$C$5:$C$40,Assumptions!$C101,'TRA balance'!$D$5:$D$40,Assumptions!$B101)*DR101*AA101,"")</f>
        <v>0.26022050568</v>
      </c>
      <c r="BX101" s="40">
        <f ca="1">IFERROR(SUMIFS('TRA balance'!Y$5:Y$40,'TRA balance'!$C$5:$C$40,Assumptions!$C101,'TRA balance'!$D$5:$D$40,Assumptions!$B101)*DS101*AB101,"")</f>
        <v>0</v>
      </c>
      <c r="BY101" s="40">
        <f ca="1">IFERROR(SUMIFS('TRA balance'!Z$5:Z$40,'TRA balance'!$C$5:$C$40,Assumptions!$C101,'TRA balance'!$D$5:$D$40,Assumptions!$B101)*DT101*AC101,"")</f>
        <v>0</v>
      </c>
      <c r="BZ101" s="40">
        <f ca="1">IFERROR(SUMIFS('TRA balance'!AA$5:AA$40,'TRA balance'!$C$5:$C$40,Assumptions!$C101,'TRA balance'!$D$5:$D$40,Assumptions!$B101)*DU101*AD101,"")</f>
        <v>0</v>
      </c>
      <c r="CA101" s="40">
        <f ca="1">IFERROR(SUMIFS('TRA balance'!AB$5:AB$40,'TRA balance'!$C$5:$C$40,Assumptions!$C101,'TRA balance'!$D$5:$D$40,Assumptions!$B101)*DV101*AE101,"")</f>
        <v>1.13277725856</v>
      </c>
      <c r="CB101" s="40">
        <f ca="1">IFERROR(SUMIFS('TRA balance'!AC$5:AC$40,'TRA balance'!$C$5:$C$40,Assumptions!$C101,'TRA balance'!$D$5:$D$40,Assumptions!$B101)*DW101*AF101,"")</f>
        <v>2.5475233554</v>
      </c>
      <c r="CC101" s="40">
        <f ca="1">IFERROR(SUMIFS('TRA balance'!AD$5:AD$40,'TRA balance'!$C$5:$C$40,Assumptions!$C101,'TRA balance'!$D$5:$D$40,Assumptions!$B101)*DX101*AG101,"")</f>
        <v>38.56528803744</v>
      </c>
      <c r="CD101" s="40">
        <f ca="1">IFERROR(SUMIFS('TRA balance'!AE$5:AE$40,'TRA balance'!$C$5:$C$40,Assumptions!$C101,'TRA balance'!$D$5:$D$40,Assumptions!$B101)*DY101*AH101,"")</f>
        <v>0</v>
      </c>
      <c r="CE101" s="40">
        <f ca="1">IFERROR(SUMIFS('TRA balance'!AF$5:AF$40,'TRA balance'!$C$5:$C$40,Assumptions!$C101,'TRA balance'!$D$5:$D$40,Assumptions!$B101)*DZ101*AI101,"")</f>
        <v>2.80800051192</v>
      </c>
      <c r="CF101" s="40">
        <f ca="1">IFERROR(SUMIFS('TRA balance'!AG$5:AG$40,'TRA balance'!$C$5:$C$40,Assumptions!$C101,'TRA balance'!$D$5:$D$40,Assumptions!$B101)*EA101*AJ101,"")</f>
        <v>0</v>
      </c>
      <c r="CG101" s="40">
        <f ca="1">IFERROR(SUMIFS('TRA balance'!AH$5:AH$40,'TRA balance'!$C$5:$C$40,Assumptions!$C101,'TRA balance'!$D$5:$D$40,Assumptions!$B101)*EB101*AK101,"")</f>
        <v>0</v>
      </c>
      <c r="CH101" s="40">
        <f ca="1">IFERROR(SUMIFS('TRA balance'!AI$5:AI$40,'TRA balance'!$C$5:$C$40,Assumptions!$C101,'TRA balance'!$D$5:$D$40,Assumptions!$B101)*EC101*AL101,"")</f>
        <v>0</v>
      </c>
      <c r="CI101" s="40">
        <f ca="1">IFERROR(SUMIFS('TRA balance'!AJ$5:AJ$40,'TRA balance'!$C$5:$C$40,Assumptions!$C101,'TRA balance'!$D$5:$D$40,Assumptions!$B101)*ED101*AM101,"")</f>
        <v>0.46356207732</v>
      </c>
      <c r="CJ101" s="40">
        <f ca="1">IFERROR(SUMIFS('TRA balance'!AK$5:AK$40,'TRA balance'!$C$5:$C$40,Assumptions!$C101,'TRA balance'!$D$5:$D$40,Assumptions!$B101)*EE101*AN101,"")</f>
        <v>0</v>
      </c>
      <c r="CK101" s="40">
        <f ca="1">IFERROR(SUMIFS('TRA balance'!AL$5:AL$40,'TRA balance'!$C$5:$C$40,Assumptions!$C101,'TRA balance'!$D$5:$D$40,Assumptions!$B101)*EF101*AO101,"")</f>
        <v>3.85351146072</v>
      </c>
      <c r="CL101" s="40">
        <f ca="1">IFERROR(SUMIFS('TRA balance'!AM$5:AM$40,'TRA balance'!$C$5:$C$40,Assumptions!$C101,'TRA balance'!$D$5:$D$40,Assumptions!$B101)*EG101*AP101,"")</f>
        <v>0.16868575332</v>
      </c>
      <c r="CM101" s="40">
        <f ca="1">IFERROR(SUMIFS('TRA balance'!AN$5:AN$40,'TRA balance'!$C$5:$C$40,Assumptions!$C101,'TRA balance'!$D$5:$D$40,Assumptions!$B101)*EH101*AQ101,"")</f>
        <v>0</v>
      </c>
      <c r="CN101" s="40">
        <f ca="1">IFERROR(SUMIFS('TRA balance'!AO$5:AO$40,'TRA balance'!$C$5:$C$40,Assumptions!$C101,'TRA balance'!$D$5:$D$40,Assumptions!$B101)*EI101*AR101,"")</f>
        <v>0</v>
      </c>
      <c r="CO101" s="40">
        <f ca="1">IFERROR(SUMIFS('TRA balance'!AP$5:AP$40,'TRA balance'!$C$5:$C$40,Assumptions!$C101,'TRA balance'!$D$5:$D$40,Assumptions!$B101)*EJ101*AS101,"")</f>
        <v>0</v>
      </c>
      <c r="CP101" s="40">
        <f ca="1">IFERROR(SUMIFS('TRA balance'!AQ$5:AQ$40,'TRA balance'!$C$5:$C$40,Assumptions!$C101,'TRA balance'!$D$5:$D$40,Assumptions!$B101)*EK101*AT101,"")</f>
        <v>0</v>
      </c>
      <c r="CQ101" s="40">
        <f ca="1">IFERROR(SUMIFS('TRA balance'!AR$5:AR$40,'TRA balance'!$C$5:$C$40,Assumptions!$C101,'TRA balance'!$D$5:$D$40,Assumptions!$B101)*EL101*AU101,"")</f>
        <v>0</v>
      </c>
      <c r="CR101" s="40">
        <f ca="1">IFERROR(SUMIFS('TRA balance'!AS$5:AS$40,'TRA balance'!$C$5:$C$40,Assumptions!$C101,'TRA balance'!$D$5:$D$40,Assumptions!$B101)*EM101*AV101,"")</f>
        <v>0</v>
      </c>
      <c r="CS101" s="40">
        <f ca="1">IFERROR(SUMIFS('TRA balance'!AT$5:AT$40,'TRA balance'!$C$5:$C$40,Assumptions!$C101,'TRA balance'!$D$5:$D$40,Assumptions!$B101)*EN101*AW101,"")</f>
        <v>0</v>
      </c>
      <c r="CT101" s="40">
        <f ca="1">IFERROR(SUMIFS('TRA balance'!AU$5:AU$40,'TRA balance'!$C$5:$C$40,Assumptions!$C101,'TRA balance'!$D$5:$D$40,Assumptions!$B101)*EO101*AX101,"")</f>
        <v>0</v>
      </c>
      <c r="CU101" s="40">
        <f ca="1">IFERROR(SUMIFS('TRA balance'!AV$5:AV$40,'TRA balance'!$C$5:$C$40,Assumptions!$C101,'TRA balance'!$D$5:$D$40,Assumptions!$B101)*EP101*AY101,"")</f>
        <v>0</v>
      </c>
      <c r="CV101" s="40">
        <f ca="1">IFERROR(SUMIFS('TRA balance'!AW$5:AW$40,'TRA balance'!$C$5:$C$40,Assumptions!$C101,'TRA balance'!$D$5:$D$40,Assumptions!$B101)*EQ101*AZ101,"")</f>
        <v>0</v>
      </c>
      <c r="CW101" s="40">
        <f ca="1">IFERROR(SUMIFS('TRA balance'!AX$5:AX$40,'TRA balance'!$C$5:$C$40,Assumptions!$C101,'TRA balance'!$D$5:$D$40,Assumptions!$B101)*ER101*BA101,"")</f>
        <v>0</v>
      </c>
      <c r="CY101" s="39">
        <f ca="1" t="shared" si="86"/>
        <v>1</v>
      </c>
      <c r="CZ101" s="39">
        <f ca="1" t="shared" si="87"/>
        <v>1</v>
      </c>
      <c r="DA101" s="39">
        <f ca="1" t="shared" si="88"/>
        <v>1</v>
      </c>
      <c r="DB101" s="39">
        <f ca="1" t="shared" si="89"/>
        <v>1</v>
      </c>
      <c r="DC101" s="39">
        <f ca="1" t="shared" si="90"/>
        <v>1</v>
      </c>
      <c r="DD101" s="39">
        <f ca="1" t="shared" si="91"/>
        <v>1</v>
      </c>
      <c r="DE101" s="39">
        <f ca="1" t="shared" si="92"/>
        <v>1</v>
      </c>
      <c r="DF101" s="39">
        <f ca="1" t="shared" si="93"/>
        <v>1</v>
      </c>
      <c r="DG101" s="39">
        <f ca="1" t="shared" si="94"/>
        <v>1</v>
      </c>
      <c r="DH101" s="39">
        <f ca="1" t="shared" si="95"/>
        <v>1</v>
      </c>
      <c r="DI101" s="39">
        <f ca="1" t="shared" si="96"/>
        <v>1</v>
      </c>
      <c r="DJ101" s="39">
        <f ca="1" t="shared" si="97"/>
        <v>1</v>
      </c>
      <c r="DK101" s="39">
        <f ca="1" t="shared" si="98"/>
        <v>1</v>
      </c>
      <c r="DL101" s="39">
        <f ca="1" t="shared" si="99"/>
        <v>1</v>
      </c>
      <c r="DM101" s="39">
        <f ca="1" t="shared" si="100"/>
        <v>1</v>
      </c>
      <c r="DN101" s="39">
        <f ca="1" t="shared" si="101"/>
        <v>1</v>
      </c>
      <c r="DO101" s="39">
        <f ca="1" t="shared" si="102"/>
        <v>1</v>
      </c>
      <c r="DP101" s="39">
        <f ca="1" t="shared" si="103"/>
        <v>1</v>
      </c>
      <c r="DQ101" s="39">
        <f ca="1" t="shared" si="104"/>
        <v>1</v>
      </c>
      <c r="DR101" s="39">
        <f ca="1" t="shared" si="105"/>
        <v>1</v>
      </c>
      <c r="DS101" s="39">
        <f ca="1" t="shared" si="106"/>
        <v>1</v>
      </c>
      <c r="DT101" s="39">
        <f ca="1" t="shared" si="107"/>
        <v>1</v>
      </c>
      <c r="DU101" s="39">
        <f ca="1" t="shared" si="108"/>
        <v>1</v>
      </c>
      <c r="DV101" s="39">
        <f ca="1" t="shared" si="109"/>
        <v>1</v>
      </c>
      <c r="DW101" s="39">
        <f ca="1" t="shared" si="110"/>
        <v>1</v>
      </c>
      <c r="DX101" s="39">
        <f ca="1" t="shared" si="111"/>
        <v>1</v>
      </c>
      <c r="DY101" s="39">
        <f ca="1" t="shared" si="112"/>
        <v>1</v>
      </c>
      <c r="DZ101" s="39">
        <f ca="1" t="shared" si="113"/>
        <v>1</v>
      </c>
      <c r="EA101" s="39">
        <f ca="1" t="shared" si="114"/>
        <v>1</v>
      </c>
      <c r="EB101" s="39">
        <f ca="1" t="shared" si="115"/>
        <v>1</v>
      </c>
      <c r="EC101" s="39">
        <f ca="1" t="shared" si="116"/>
        <v>1</v>
      </c>
      <c r="ED101" s="39">
        <f ca="1" t="shared" si="117"/>
        <v>1</v>
      </c>
      <c r="EE101" s="39">
        <f ca="1" t="shared" si="118"/>
        <v>1</v>
      </c>
      <c r="EF101" s="39">
        <f ca="1" t="shared" si="119"/>
        <v>1</v>
      </c>
      <c r="EG101" s="39">
        <f ca="1" t="shared" si="120"/>
        <v>1</v>
      </c>
      <c r="EH101" s="39">
        <f ca="1" t="shared" si="121"/>
        <v>1</v>
      </c>
      <c r="EI101" s="39">
        <f ca="1" t="shared" si="122"/>
        <v>1</v>
      </c>
      <c r="EJ101" s="39">
        <f ca="1" t="shared" si="123"/>
        <v>1</v>
      </c>
      <c r="EK101" s="39">
        <f ca="1" t="shared" si="124"/>
        <v>1</v>
      </c>
      <c r="EL101" s="39">
        <f ca="1" t="shared" si="125"/>
        <v>1</v>
      </c>
      <c r="EM101" s="39">
        <f ca="1" t="shared" si="126"/>
        <v>1</v>
      </c>
      <c r="EN101" s="39">
        <f ca="1" t="shared" si="127"/>
        <v>1</v>
      </c>
      <c r="EO101" s="39">
        <f ca="1" t="shared" si="128"/>
        <v>1</v>
      </c>
      <c r="EP101" s="39">
        <f ca="1" t="shared" si="129"/>
        <v>1</v>
      </c>
      <c r="EQ101" s="39">
        <f ca="1" t="shared" si="130"/>
        <v>1</v>
      </c>
      <c r="ER101" s="39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4" t="str">
        <f t="shared" si="133"/>
        <v>TT</v>
      </c>
      <c r="D102" s="55" t="s">
        <v>192</v>
      </c>
      <c r="E102" s="55" t="s">
        <v>197</v>
      </c>
      <c r="F102" s="56" t="str">
        <f t="shared" si="146"/>
        <v>Electricity</v>
      </c>
      <c r="G102" s="54" t="s">
        <v>198</v>
      </c>
      <c r="H102" s="57">
        <f ca="1">OFFSET(TIAM15_assumptions!$G102,0,MATCH(VLOOKUP(Assumptions!H$2,TIAM15_assumptions!$Y$3:$Z$87,2,FALSE),TIAM15_assumptions!$H$2:$V$2,0))</f>
        <v>0.7</v>
      </c>
      <c r="I102" s="57">
        <f ca="1">OFFSET(TIAM15_assumptions!$G102,0,MATCH(VLOOKUP(Assumptions!I$2,TIAM15_assumptions!$Y$3:$Z$87,2,FALSE),TIAM15_assumptions!$H$2:$V$2,0))</f>
        <v>0.7</v>
      </c>
      <c r="J102" s="57">
        <f ca="1">OFFSET(TIAM15_assumptions!$G102,0,MATCH(VLOOKUP(Assumptions!J$2,TIAM15_assumptions!$Y$3:$Z$87,2,FALSE),TIAM15_assumptions!$H$2:$V$2,0))</f>
        <v>0.7</v>
      </c>
      <c r="K102" s="57">
        <f ca="1">OFFSET(TIAM15_assumptions!$G102,0,MATCH(VLOOKUP(Assumptions!K$2,TIAM15_assumptions!$Y$3:$Z$87,2,FALSE),TIAM15_assumptions!$H$2:$V$2,0))</f>
        <v>1</v>
      </c>
      <c r="L102" s="57">
        <f ca="1">OFFSET(TIAM15_assumptions!$G102,0,MATCH(VLOOKUP(Assumptions!L$2,TIAM15_assumptions!$Y$3:$Z$87,2,FALSE),TIAM15_assumptions!$H$2:$V$2,0))</f>
        <v>0.8</v>
      </c>
      <c r="M102" s="57">
        <f ca="1">OFFSET(TIAM15_assumptions!$G102,0,MATCH(VLOOKUP(Assumptions!M$2,TIAM15_assumptions!$Y$3:$Z$87,2,FALSE),TIAM15_assumptions!$H$2:$V$2,0))</f>
        <v>1</v>
      </c>
      <c r="N102" s="57">
        <f ca="1">OFFSET(TIAM15_assumptions!$G102,0,MATCH(VLOOKUP(Assumptions!N$2,TIAM15_assumptions!$Y$3:$Z$87,2,FALSE),TIAM15_assumptions!$H$2:$V$2,0))</f>
        <v>0.95</v>
      </c>
      <c r="O102" s="57">
        <f ca="1">OFFSET(TIAM15_assumptions!$G102,0,MATCH(VLOOKUP(Assumptions!O$2,TIAM15_assumptions!$Y$3:$Z$87,2,FALSE),TIAM15_assumptions!$H$2:$V$2,0))</f>
        <v>0.8</v>
      </c>
      <c r="P102" s="57">
        <f ca="1">OFFSET(TIAM15_assumptions!$G102,0,MATCH(VLOOKUP(Assumptions!P$2,TIAM15_assumptions!$Y$3:$Z$87,2,FALSE),TIAM15_assumptions!$H$2:$V$2,0))</f>
        <v>0.9</v>
      </c>
      <c r="Q102" s="57">
        <f ca="1">OFFSET(TIAM15_assumptions!$G102,0,MATCH(VLOOKUP(Assumptions!Q$2,TIAM15_assumptions!$Y$3:$Z$87,2,FALSE),TIAM15_assumptions!$H$2:$V$2,0))</f>
        <v>0.9</v>
      </c>
      <c r="R102" s="57">
        <f ca="1">OFFSET(TIAM15_assumptions!$G102,0,MATCH(VLOOKUP(Assumptions!R$2,TIAM15_assumptions!$Y$3:$Z$87,2,FALSE),TIAM15_assumptions!$H$2:$V$2,0))</f>
        <v>1</v>
      </c>
      <c r="S102" s="57">
        <f ca="1">OFFSET(TIAM15_assumptions!$G102,0,MATCH(VLOOKUP(Assumptions!S$2,TIAM15_assumptions!$Y$3:$Z$87,2,FALSE),TIAM15_assumptions!$H$2:$V$2,0))</f>
        <v>1</v>
      </c>
      <c r="T102" s="57">
        <f ca="1">OFFSET(TIAM15_assumptions!$G102,0,MATCH(VLOOKUP(Assumptions!T$2,TIAM15_assumptions!$Y$3:$Z$87,2,FALSE),TIAM15_assumptions!$H$2:$V$2,0))</f>
        <v>1</v>
      </c>
      <c r="U102" s="57">
        <f ca="1">OFFSET(TIAM15_assumptions!$G102,0,MATCH(VLOOKUP(Assumptions!U$2,TIAM15_assumptions!$Y$3:$Z$87,2,FALSE),TIAM15_assumptions!$H$2:$V$2,0))</f>
        <v>0.9</v>
      </c>
      <c r="V102" s="57">
        <f ca="1">OFFSET(TIAM15_assumptions!$G102,0,MATCH(VLOOKUP(Assumptions!V$2,TIAM15_assumptions!$Y$3:$Z$87,2,FALSE),TIAM15_assumptions!$H$2:$V$2,0))</f>
        <v>1</v>
      </c>
      <c r="W102" s="57">
        <f ca="1">OFFSET(TIAM15_assumptions!$G102,0,MATCH(VLOOKUP(Assumptions!W$2,TIAM15_assumptions!$Y$3:$Z$87,2,FALSE),TIAM15_assumptions!$H$2:$V$2,0))</f>
        <v>0.7</v>
      </c>
      <c r="X102" s="57">
        <f ca="1">OFFSET(TIAM15_assumptions!$G102,0,MATCH(VLOOKUP(Assumptions!X$2,TIAM15_assumptions!$Y$3:$Z$87,2,FALSE),TIAM15_assumptions!$H$2:$V$2,0))</f>
        <v>1</v>
      </c>
      <c r="Y102" s="57">
        <f ca="1">OFFSET(TIAM15_assumptions!$G102,0,MATCH(VLOOKUP(Assumptions!Y$2,TIAM15_assumptions!$Y$3:$Z$87,2,FALSE),TIAM15_assumptions!$H$2:$V$2,0))</f>
        <v>1</v>
      </c>
      <c r="Z102" s="57">
        <f ca="1">OFFSET(TIAM15_assumptions!$G102,0,MATCH(VLOOKUP(Assumptions!Z$2,TIAM15_assumptions!$Y$3:$Z$87,2,FALSE),TIAM15_assumptions!$H$2:$V$2,0))</f>
        <v>1</v>
      </c>
      <c r="AA102" s="57">
        <f ca="1">OFFSET(TIAM15_assumptions!$G102,0,MATCH(VLOOKUP(Assumptions!AA$2,TIAM15_assumptions!$Y$3:$Z$87,2,FALSE),TIAM15_assumptions!$H$2:$V$2,0))</f>
        <v>0.95</v>
      </c>
      <c r="AB102" s="57">
        <f ca="1">OFFSET(TIAM15_assumptions!$G102,0,MATCH(VLOOKUP(Assumptions!AB$2,TIAM15_assumptions!$Y$3:$Z$87,2,FALSE),TIAM15_assumptions!$H$2:$V$2,0))</f>
        <v>0.9</v>
      </c>
      <c r="AC102" s="57">
        <f ca="1">OFFSET(TIAM15_assumptions!$G102,0,MATCH(VLOOKUP(Assumptions!AC$2,TIAM15_assumptions!$Y$3:$Z$87,2,FALSE),TIAM15_assumptions!$H$2:$V$2,0))</f>
        <v>1</v>
      </c>
      <c r="AD102" s="57">
        <f ca="1">OFFSET(TIAM15_assumptions!$G102,0,MATCH(VLOOKUP(Assumptions!AD$2,TIAM15_assumptions!$Y$3:$Z$87,2,FALSE),TIAM15_assumptions!$H$2:$V$2,0))</f>
        <v>1</v>
      </c>
      <c r="AE102" s="57">
        <f ca="1">OFFSET(TIAM15_assumptions!$G102,0,MATCH(VLOOKUP(Assumptions!AE$2,TIAM15_assumptions!$Y$3:$Z$87,2,FALSE),TIAM15_assumptions!$H$2:$V$2,0))</f>
        <v>0.9</v>
      </c>
      <c r="AF102" s="57">
        <f ca="1">OFFSET(TIAM15_assumptions!$G102,0,MATCH(VLOOKUP(Assumptions!AF$2,TIAM15_assumptions!$Y$3:$Z$87,2,FALSE),TIAM15_assumptions!$H$2:$V$2,0))</f>
        <v>0.95</v>
      </c>
      <c r="AG102" s="57">
        <f ca="1">OFFSET(TIAM15_assumptions!$G102,0,MATCH(VLOOKUP(Assumptions!AG$2,TIAM15_assumptions!$Y$3:$Z$87,2,FALSE),TIAM15_assumptions!$H$2:$V$2,0))</f>
        <v>0.8</v>
      </c>
      <c r="AH102" s="57">
        <f ca="1">OFFSET(TIAM15_assumptions!$G102,0,MATCH(VLOOKUP(Assumptions!AH$2,TIAM15_assumptions!$Y$3:$Z$87,2,FALSE),TIAM15_assumptions!$H$2:$V$2,0))</f>
        <v>0.9</v>
      </c>
      <c r="AI102" s="57">
        <f ca="1">OFFSET(TIAM15_assumptions!$G102,0,MATCH(VLOOKUP(Assumptions!AI$2,TIAM15_assumptions!$Y$3:$Z$87,2,FALSE),TIAM15_assumptions!$H$2:$V$2,0))</f>
        <v>0.7</v>
      </c>
      <c r="AJ102" s="57">
        <f ca="1">OFFSET(TIAM15_assumptions!$G102,0,MATCH(VLOOKUP(Assumptions!AJ$2,TIAM15_assumptions!$Y$3:$Z$87,2,FALSE),TIAM15_assumptions!$H$2:$V$2,0))</f>
        <v>1</v>
      </c>
      <c r="AK102" s="57">
        <f ca="1">OFFSET(TIAM15_assumptions!$G102,0,MATCH(VLOOKUP(Assumptions!AK$2,TIAM15_assumptions!$Y$3:$Z$87,2,FALSE),TIAM15_assumptions!$H$2:$V$2,0))</f>
        <v>1</v>
      </c>
      <c r="AL102" s="57">
        <f ca="1">OFFSET(TIAM15_assumptions!$G102,0,MATCH(VLOOKUP(Assumptions!AL$2,TIAM15_assumptions!$Y$3:$Z$87,2,FALSE),TIAM15_assumptions!$H$2:$V$2,0))</f>
        <v>1</v>
      </c>
      <c r="AM102" s="57">
        <f ca="1">OFFSET(TIAM15_assumptions!$G102,0,MATCH(VLOOKUP(Assumptions!AM$2,TIAM15_assumptions!$Y$3:$Z$87,2,FALSE),TIAM15_assumptions!$H$2:$V$2,0))</f>
        <v>0.9</v>
      </c>
      <c r="AN102" s="57">
        <f ca="1">OFFSET(TIAM15_assumptions!$G102,0,MATCH(VLOOKUP(Assumptions!AN$2,TIAM15_assumptions!$Y$3:$Z$87,2,FALSE),TIAM15_assumptions!$H$2:$V$2,0))</f>
        <v>1</v>
      </c>
      <c r="AO102" s="57">
        <f ca="1">OFFSET(TIAM15_assumptions!$G102,0,MATCH(VLOOKUP(Assumptions!AO$2,TIAM15_assumptions!$Y$3:$Z$87,2,FALSE),TIAM15_assumptions!$H$2:$V$2,0))</f>
        <v>0.8</v>
      </c>
      <c r="AP102" s="57">
        <f ca="1">OFFSET(TIAM15_assumptions!$G102,0,MATCH(VLOOKUP(Assumptions!AP$2,TIAM15_assumptions!$Y$3:$Z$87,2,FALSE),TIAM15_assumptions!$H$2:$V$2,0))</f>
        <v>0.9</v>
      </c>
      <c r="AQ102" s="57">
        <f ca="1">OFFSET(TIAM15_assumptions!$G102,0,MATCH(VLOOKUP(Assumptions!AQ$2,TIAM15_assumptions!$Y$3:$Z$87,2,FALSE),TIAM15_assumptions!$H$2:$V$2,0))</f>
        <v>1</v>
      </c>
      <c r="AR102" s="57">
        <f ca="1">OFFSET(TIAM15_assumptions!$G102,0,MATCH(VLOOKUP(Assumptions!AR$2,TIAM15_assumptions!$Y$3:$Z$87,2,FALSE),TIAM15_assumptions!$H$2:$V$2,0))</f>
        <v>1</v>
      </c>
      <c r="AS102" s="57">
        <f ca="1">OFFSET(TIAM15_assumptions!$G102,0,MATCH(VLOOKUP(Assumptions!AS$2,TIAM15_assumptions!$Y$3:$Z$87,2,FALSE),TIAM15_assumptions!$H$2:$V$2,0))</f>
        <v>1</v>
      </c>
      <c r="AT102" s="57">
        <f ca="1">OFFSET(TIAM15_assumptions!$G102,0,MATCH(VLOOKUP(Assumptions!AT$2,TIAM15_assumptions!$Y$3:$Z$87,2,FALSE),TIAM15_assumptions!$H$2:$V$2,0))</f>
        <v>1</v>
      </c>
      <c r="AU102" s="57">
        <f ca="1">OFFSET(TIAM15_assumptions!$G102,0,MATCH(VLOOKUP(Assumptions!AU$2,TIAM15_assumptions!$Y$3:$Z$87,2,FALSE),TIAM15_assumptions!$H$2:$V$2,0))</f>
        <v>1</v>
      </c>
      <c r="AV102" s="57">
        <f ca="1">OFFSET(TIAM15_assumptions!$G102,0,MATCH(VLOOKUP(Assumptions!AV$2,TIAM15_assumptions!$Y$3:$Z$87,2,FALSE),TIAM15_assumptions!$H$2:$V$2,0))</f>
        <v>1</v>
      </c>
      <c r="AW102" s="57">
        <f ca="1">OFFSET(TIAM15_assumptions!$G102,0,MATCH(VLOOKUP(Assumptions!AW$2,TIAM15_assumptions!$Y$3:$Z$87,2,FALSE),TIAM15_assumptions!$H$2:$V$2,0))</f>
        <v>1</v>
      </c>
      <c r="AX102" s="57">
        <f ca="1">OFFSET(TIAM15_assumptions!$G102,0,MATCH(VLOOKUP(Assumptions!AX$2,TIAM15_assumptions!$Y$3:$Z$87,2,FALSE),TIAM15_assumptions!$H$2:$V$2,0))</f>
        <v>1</v>
      </c>
      <c r="AY102" s="57">
        <f ca="1">OFFSET(TIAM15_assumptions!$G102,0,MATCH(VLOOKUP(Assumptions!AY$2,TIAM15_assumptions!$Y$3:$Z$87,2,FALSE),TIAM15_assumptions!$H$2:$V$2,0))</f>
        <v>1</v>
      </c>
      <c r="AZ102" s="57">
        <f ca="1">OFFSET(TIAM15_assumptions!$G102,0,MATCH(VLOOKUP(Assumptions!AZ$2,TIAM15_assumptions!$Y$3:$Z$87,2,FALSE),TIAM15_assumptions!$H$2:$V$2,0))</f>
        <v>1</v>
      </c>
      <c r="BA102" s="57">
        <f ca="1">OFFSET(TIAM15_assumptions!$G102,0,MATCH(VLOOKUP(Assumptions!BA$2,TIAM15_assumptions!$Y$3:$Z$87,2,FALSE),TIAM15_assumptions!$H$2:$V$2,0))</f>
        <v>1</v>
      </c>
      <c r="BD102" s="40">
        <f ca="1">IFERROR(SUMIFS('TRA balance'!E$5:E$40,'TRA balance'!$C$5:$C$40,Assumptions!$C102,'TRA balance'!$D$5:$D$40,Assumptions!$B102)*CY102*H102,"")</f>
        <v>5.45025231072</v>
      </c>
      <c r="BE102" s="40">
        <f ca="1">IFERROR(SUMIFS('TRA balance'!F$5:F$40,'TRA balance'!$C$5:$C$40,Assumptions!$C102,'TRA balance'!$D$5:$D$40,Assumptions!$B102)*CZ102*I102,"")</f>
        <v>0.12732100668</v>
      </c>
      <c r="BF102" s="40">
        <f ca="1">IFERROR(SUMIFS('TRA balance'!G$5:G$40,'TRA balance'!$C$5:$C$40,Assumptions!$C102,'TRA balance'!$D$5:$D$40,Assumptions!$B102)*DA102*J102,"")</f>
        <v>8.16480135324</v>
      </c>
      <c r="BG102" s="40">
        <f ca="1">IFERROR(SUMIFS('TRA balance'!H$5:H$40,'TRA balance'!$C$5:$C$40,Assumptions!$C102,'TRA balance'!$D$5:$D$40,Assumptions!$B102)*DB102*K102,"")</f>
        <v>7.15220577</v>
      </c>
      <c r="BH102" s="40">
        <f ca="1">IFERROR(SUMIFS('TRA balance'!I$5:I$40,'TRA balance'!$C$5:$C$40,Assumptions!$C102,'TRA balance'!$D$5:$D$40,Assumptions!$B102)*DC102*L102,"")</f>
        <v>0.27257407776</v>
      </c>
      <c r="BI102" s="40">
        <f ca="1">IFERROR(SUMIFS('TRA balance'!J$5:J$40,'TRA balance'!$C$5:$C$40,Assumptions!$C102,'TRA balance'!$D$5:$D$40,Assumptions!$B102)*DD102*M102,"")</f>
        <v>12.1599032724</v>
      </c>
      <c r="BJ102" s="40">
        <f ca="1">IFERROR(SUMIFS('TRA balance'!K$5:K$40,'TRA balance'!$C$5:$C$40,Assumptions!$C102,'TRA balance'!$D$5:$D$40,Assumptions!$B102)*DE102*N102,"")</f>
        <v>7.6969419444</v>
      </c>
      <c r="BK102" s="40">
        <f ca="1">IFERROR(SUMIFS('TRA balance'!L$5:L$40,'TRA balance'!$C$5:$C$40,Assumptions!$C102,'TRA balance'!$D$5:$D$40,Assumptions!$B102)*DF102*O102,"")</f>
        <v>280.87385945184</v>
      </c>
      <c r="BL102" s="40">
        <f ca="1">IFERROR(SUMIFS('TRA balance'!M$5:M$40,'TRA balance'!$C$5:$C$40,Assumptions!$C102,'TRA balance'!$D$5:$D$40,Assumptions!$B102)*DG102*P102,"")</f>
        <v>1.49720219208</v>
      </c>
      <c r="BM102" s="40">
        <f ca="1">IFERROR(SUMIFS('TRA balance'!N$5:N$40,'TRA balance'!$C$5:$C$40,Assumptions!$C102,'TRA balance'!$D$5:$D$40,Assumptions!$B102)*DH102*Q102,"")</f>
        <v>6.72848318808</v>
      </c>
      <c r="BN102" s="40">
        <f ca="1">IFERROR(SUMIFS('TRA balance'!O$5:O$40,'TRA balance'!$C$5:$C$40,Assumptions!$C102,'TRA balance'!$D$5:$D$40,Assumptions!$B102)*DI102*R102,"")</f>
        <v>30.4929082008</v>
      </c>
      <c r="BO102" s="40">
        <f ca="1">IFERROR(SUMIFS('TRA balance'!P$5:P$40,'TRA balance'!$C$5:$C$40,Assumptions!$C102,'TRA balance'!$D$5:$D$40,Assumptions!$B102)*DJ102*S102,"")</f>
        <v>40.5684005328</v>
      </c>
      <c r="BP102" s="40">
        <f ca="1">IFERROR(SUMIFS('TRA balance'!Q$5:Q$40,'TRA balance'!$C$5:$C$40,Assumptions!$C102,'TRA balance'!$D$5:$D$40,Assumptions!$B102)*DK102*T102,"")</f>
        <v>0.6561594828</v>
      </c>
      <c r="BQ102" s="40">
        <f ca="1">IFERROR(SUMIFS('TRA balance'!R$5:R$40,'TRA balance'!$C$5:$C$40,Assumptions!$C102,'TRA balance'!$D$5:$D$40,Assumptions!$B102)*DL102*U102,"")</f>
        <v>7.97214365784</v>
      </c>
      <c r="BR102" s="40">
        <f ca="1">IFERROR(SUMIFS('TRA balance'!S$5:S$40,'TRA balance'!$C$5:$C$40,Assumptions!$C102,'TRA balance'!$D$5:$D$40,Assumptions!$B102)*DM102*V102,"")</f>
        <v>0</v>
      </c>
      <c r="BS102" s="40">
        <f ca="1">IFERROR(SUMIFS('TRA balance'!T$5:T$40,'TRA balance'!$C$5:$C$40,Assumptions!$C102,'TRA balance'!$D$5:$D$40,Assumptions!$B102)*DN102*W102,"")</f>
        <v>48.25295876016</v>
      </c>
      <c r="BT102" s="40">
        <f ca="1">IFERROR(SUMIFS('TRA balance'!U$5:U$40,'TRA balance'!$C$5:$C$40,Assumptions!$C102,'TRA balance'!$D$5:$D$40,Assumptions!$B102)*DO102*X102,"")</f>
        <v>0.1866098628</v>
      </c>
      <c r="BU102" s="40">
        <f ca="1">IFERROR(SUMIFS('TRA balance'!V$5:V$40,'TRA balance'!$C$5:$C$40,Assumptions!$C102,'TRA balance'!$D$5:$D$40,Assumptions!$B102)*DP102*Y102,"")</f>
        <v>19.9794682152</v>
      </c>
      <c r="BV102" s="40">
        <f ca="1">IFERROR(SUMIFS('TRA balance'!W$5:W$40,'TRA balance'!$C$5:$C$40,Assumptions!$C102,'TRA balance'!$D$5:$D$40,Assumptions!$B102)*DQ102*Z102,"")</f>
        <v>62.294203962</v>
      </c>
      <c r="BW102" s="40">
        <f ca="1">IFERROR(SUMIFS('TRA balance'!X$5:X$40,'TRA balance'!$C$5:$C$40,Assumptions!$C102,'TRA balance'!$D$5:$D$40,Assumptions!$B102)*DR102*AA102,"")</f>
        <v>4.94418960792</v>
      </c>
      <c r="BX102" s="40">
        <f ca="1">IFERROR(SUMIFS('TRA balance'!Y$5:Y$40,'TRA balance'!$C$5:$C$40,Assumptions!$C102,'TRA balance'!$D$5:$D$40,Assumptions!$B102)*DS102*AB102,"")</f>
        <v>0</v>
      </c>
      <c r="BY102" s="40">
        <f ca="1">IFERROR(SUMIFS('TRA balance'!Z$5:Z$40,'TRA balance'!$C$5:$C$40,Assumptions!$C102,'TRA balance'!$D$5:$D$40,Assumptions!$B102)*DT102*AC102,"")</f>
        <v>30.3831219312</v>
      </c>
      <c r="BZ102" s="40">
        <f ca="1">IFERROR(SUMIFS('TRA balance'!AA$5:AA$40,'TRA balance'!$C$5:$C$40,Assumptions!$C102,'TRA balance'!$D$5:$D$40,Assumptions!$B102)*DU102*AD102,"")</f>
        <v>2.1131993772</v>
      </c>
      <c r="CA102" s="40">
        <f ca="1">IFERROR(SUMIFS('TRA balance'!AB$5:AB$40,'TRA balance'!$C$5:$C$40,Assumptions!$C102,'TRA balance'!$D$5:$D$40,Assumptions!$B102)*DV102*AE102,"")</f>
        <v>10.19499532704</v>
      </c>
      <c r="CB102" s="40">
        <f ca="1">IFERROR(SUMIFS('TRA balance'!AC$5:AC$40,'TRA balance'!$C$5:$C$40,Assumptions!$C102,'TRA balance'!$D$5:$D$40,Assumptions!$B102)*DW102*AF102,"")</f>
        <v>48.4029437526</v>
      </c>
      <c r="CC102" s="40">
        <f ca="1">IFERROR(SUMIFS('TRA balance'!AD$5:AD$40,'TRA balance'!$C$5:$C$40,Assumptions!$C102,'TRA balance'!$D$5:$D$40,Assumptions!$B102)*DX102*AG102,"")</f>
        <v>154.26115214976</v>
      </c>
      <c r="CD102" s="40">
        <f ca="1">IFERROR(SUMIFS('TRA balance'!AE$5:AE$40,'TRA balance'!$C$5:$C$40,Assumptions!$C102,'TRA balance'!$D$5:$D$40,Assumptions!$B102)*DY102*AH102,"")</f>
        <v>0</v>
      </c>
      <c r="CE102" s="40">
        <f ca="1">IFERROR(SUMIFS('TRA balance'!AF$5:AF$40,'TRA balance'!$C$5:$C$40,Assumptions!$C102,'TRA balance'!$D$5:$D$40,Assumptions!$B102)*DZ102*AI102,"")</f>
        <v>6.55200119448</v>
      </c>
      <c r="CF102" s="40">
        <f ca="1">IFERROR(SUMIFS('TRA balance'!AG$5:AG$40,'TRA balance'!$C$5:$C$40,Assumptions!$C102,'TRA balance'!$D$5:$D$40,Assumptions!$B102)*EA102*AJ102,"")</f>
        <v>14.2327418976</v>
      </c>
      <c r="CG102" s="40">
        <f ca="1">IFERROR(SUMIFS('TRA balance'!AH$5:AH$40,'TRA balance'!$C$5:$C$40,Assumptions!$C102,'TRA balance'!$D$5:$D$40,Assumptions!$B102)*EB102*AK102,"")</f>
        <v>13.2546426156</v>
      </c>
      <c r="CH102" s="40">
        <f ca="1">IFERROR(SUMIFS('TRA balance'!AI$5:AI$40,'TRA balance'!$C$5:$C$40,Assumptions!$C102,'TRA balance'!$D$5:$D$40,Assumptions!$B102)*EC102*AL102,"")</f>
        <v>10.9500018084</v>
      </c>
      <c r="CI102" s="40">
        <f ca="1">IFERROR(SUMIFS('TRA balance'!AJ$5:AJ$40,'TRA balance'!$C$5:$C$40,Assumptions!$C102,'TRA balance'!$D$5:$D$40,Assumptions!$B102)*ED102*AM102,"")</f>
        <v>4.17205869588</v>
      </c>
      <c r="CJ102" s="40">
        <f ca="1">IFERROR(SUMIFS('TRA balance'!AK$5:AK$40,'TRA balance'!$C$5:$C$40,Assumptions!$C102,'TRA balance'!$D$5:$D$40,Assumptions!$B102)*EE102*AN102,"")</f>
        <v>20.3567742576</v>
      </c>
      <c r="CK102" s="40">
        <f ca="1">IFERROR(SUMIFS('TRA balance'!AL$5:AL$40,'TRA balance'!$C$5:$C$40,Assumptions!$C102,'TRA balance'!$D$5:$D$40,Assumptions!$B102)*EF102*AO102,"")</f>
        <v>15.41404584288</v>
      </c>
      <c r="CL102" s="40">
        <f ca="1">IFERROR(SUMIFS('TRA balance'!AM$5:AM$40,'TRA balance'!$C$5:$C$40,Assumptions!$C102,'TRA balance'!$D$5:$D$40,Assumptions!$B102)*EG102*AP102,"")</f>
        <v>1.51817177988</v>
      </c>
      <c r="CM102" s="40">
        <f ca="1">IFERROR(SUMIFS('TRA balance'!AN$5:AN$40,'TRA balance'!$C$5:$C$40,Assumptions!$C102,'TRA balance'!$D$5:$D$40,Assumptions!$B102)*EH102*AQ102,"")</f>
        <v>0</v>
      </c>
      <c r="CN102" s="40">
        <f ca="1">IFERROR(SUMIFS('TRA balance'!AO$5:AO$40,'TRA balance'!$C$5:$C$40,Assumptions!$C102,'TRA balance'!$D$5:$D$40,Assumptions!$B102)*EI102*AR102,"")</f>
        <v>0</v>
      </c>
      <c r="CO102" s="40">
        <f ca="1">IFERROR(SUMIFS('TRA balance'!AP$5:AP$40,'TRA balance'!$C$5:$C$40,Assumptions!$C102,'TRA balance'!$D$5:$D$40,Assumptions!$B102)*EJ102*AS102,"")</f>
        <v>0</v>
      </c>
      <c r="CP102" s="40">
        <f ca="1">IFERROR(SUMIFS('TRA balance'!AQ$5:AQ$40,'TRA balance'!$C$5:$C$40,Assumptions!$C102,'TRA balance'!$D$5:$D$40,Assumptions!$B102)*EK102*AT102,"")</f>
        <v>0</v>
      </c>
      <c r="CQ102" s="40">
        <f ca="1">IFERROR(SUMIFS('TRA balance'!AR$5:AR$40,'TRA balance'!$C$5:$C$40,Assumptions!$C102,'TRA balance'!$D$5:$D$40,Assumptions!$B102)*EL102*AU102,"")</f>
        <v>0</v>
      </c>
      <c r="CR102" s="40">
        <f ca="1">IFERROR(SUMIFS('TRA balance'!AS$5:AS$40,'TRA balance'!$C$5:$C$40,Assumptions!$C102,'TRA balance'!$D$5:$D$40,Assumptions!$B102)*EM102*AV102,"")</f>
        <v>0</v>
      </c>
      <c r="CS102" s="40">
        <f ca="1">IFERROR(SUMIFS('TRA balance'!AT$5:AT$40,'TRA balance'!$C$5:$C$40,Assumptions!$C102,'TRA balance'!$D$5:$D$40,Assumptions!$B102)*EN102*AW102,"")</f>
        <v>0</v>
      </c>
      <c r="CT102" s="40">
        <f ca="1">IFERROR(SUMIFS('TRA balance'!AU$5:AU$40,'TRA balance'!$C$5:$C$40,Assumptions!$C102,'TRA balance'!$D$5:$D$40,Assumptions!$B102)*EO102*AX102,"")</f>
        <v>0</v>
      </c>
      <c r="CU102" s="40">
        <f ca="1">IFERROR(SUMIFS('TRA balance'!AV$5:AV$40,'TRA balance'!$C$5:$C$40,Assumptions!$C102,'TRA balance'!$D$5:$D$40,Assumptions!$B102)*EP102*AY102,"")</f>
        <v>0</v>
      </c>
      <c r="CV102" s="40">
        <f ca="1">IFERROR(SUMIFS('TRA balance'!AW$5:AW$40,'TRA balance'!$C$5:$C$40,Assumptions!$C102,'TRA balance'!$D$5:$D$40,Assumptions!$B102)*EQ102*AZ102,"")</f>
        <v>0</v>
      </c>
      <c r="CW102" s="40">
        <f ca="1">IFERROR(SUMIFS('TRA balance'!AX$5:AX$40,'TRA balance'!$C$5:$C$40,Assumptions!$C102,'TRA balance'!$D$5:$D$40,Assumptions!$B102)*ER102*BA102,"")</f>
        <v>0</v>
      </c>
      <c r="CY102" s="39">
        <f ca="1" t="shared" si="86"/>
        <v>1</v>
      </c>
      <c r="CZ102" s="39">
        <f ca="1" t="shared" si="87"/>
        <v>1</v>
      </c>
      <c r="DA102" s="39">
        <f ca="1" t="shared" si="88"/>
        <v>1</v>
      </c>
      <c r="DB102" s="39">
        <f ca="1" t="shared" si="89"/>
        <v>1</v>
      </c>
      <c r="DC102" s="39">
        <f ca="1" t="shared" si="90"/>
        <v>1</v>
      </c>
      <c r="DD102" s="39">
        <f ca="1" t="shared" si="91"/>
        <v>1</v>
      </c>
      <c r="DE102" s="39">
        <f ca="1" t="shared" si="92"/>
        <v>1</v>
      </c>
      <c r="DF102" s="39">
        <f ca="1" t="shared" si="93"/>
        <v>1</v>
      </c>
      <c r="DG102" s="39">
        <f ca="1" t="shared" si="94"/>
        <v>1</v>
      </c>
      <c r="DH102" s="39">
        <f ca="1" t="shared" si="95"/>
        <v>1</v>
      </c>
      <c r="DI102" s="39">
        <f ca="1" t="shared" si="96"/>
        <v>1</v>
      </c>
      <c r="DJ102" s="39">
        <f ca="1" t="shared" si="97"/>
        <v>1</v>
      </c>
      <c r="DK102" s="39">
        <f ca="1" t="shared" si="98"/>
        <v>1</v>
      </c>
      <c r="DL102" s="39">
        <f ca="1" t="shared" si="99"/>
        <v>1</v>
      </c>
      <c r="DM102" s="39">
        <f ca="1" t="shared" si="100"/>
        <v>1</v>
      </c>
      <c r="DN102" s="39">
        <f ca="1" t="shared" si="101"/>
        <v>1</v>
      </c>
      <c r="DO102" s="39">
        <f ca="1" t="shared" si="102"/>
        <v>1</v>
      </c>
      <c r="DP102" s="39">
        <f ca="1" t="shared" si="103"/>
        <v>1</v>
      </c>
      <c r="DQ102" s="39">
        <f ca="1" t="shared" si="104"/>
        <v>1</v>
      </c>
      <c r="DR102" s="39">
        <f ca="1" t="shared" si="105"/>
        <v>1</v>
      </c>
      <c r="DS102" s="39">
        <f ca="1" t="shared" si="106"/>
        <v>1</v>
      </c>
      <c r="DT102" s="39">
        <f ca="1" t="shared" si="107"/>
        <v>1</v>
      </c>
      <c r="DU102" s="39">
        <f ca="1" t="shared" si="108"/>
        <v>1</v>
      </c>
      <c r="DV102" s="39">
        <f ca="1" t="shared" si="109"/>
        <v>1</v>
      </c>
      <c r="DW102" s="39">
        <f ca="1" t="shared" si="110"/>
        <v>1</v>
      </c>
      <c r="DX102" s="39">
        <f ca="1" t="shared" si="111"/>
        <v>1</v>
      </c>
      <c r="DY102" s="39">
        <f ca="1" t="shared" si="112"/>
        <v>1</v>
      </c>
      <c r="DZ102" s="39">
        <f ca="1" t="shared" si="113"/>
        <v>1</v>
      </c>
      <c r="EA102" s="39">
        <f ca="1" t="shared" si="114"/>
        <v>1</v>
      </c>
      <c r="EB102" s="39">
        <f ca="1" t="shared" si="115"/>
        <v>1</v>
      </c>
      <c r="EC102" s="39">
        <f ca="1" t="shared" si="116"/>
        <v>1</v>
      </c>
      <c r="ED102" s="39">
        <f ca="1" t="shared" si="117"/>
        <v>1</v>
      </c>
      <c r="EE102" s="39">
        <f ca="1" t="shared" si="118"/>
        <v>1</v>
      </c>
      <c r="EF102" s="39">
        <f ca="1" t="shared" si="119"/>
        <v>1</v>
      </c>
      <c r="EG102" s="39">
        <f ca="1" t="shared" si="120"/>
        <v>1</v>
      </c>
      <c r="EH102" s="39">
        <f ca="1" t="shared" si="121"/>
        <v>1</v>
      </c>
      <c r="EI102" s="39">
        <f ca="1" t="shared" si="122"/>
        <v>1</v>
      </c>
      <c r="EJ102" s="39">
        <f ca="1" t="shared" si="123"/>
        <v>1</v>
      </c>
      <c r="EK102" s="39">
        <f ca="1" t="shared" si="124"/>
        <v>1</v>
      </c>
      <c r="EL102" s="39">
        <f ca="1" t="shared" si="125"/>
        <v>1</v>
      </c>
      <c r="EM102" s="39">
        <f ca="1" t="shared" si="126"/>
        <v>1</v>
      </c>
      <c r="EN102" s="39">
        <f ca="1" t="shared" si="127"/>
        <v>1</v>
      </c>
      <c r="EO102" s="39">
        <f ca="1" t="shared" si="128"/>
        <v>1</v>
      </c>
      <c r="EP102" s="39">
        <f ca="1" t="shared" si="129"/>
        <v>1</v>
      </c>
      <c r="EQ102" s="39">
        <f ca="1" t="shared" si="130"/>
        <v>1</v>
      </c>
      <c r="ER102" s="39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8"/>
      <c r="D103" s="58"/>
      <c r="E103" s="59" t="s">
        <v>199</v>
      </c>
      <c r="F103" s="60" t="str">
        <f t="shared" si="146"/>
        <v>Electricity</v>
      </c>
      <c r="G103" s="58"/>
      <c r="H103" s="59" t="str">
        <f ca="1" t="shared" ref="H103" si="148">IF(SUM(H101:H102)=1,"-","&lt;&gt;1!!")</f>
        <v>-</v>
      </c>
      <c r="I103" s="59" t="str">
        <f ca="1" t="shared" ref="I103:BA103" si="149">IF(SUM(I101:I102)=1,"-","&lt;&gt;1!!")</f>
        <v>-</v>
      </c>
      <c r="J103" s="59" t="str">
        <f ca="1" t="shared" si="149"/>
        <v>-</v>
      </c>
      <c r="K103" s="59" t="str">
        <f ca="1" t="shared" si="149"/>
        <v>-</v>
      </c>
      <c r="L103" s="59" t="str">
        <f ca="1" t="shared" si="149"/>
        <v>-</v>
      </c>
      <c r="M103" s="59" t="str">
        <f ca="1" t="shared" si="149"/>
        <v>-</v>
      </c>
      <c r="N103" s="59" t="str">
        <f ca="1" t="shared" si="149"/>
        <v>-</v>
      </c>
      <c r="O103" s="59" t="str">
        <f ca="1" t="shared" si="149"/>
        <v>-</v>
      </c>
      <c r="P103" s="59" t="str">
        <f ca="1" t="shared" si="149"/>
        <v>-</v>
      </c>
      <c r="Q103" s="59" t="str">
        <f ca="1" t="shared" si="149"/>
        <v>-</v>
      </c>
      <c r="R103" s="59" t="str">
        <f ca="1" t="shared" si="149"/>
        <v>-</v>
      </c>
      <c r="S103" s="59" t="str">
        <f ca="1" t="shared" si="149"/>
        <v>-</v>
      </c>
      <c r="T103" s="59" t="str">
        <f ca="1" t="shared" si="149"/>
        <v>-</v>
      </c>
      <c r="U103" s="59" t="str">
        <f ca="1" t="shared" si="149"/>
        <v>-</v>
      </c>
      <c r="V103" s="59" t="str">
        <f ca="1" t="shared" si="149"/>
        <v>-</v>
      </c>
      <c r="W103" s="59" t="str">
        <f ca="1" t="shared" si="149"/>
        <v>-</v>
      </c>
      <c r="X103" s="59" t="str">
        <f ca="1" t="shared" si="149"/>
        <v>-</v>
      </c>
      <c r="Y103" s="59" t="str">
        <f ca="1" t="shared" si="149"/>
        <v>-</v>
      </c>
      <c r="Z103" s="59" t="str">
        <f ca="1" t="shared" si="149"/>
        <v>-</v>
      </c>
      <c r="AA103" s="59" t="str">
        <f ca="1" t="shared" si="149"/>
        <v>-</v>
      </c>
      <c r="AB103" s="59" t="str">
        <f ca="1" t="shared" si="149"/>
        <v>-</v>
      </c>
      <c r="AC103" s="59" t="str">
        <f ca="1" t="shared" si="149"/>
        <v>-</v>
      </c>
      <c r="AD103" s="59" t="str">
        <f ca="1" t="shared" si="149"/>
        <v>-</v>
      </c>
      <c r="AE103" s="59" t="str">
        <f ca="1" t="shared" si="149"/>
        <v>-</v>
      </c>
      <c r="AF103" s="59" t="str">
        <f ca="1" t="shared" si="149"/>
        <v>-</v>
      </c>
      <c r="AG103" s="59" t="str">
        <f ca="1" t="shared" si="149"/>
        <v>-</v>
      </c>
      <c r="AH103" s="59" t="str">
        <f ca="1" t="shared" si="149"/>
        <v>-</v>
      </c>
      <c r="AI103" s="59" t="str">
        <f ca="1" t="shared" si="149"/>
        <v>-</v>
      </c>
      <c r="AJ103" s="59" t="str">
        <f ca="1" t="shared" si="149"/>
        <v>-</v>
      </c>
      <c r="AK103" s="59" t="str">
        <f ca="1" t="shared" si="149"/>
        <v>-</v>
      </c>
      <c r="AL103" s="59" t="str">
        <f ca="1" t="shared" si="149"/>
        <v>-</v>
      </c>
      <c r="AM103" s="59" t="str">
        <f ca="1" t="shared" si="149"/>
        <v>-</v>
      </c>
      <c r="AN103" s="59" t="str">
        <f ca="1" t="shared" si="149"/>
        <v>-</v>
      </c>
      <c r="AO103" s="59" t="str">
        <f ca="1" t="shared" si="149"/>
        <v>-</v>
      </c>
      <c r="AP103" s="59" t="str">
        <f ca="1" t="shared" si="149"/>
        <v>-</v>
      </c>
      <c r="AQ103" s="59" t="str">
        <f ca="1" t="shared" si="149"/>
        <v>-</v>
      </c>
      <c r="AR103" s="59" t="str">
        <f ca="1" t="shared" si="149"/>
        <v>-</v>
      </c>
      <c r="AS103" s="59" t="str">
        <f ca="1" t="shared" si="149"/>
        <v>-</v>
      </c>
      <c r="AT103" s="59" t="str">
        <f ca="1" t="shared" si="149"/>
        <v>-</v>
      </c>
      <c r="AU103" s="59" t="str">
        <f ca="1" t="shared" si="149"/>
        <v>-</v>
      </c>
      <c r="AV103" s="59" t="str">
        <f ca="1" t="shared" si="149"/>
        <v>-</v>
      </c>
      <c r="AW103" s="59" t="str">
        <f ca="1" t="shared" si="149"/>
        <v>-</v>
      </c>
      <c r="AX103" s="59" t="str">
        <f ca="1" t="shared" si="149"/>
        <v>-</v>
      </c>
      <c r="AY103" s="59" t="str">
        <f ca="1" t="shared" si="149"/>
        <v>-</v>
      </c>
      <c r="AZ103" s="59" t="str">
        <f ca="1" t="shared" si="149"/>
        <v>-</v>
      </c>
      <c r="BA103" s="59" t="str">
        <f ca="1" t="shared" si="149"/>
        <v>-</v>
      </c>
      <c r="BD103" s="40" t="str">
        <f ca="1">IFERROR(SUMIFS('TRA balance'!E$5:E$40,'TRA balance'!$C$5:$C$40,Assumptions!$C103,'TRA balance'!$D$5:$D$40,Assumptions!$B103)*CY103*H103,"")</f>
        <v/>
      </c>
      <c r="BE103" s="40" t="str">
        <f ca="1">IFERROR(SUMIFS('TRA balance'!F$5:F$40,'TRA balance'!$C$5:$C$40,Assumptions!$C103,'TRA balance'!$D$5:$D$40,Assumptions!$B103)*CZ103*I103,"")</f>
        <v/>
      </c>
      <c r="BF103" s="40" t="str">
        <f ca="1">IFERROR(SUMIFS('TRA balance'!G$5:G$40,'TRA balance'!$C$5:$C$40,Assumptions!$C103,'TRA balance'!$D$5:$D$40,Assumptions!$B103)*DA103*J103,"")</f>
        <v/>
      </c>
      <c r="BG103" s="40" t="str">
        <f ca="1">IFERROR(SUMIFS('TRA balance'!H$5:H$40,'TRA balance'!$C$5:$C$40,Assumptions!$C103,'TRA balance'!$D$5:$D$40,Assumptions!$B103)*DB103*K103,"")</f>
        <v/>
      </c>
      <c r="BH103" s="40" t="str">
        <f ca="1">IFERROR(SUMIFS('TRA balance'!I$5:I$40,'TRA balance'!$C$5:$C$40,Assumptions!$C103,'TRA balance'!$D$5:$D$40,Assumptions!$B103)*DC103*L103,"")</f>
        <v/>
      </c>
      <c r="BI103" s="40" t="str">
        <f ca="1">IFERROR(SUMIFS('TRA balance'!J$5:J$40,'TRA balance'!$C$5:$C$40,Assumptions!$C103,'TRA balance'!$D$5:$D$40,Assumptions!$B103)*DD103*M103,"")</f>
        <v/>
      </c>
      <c r="BJ103" s="40" t="str">
        <f ca="1">IFERROR(SUMIFS('TRA balance'!K$5:K$40,'TRA balance'!$C$5:$C$40,Assumptions!$C103,'TRA balance'!$D$5:$D$40,Assumptions!$B103)*DE103*N103,"")</f>
        <v/>
      </c>
      <c r="BK103" s="40" t="str">
        <f ca="1">IFERROR(SUMIFS('TRA balance'!L$5:L$40,'TRA balance'!$C$5:$C$40,Assumptions!$C103,'TRA balance'!$D$5:$D$40,Assumptions!$B103)*DF103*O103,"")</f>
        <v/>
      </c>
      <c r="BL103" s="40" t="str">
        <f ca="1">IFERROR(SUMIFS('TRA balance'!M$5:M$40,'TRA balance'!$C$5:$C$40,Assumptions!$C103,'TRA balance'!$D$5:$D$40,Assumptions!$B103)*DG103*P103,"")</f>
        <v/>
      </c>
      <c r="BM103" s="40" t="str">
        <f ca="1">IFERROR(SUMIFS('TRA balance'!N$5:N$40,'TRA balance'!$C$5:$C$40,Assumptions!$C103,'TRA balance'!$D$5:$D$40,Assumptions!$B103)*DH103*Q103,"")</f>
        <v/>
      </c>
      <c r="BN103" s="40" t="str">
        <f ca="1">IFERROR(SUMIFS('TRA balance'!O$5:O$40,'TRA balance'!$C$5:$C$40,Assumptions!$C103,'TRA balance'!$D$5:$D$40,Assumptions!$B103)*DI103*R103,"")</f>
        <v/>
      </c>
      <c r="BO103" s="40" t="str">
        <f ca="1">IFERROR(SUMIFS('TRA balance'!P$5:P$40,'TRA balance'!$C$5:$C$40,Assumptions!$C103,'TRA balance'!$D$5:$D$40,Assumptions!$B103)*DJ103*S103,"")</f>
        <v/>
      </c>
      <c r="BP103" s="40" t="str">
        <f ca="1">IFERROR(SUMIFS('TRA balance'!Q$5:Q$40,'TRA balance'!$C$5:$C$40,Assumptions!$C103,'TRA balance'!$D$5:$D$40,Assumptions!$B103)*DK103*T103,"")</f>
        <v/>
      </c>
      <c r="BQ103" s="40" t="str">
        <f ca="1">IFERROR(SUMIFS('TRA balance'!R$5:R$40,'TRA balance'!$C$5:$C$40,Assumptions!$C103,'TRA balance'!$D$5:$D$40,Assumptions!$B103)*DL103*U103,"")</f>
        <v/>
      </c>
      <c r="BR103" s="40" t="str">
        <f ca="1">IFERROR(SUMIFS('TRA balance'!S$5:S$40,'TRA balance'!$C$5:$C$40,Assumptions!$C103,'TRA balance'!$D$5:$D$40,Assumptions!$B103)*DM103*V103,"")</f>
        <v/>
      </c>
      <c r="BS103" s="40" t="str">
        <f ca="1">IFERROR(SUMIFS('TRA balance'!T$5:T$40,'TRA balance'!$C$5:$C$40,Assumptions!$C103,'TRA balance'!$D$5:$D$40,Assumptions!$B103)*DN103*W103,"")</f>
        <v/>
      </c>
      <c r="BT103" s="40" t="str">
        <f ca="1">IFERROR(SUMIFS('TRA balance'!U$5:U$40,'TRA balance'!$C$5:$C$40,Assumptions!$C103,'TRA balance'!$D$5:$D$40,Assumptions!$B103)*DO103*X103,"")</f>
        <v/>
      </c>
      <c r="BU103" s="40" t="str">
        <f ca="1">IFERROR(SUMIFS('TRA balance'!V$5:V$40,'TRA balance'!$C$5:$C$40,Assumptions!$C103,'TRA balance'!$D$5:$D$40,Assumptions!$B103)*DP103*Y103,"")</f>
        <v/>
      </c>
      <c r="BV103" s="40" t="str">
        <f ca="1">IFERROR(SUMIFS('TRA balance'!W$5:W$40,'TRA balance'!$C$5:$C$40,Assumptions!$C103,'TRA balance'!$D$5:$D$40,Assumptions!$B103)*DQ103*Z103,"")</f>
        <v/>
      </c>
      <c r="BW103" s="40" t="str">
        <f ca="1">IFERROR(SUMIFS('TRA balance'!X$5:X$40,'TRA balance'!$C$5:$C$40,Assumptions!$C103,'TRA balance'!$D$5:$D$40,Assumptions!$B103)*DR103*AA103,"")</f>
        <v/>
      </c>
      <c r="BX103" s="40" t="str">
        <f ca="1">IFERROR(SUMIFS('TRA balance'!Y$5:Y$40,'TRA balance'!$C$5:$C$40,Assumptions!$C103,'TRA balance'!$D$5:$D$40,Assumptions!$B103)*DS103*AB103,"")</f>
        <v/>
      </c>
      <c r="BY103" s="40" t="str">
        <f ca="1">IFERROR(SUMIFS('TRA balance'!Z$5:Z$40,'TRA balance'!$C$5:$C$40,Assumptions!$C103,'TRA balance'!$D$5:$D$40,Assumptions!$B103)*DT103*AC103,"")</f>
        <v/>
      </c>
      <c r="BZ103" s="40" t="str">
        <f ca="1">IFERROR(SUMIFS('TRA balance'!AA$5:AA$40,'TRA balance'!$C$5:$C$40,Assumptions!$C103,'TRA balance'!$D$5:$D$40,Assumptions!$B103)*DU103*AD103,"")</f>
        <v/>
      </c>
      <c r="CA103" s="40" t="str">
        <f ca="1">IFERROR(SUMIFS('TRA balance'!AB$5:AB$40,'TRA balance'!$C$5:$C$40,Assumptions!$C103,'TRA balance'!$D$5:$D$40,Assumptions!$B103)*DV103*AE103,"")</f>
        <v/>
      </c>
      <c r="CB103" s="40" t="str">
        <f ca="1">IFERROR(SUMIFS('TRA balance'!AC$5:AC$40,'TRA balance'!$C$5:$C$40,Assumptions!$C103,'TRA balance'!$D$5:$D$40,Assumptions!$B103)*DW103*AF103,"")</f>
        <v/>
      </c>
      <c r="CC103" s="40" t="str">
        <f ca="1">IFERROR(SUMIFS('TRA balance'!AD$5:AD$40,'TRA balance'!$C$5:$C$40,Assumptions!$C103,'TRA balance'!$D$5:$D$40,Assumptions!$B103)*DX103*AG103,"")</f>
        <v/>
      </c>
      <c r="CD103" s="40" t="str">
        <f ca="1">IFERROR(SUMIFS('TRA balance'!AE$5:AE$40,'TRA balance'!$C$5:$C$40,Assumptions!$C103,'TRA balance'!$D$5:$D$40,Assumptions!$B103)*DY103*AH103,"")</f>
        <v/>
      </c>
      <c r="CE103" s="40" t="str">
        <f ca="1">IFERROR(SUMIFS('TRA balance'!AF$5:AF$40,'TRA balance'!$C$5:$C$40,Assumptions!$C103,'TRA balance'!$D$5:$D$40,Assumptions!$B103)*DZ103*AI103,"")</f>
        <v/>
      </c>
      <c r="CF103" s="40" t="str">
        <f ca="1">IFERROR(SUMIFS('TRA balance'!AG$5:AG$40,'TRA balance'!$C$5:$C$40,Assumptions!$C103,'TRA balance'!$D$5:$D$40,Assumptions!$B103)*EA103*AJ103,"")</f>
        <v/>
      </c>
      <c r="CG103" s="40" t="str">
        <f ca="1">IFERROR(SUMIFS('TRA balance'!AH$5:AH$40,'TRA balance'!$C$5:$C$40,Assumptions!$C103,'TRA balance'!$D$5:$D$40,Assumptions!$B103)*EB103*AK103,"")</f>
        <v/>
      </c>
      <c r="CH103" s="40" t="str">
        <f ca="1">IFERROR(SUMIFS('TRA balance'!AI$5:AI$40,'TRA balance'!$C$5:$C$40,Assumptions!$C103,'TRA balance'!$D$5:$D$40,Assumptions!$B103)*EC103*AL103,"")</f>
        <v/>
      </c>
      <c r="CI103" s="40" t="str">
        <f ca="1">IFERROR(SUMIFS('TRA balance'!AJ$5:AJ$40,'TRA balance'!$C$5:$C$40,Assumptions!$C103,'TRA balance'!$D$5:$D$40,Assumptions!$B103)*ED103*AM103,"")</f>
        <v/>
      </c>
      <c r="CJ103" s="40" t="str">
        <f ca="1">IFERROR(SUMIFS('TRA balance'!AK$5:AK$40,'TRA balance'!$C$5:$C$40,Assumptions!$C103,'TRA balance'!$D$5:$D$40,Assumptions!$B103)*EE103*AN103,"")</f>
        <v/>
      </c>
      <c r="CK103" s="40" t="str">
        <f ca="1">IFERROR(SUMIFS('TRA balance'!AL$5:AL$40,'TRA balance'!$C$5:$C$40,Assumptions!$C103,'TRA balance'!$D$5:$D$40,Assumptions!$B103)*EF103*AO103,"")</f>
        <v/>
      </c>
      <c r="CL103" s="40" t="str">
        <f ca="1">IFERROR(SUMIFS('TRA balance'!AM$5:AM$40,'TRA balance'!$C$5:$C$40,Assumptions!$C103,'TRA balance'!$D$5:$D$40,Assumptions!$B103)*EG103*AP103,"")</f>
        <v/>
      </c>
      <c r="CM103" s="40" t="str">
        <f ca="1">IFERROR(SUMIFS('TRA balance'!AN$5:AN$40,'TRA balance'!$C$5:$C$40,Assumptions!$C103,'TRA balance'!$D$5:$D$40,Assumptions!$B103)*EH103*AQ103,"")</f>
        <v/>
      </c>
      <c r="CN103" s="40" t="str">
        <f ca="1">IFERROR(SUMIFS('TRA balance'!AO$5:AO$40,'TRA balance'!$C$5:$C$40,Assumptions!$C103,'TRA balance'!$D$5:$D$40,Assumptions!$B103)*EI103*AR103,"")</f>
        <v/>
      </c>
      <c r="CO103" s="40" t="str">
        <f ca="1">IFERROR(SUMIFS('TRA balance'!AP$5:AP$40,'TRA balance'!$C$5:$C$40,Assumptions!$C103,'TRA balance'!$D$5:$D$40,Assumptions!$B103)*EJ103*AS103,"")</f>
        <v/>
      </c>
      <c r="CP103" s="40" t="str">
        <f ca="1">IFERROR(SUMIFS('TRA balance'!AQ$5:AQ$40,'TRA balance'!$C$5:$C$40,Assumptions!$C103,'TRA balance'!$D$5:$D$40,Assumptions!$B103)*EK103*AT103,"")</f>
        <v/>
      </c>
      <c r="CQ103" s="40" t="str">
        <f ca="1">IFERROR(SUMIFS('TRA balance'!AR$5:AR$40,'TRA balance'!$C$5:$C$40,Assumptions!$C103,'TRA balance'!$D$5:$D$40,Assumptions!$B103)*EL103*AU103,"")</f>
        <v/>
      </c>
      <c r="CR103" s="40" t="str">
        <f ca="1">IFERROR(SUMIFS('TRA balance'!AS$5:AS$40,'TRA balance'!$C$5:$C$40,Assumptions!$C103,'TRA balance'!$D$5:$D$40,Assumptions!$B103)*EM103*AV103,"")</f>
        <v/>
      </c>
      <c r="CS103" s="40" t="str">
        <f ca="1">IFERROR(SUMIFS('TRA balance'!AT$5:AT$40,'TRA balance'!$C$5:$C$40,Assumptions!$C103,'TRA balance'!$D$5:$D$40,Assumptions!$B103)*EN103*AW103,"")</f>
        <v/>
      </c>
      <c r="CT103" s="40" t="str">
        <f ca="1">IFERROR(SUMIFS('TRA balance'!AU$5:AU$40,'TRA balance'!$C$5:$C$40,Assumptions!$C103,'TRA balance'!$D$5:$D$40,Assumptions!$B103)*EO103*AX103,"")</f>
        <v/>
      </c>
      <c r="CU103" s="40" t="str">
        <f ca="1">IFERROR(SUMIFS('TRA balance'!AV$5:AV$40,'TRA balance'!$C$5:$C$40,Assumptions!$C103,'TRA balance'!$D$5:$D$40,Assumptions!$B103)*EP103*AY103,"")</f>
        <v/>
      </c>
      <c r="CV103" s="40" t="str">
        <f ca="1">IFERROR(SUMIFS('TRA balance'!AW$5:AW$40,'TRA balance'!$C$5:$C$40,Assumptions!$C103,'TRA balance'!$D$5:$D$40,Assumptions!$B103)*EQ103*AZ103,"")</f>
        <v/>
      </c>
      <c r="CW103" s="40" t="str">
        <f ca="1">IFERROR(SUMIFS('TRA balance'!AX$5:AX$40,'TRA balance'!$C$5:$C$40,Assumptions!$C103,'TRA balance'!$D$5:$D$40,Assumptions!$B103)*ER103*BA103,"")</f>
        <v/>
      </c>
      <c r="CY103" s="39">
        <f ca="1" t="shared" si="86"/>
        <v>1</v>
      </c>
      <c r="CZ103" s="39">
        <f ca="1" t="shared" si="87"/>
        <v>1</v>
      </c>
      <c r="DA103" s="39">
        <f ca="1" t="shared" si="88"/>
        <v>1</v>
      </c>
      <c r="DB103" s="39">
        <f ca="1" t="shared" si="89"/>
        <v>1</v>
      </c>
      <c r="DC103" s="39">
        <f ca="1" t="shared" si="90"/>
        <v>1</v>
      </c>
      <c r="DD103" s="39">
        <f ca="1" t="shared" si="91"/>
        <v>1</v>
      </c>
      <c r="DE103" s="39">
        <f ca="1" t="shared" si="92"/>
        <v>1</v>
      </c>
      <c r="DF103" s="39">
        <f ca="1" t="shared" si="93"/>
        <v>1</v>
      </c>
      <c r="DG103" s="39">
        <f ca="1" t="shared" si="94"/>
        <v>1</v>
      </c>
      <c r="DH103" s="39">
        <f ca="1" t="shared" si="95"/>
        <v>1</v>
      </c>
      <c r="DI103" s="39">
        <f ca="1" t="shared" si="96"/>
        <v>1</v>
      </c>
      <c r="DJ103" s="39">
        <f ca="1" t="shared" si="97"/>
        <v>1</v>
      </c>
      <c r="DK103" s="39">
        <f ca="1" t="shared" si="98"/>
        <v>1</v>
      </c>
      <c r="DL103" s="39">
        <f ca="1" t="shared" si="99"/>
        <v>1</v>
      </c>
      <c r="DM103" s="39">
        <f ca="1" t="shared" si="100"/>
        <v>1</v>
      </c>
      <c r="DN103" s="39">
        <f ca="1" t="shared" si="101"/>
        <v>1</v>
      </c>
      <c r="DO103" s="39">
        <f ca="1" t="shared" si="102"/>
        <v>1</v>
      </c>
      <c r="DP103" s="39">
        <f ca="1" t="shared" si="103"/>
        <v>1</v>
      </c>
      <c r="DQ103" s="39">
        <f ca="1" t="shared" si="104"/>
        <v>1</v>
      </c>
      <c r="DR103" s="39">
        <f ca="1" t="shared" si="105"/>
        <v>1</v>
      </c>
      <c r="DS103" s="39">
        <f ca="1" t="shared" si="106"/>
        <v>1</v>
      </c>
      <c r="DT103" s="39">
        <f ca="1" t="shared" si="107"/>
        <v>1</v>
      </c>
      <c r="DU103" s="39">
        <f ca="1" t="shared" si="108"/>
        <v>1</v>
      </c>
      <c r="DV103" s="39">
        <f ca="1" t="shared" si="109"/>
        <v>1</v>
      </c>
      <c r="DW103" s="39">
        <f ca="1" t="shared" si="110"/>
        <v>1</v>
      </c>
      <c r="DX103" s="39">
        <f ca="1" t="shared" si="111"/>
        <v>1</v>
      </c>
      <c r="DY103" s="39">
        <f ca="1" t="shared" si="112"/>
        <v>1</v>
      </c>
      <c r="DZ103" s="39">
        <f ca="1" t="shared" si="113"/>
        <v>1</v>
      </c>
      <c r="EA103" s="39">
        <f ca="1" t="shared" si="114"/>
        <v>1</v>
      </c>
      <c r="EB103" s="39">
        <f ca="1" t="shared" si="115"/>
        <v>1</v>
      </c>
      <c r="EC103" s="39">
        <f ca="1" t="shared" si="116"/>
        <v>1</v>
      </c>
      <c r="ED103" s="39">
        <f ca="1" t="shared" si="117"/>
        <v>1</v>
      </c>
      <c r="EE103" s="39">
        <f ca="1" t="shared" si="118"/>
        <v>1</v>
      </c>
      <c r="EF103" s="39">
        <f ca="1" t="shared" si="119"/>
        <v>1</v>
      </c>
      <c r="EG103" s="39">
        <f ca="1" t="shared" si="120"/>
        <v>1</v>
      </c>
      <c r="EH103" s="39">
        <f ca="1" t="shared" si="121"/>
        <v>1</v>
      </c>
      <c r="EI103" s="39">
        <f ca="1" t="shared" si="122"/>
        <v>1</v>
      </c>
      <c r="EJ103" s="39">
        <f ca="1" t="shared" si="123"/>
        <v>1</v>
      </c>
      <c r="EK103" s="39">
        <f ca="1" t="shared" si="124"/>
        <v>1</v>
      </c>
      <c r="EL103" s="39">
        <f ca="1" t="shared" si="125"/>
        <v>1</v>
      </c>
      <c r="EM103" s="39">
        <f ca="1" t="shared" si="126"/>
        <v>1</v>
      </c>
      <c r="EN103" s="39">
        <f ca="1" t="shared" si="127"/>
        <v>1</v>
      </c>
      <c r="EO103" s="39">
        <f ca="1" t="shared" si="128"/>
        <v>1</v>
      </c>
      <c r="EP103" s="39">
        <f ca="1" t="shared" si="129"/>
        <v>1</v>
      </c>
      <c r="EQ103" s="39">
        <f ca="1" t="shared" si="130"/>
        <v>1</v>
      </c>
      <c r="ER103" s="39">
        <f ca="1" t="shared" si="131"/>
        <v>1</v>
      </c>
    </row>
    <row r="104" spans="1:148">
      <c r="C104" s="38"/>
      <c r="D104" s="38"/>
      <c r="E104" s="72"/>
      <c r="F104" s="73"/>
      <c r="G104" s="38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2"/>
      <c r="AQ104" s="72"/>
      <c r="AR104" s="72"/>
      <c r="AS104" s="72"/>
      <c r="AT104" s="72"/>
      <c r="AU104" s="72"/>
      <c r="AV104" s="72"/>
      <c r="AW104" s="72"/>
      <c r="AX104" s="72"/>
      <c r="AY104" s="72"/>
      <c r="AZ104" s="72"/>
      <c r="BA104" s="72"/>
    </row>
    <row r="105" spans="1:148">
      <c r="C105" s="38"/>
      <c r="D105" s="38"/>
      <c r="E105" s="72"/>
      <c r="F105" s="73"/>
      <c r="G105" s="38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72"/>
      <c r="AW105" s="72"/>
      <c r="AX105" s="72"/>
      <c r="AY105" s="72"/>
      <c r="AZ105" s="72"/>
      <c r="BA105" s="72"/>
      <c r="BB105" s="38" t="s">
        <v>76</v>
      </c>
      <c r="BC105" s="38" t="s">
        <v>235</v>
      </c>
      <c r="BD105" s="40">
        <f>IFERROR(ABS(SUMIFS('TRA balance'!E$5:E$40,'TRA balance'!$C$5:$C$40,Assumptions!$BB105,'TRA balance'!$D$5:$D$40,Assumptions!$BC105)),"")</f>
        <v>0</v>
      </c>
      <c r="BE105" s="40">
        <f>IFERROR(ABS(SUMIFS('TRA balance'!F$5:F$40,'TRA balance'!$C$5:$C$40,Assumptions!$BB105,'TRA balance'!$D$5:$D$40,Assumptions!$BC105)),"")</f>
        <v>0</v>
      </c>
      <c r="BF105" s="40">
        <f>IFERROR(ABS(SUMIFS('TRA balance'!G$5:G$40,'TRA balance'!$C$5:$C$40,Assumptions!$BB105,'TRA balance'!$D$5:$D$40,Assumptions!$BC105)),"")</f>
        <v>0</v>
      </c>
      <c r="BG105" s="40">
        <f>IFERROR(ABS(SUMIFS('TRA balance'!H$5:H$40,'TRA balance'!$C$5:$C$40,Assumptions!$BB105,'TRA balance'!$D$5:$D$40,Assumptions!$BC105)),"")</f>
        <v>0</v>
      </c>
      <c r="BH105" s="40">
        <f>IFERROR(ABS(SUMIFS('TRA balance'!I$5:I$40,'TRA balance'!$C$5:$C$40,Assumptions!$BB105,'TRA balance'!$D$5:$D$40,Assumptions!$BC105)),"")</f>
        <v>0</v>
      </c>
      <c r="BI105" s="40">
        <f>IFERROR(ABS(SUMIFS('TRA balance'!J$5:J$40,'TRA balance'!$C$5:$C$40,Assumptions!$BB105,'TRA balance'!$D$5:$D$40,Assumptions!$BC105)),"")</f>
        <v>0</v>
      </c>
      <c r="BJ105" s="40">
        <f>IFERROR(ABS(SUMIFS('TRA balance'!K$5:K$40,'TRA balance'!$C$5:$C$40,Assumptions!$BB105,'TRA balance'!$D$5:$D$40,Assumptions!$BC105)),"")</f>
        <v>0</v>
      </c>
      <c r="BK105" s="40">
        <f>IFERROR(ABS(SUMIFS('TRA balance'!L$5:L$40,'TRA balance'!$C$5:$C$40,Assumptions!$BB105,'TRA balance'!$D$5:$D$40,Assumptions!$BC105)),"")</f>
        <v>0</v>
      </c>
      <c r="BL105" s="40">
        <f>IFERROR(ABS(SUMIFS('TRA balance'!M$5:M$40,'TRA balance'!$C$5:$C$40,Assumptions!$BB105,'TRA balance'!$D$5:$D$40,Assumptions!$BC105)),"")</f>
        <v>0</v>
      </c>
      <c r="BM105" s="40">
        <f>IFERROR(ABS(SUMIFS('TRA balance'!N$5:N$40,'TRA balance'!$C$5:$C$40,Assumptions!$BB105,'TRA balance'!$D$5:$D$40,Assumptions!$BC105)),"")</f>
        <v>0</v>
      </c>
      <c r="BN105" s="40">
        <f>IFERROR(ABS(SUMIFS('TRA balance'!O$5:O$40,'TRA balance'!$C$5:$C$40,Assumptions!$BB105,'TRA balance'!$D$5:$D$40,Assumptions!$BC105)),"")</f>
        <v>0</v>
      </c>
      <c r="BO105" s="40">
        <f>IFERROR(ABS(SUMIFS('TRA balance'!P$5:P$40,'TRA balance'!$C$5:$C$40,Assumptions!$BB105,'TRA balance'!$D$5:$D$40,Assumptions!$BC105)),"")</f>
        <v>0</v>
      </c>
      <c r="BP105" s="40">
        <f>IFERROR(ABS(SUMIFS('TRA balance'!Q$5:Q$40,'TRA balance'!$C$5:$C$40,Assumptions!$BB105,'TRA balance'!$D$5:$D$40,Assumptions!$BC105)),"")</f>
        <v>0</v>
      </c>
      <c r="BQ105" s="40">
        <f>IFERROR(ABS(SUMIFS('TRA balance'!R$5:R$40,'TRA balance'!$C$5:$C$40,Assumptions!$BB105,'TRA balance'!$D$5:$D$40,Assumptions!$BC105)),"")</f>
        <v>0</v>
      </c>
      <c r="BR105" s="40">
        <f>IFERROR(ABS(SUMIFS('TRA balance'!S$5:S$40,'TRA balance'!$C$5:$C$40,Assumptions!$BB105,'TRA balance'!$D$5:$D$40,Assumptions!$BC105)),"")</f>
        <v>0</v>
      </c>
      <c r="BS105" s="40">
        <f>IFERROR(ABS(SUMIFS('TRA balance'!T$5:T$40,'TRA balance'!$C$5:$C$40,Assumptions!$BB105,'TRA balance'!$D$5:$D$40,Assumptions!$BC105)),"")</f>
        <v>0</v>
      </c>
      <c r="BT105" s="40">
        <f>IFERROR(ABS(SUMIFS('TRA balance'!U$5:U$40,'TRA balance'!$C$5:$C$40,Assumptions!$BB105,'TRA balance'!$D$5:$D$40,Assumptions!$BC105)),"")</f>
        <v>0</v>
      </c>
      <c r="BU105" s="40">
        <f>IFERROR(ABS(SUMIFS('TRA balance'!V$5:V$40,'TRA balance'!$C$5:$C$40,Assumptions!$BB105,'TRA balance'!$D$5:$D$40,Assumptions!$BC105)),"")</f>
        <v>0</v>
      </c>
      <c r="BV105" s="40">
        <f>IFERROR(ABS(SUMIFS('TRA balance'!W$5:W$40,'TRA balance'!$C$5:$C$40,Assumptions!$BB105,'TRA balance'!$D$5:$D$40,Assumptions!$BC105)),"")</f>
        <v>0</v>
      </c>
      <c r="BW105" s="40">
        <f>IFERROR(ABS(SUMIFS('TRA balance'!X$5:X$40,'TRA balance'!$C$5:$C$40,Assumptions!$BB105,'TRA balance'!$D$5:$D$40,Assumptions!$BC105)),"")</f>
        <v>0</v>
      </c>
      <c r="BX105" s="40">
        <f>IFERROR(ABS(SUMIFS('TRA balance'!Y$5:Y$40,'TRA balance'!$C$5:$C$40,Assumptions!$BB105,'TRA balance'!$D$5:$D$40,Assumptions!$BC105)),"")</f>
        <v>0</v>
      </c>
      <c r="BY105" s="40">
        <f>IFERROR(ABS(SUMIFS('TRA balance'!Z$5:Z$40,'TRA balance'!$C$5:$C$40,Assumptions!$BB105,'TRA balance'!$D$5:$D$40,Assumptions!$BC105)),"")</f>
        <v>0</v>
      </c>
      <c r="BZ105" s="40">
        <f>IFERROR(ABS(SUMIFS('TRA balance'!AA$5:AA$40,'TRA balance'!$C$5:$C$40,Assumptions!$BB105,'TRA balance'!$D$5:$D$40,Assumptions!$BC105)),"")</f>
        <v>0</v>
      </c>
      <c r="CA105" s="40">
        <f>IFERROR(ABS(SUMIFS('TRA balance'!AB$5:AB$40,'TRA balance'!$C$5:$C$40,Assumptions!$BB105,'TRA balance'!$D$5:$D$40,Assumptions!$BC105)),"")</f>
        <v>0</v>
      </c>
      <c r="CB105" s="40">
        <f>IFERROR(ABS(SUMIFS('TRA balance'!AC$5:AC$40,'TRA balance'!$C$5:$C$40,Assumptions!$BB105,'TRA balance'!$D$5:$D$40,Assumptions!$BC105)),"")</f>
        <v>0</v>
      </c>
      <c r="CC105" s="40">
        <f>IFERROR(ABS(SUMIFS('TRA balance'!AD$5:AD$40,'TRA balance'!$C$5:$C$40,Assumptions!$BB105,'TRA balance'!$D$5:$D$40,Assumptions!$BC105)),"")</f>
        <v>0</v>
      </c>
      <c r="CD105" s="40">
        <f>IFERROR(ABS(SUMIFS('TRA balance'!AE$5:AE$40,'TRA balance'!$C$5:$C$40,Assumptions!$BB105,'TRA balance'!$D$5:$D$40,Assumptions!$BC105)),"")</f>
        <v>0</v>
      </c>
      <c r="CE105" s="40">
        <f>IFERROR(ABS(SUMIFS('TRA balance'!AF$5:AF$40,'TRA balance'!$C$5:$C$40,Assumptions!$BB105,'TRA balance'!$D$5:$D$40,Assumptions!$BC105)),"")</f>
        <v>0</v>
      </c>
      <c r="CF105" s="40">
        <f>IFERROR(ABS(SUMIFS('TRA balance'!AG$5:AG$40,'TRA balance'!$C$5:$C$40,Assumptions!$BB105,'TRA balance'!$D$5:$D$40,Assumptions!$BC105)),"")</f>
        <v>0</v>
      </c>
      <c r="CG105" s="40">
        <f>IFERROR(ABS(SUMIFS('TRA balance'!AH$5:AH$40,'TRA balance'!$C$5:$C$40,Assumptions!$BB105,'TRA balance'!$D$5:$D$40,Assumptions!$BC105)),"")</f>
        <v>0</v>
      </c>
      <c r="CH105" s="40">
        <f>IFERROR(ABS(SUMIFS('TRA balance'!AI$5:AI$40,'TRA balance'!$C$5:$C$40,Assumptions!$BB105,'TRA balance'!$D$5:$D$40,Assumptions!$BC105)),"")</f>
        <v>0</v>
      </c>
      <c r="CI105" s="40">
        <f>IFERROR(ABS(SUMIFS('TRA balance'!AJ$5:AJ$40,'TRA balance'!$C$5:$C$40,Assumptions!$BB105,'TRA balance'!$D$5:$D$40,Assumptions!$BC105)),"")</f>
        <v>0</v>
      </c>
      <c r="CJ105" s="40">
        <f>IFERROR(ABS(SUMIFS('TRA balance'!AK$5:AK$40,'TRA balance'!$C$5:$C$40,Assumptions!$BB105,'TRA balance'!$D$5:$D$40,Assumptions!$BC105)),"")</f>
        <v>0</v>
      </c>
      <c r="CK105" s="40">
        <f>IFERROR(ABS(SUMIFS('TRA balance'!AL$5:AL$40,'TRA balance'!$C$5:$C$40,Assumptions!$BB105,'TRA balance'!$D$5:$D$40,Assumptions!$BC105)),"")</f>
        <v>0</v>
      </c>
      <c r="CL105" s="40">
        <f>IFERROR(ABS(SUMIFS('TRA balance'!AM$5:AM$40,'TRA balance'!$C$5:$C$40,Assumptions!$BB105,'TRA balance'!$D$5:$D$40,Assumptions!$BC105)),"")</f>
        <v>0</v>
      </c>
      <c r="CM105" s="40">
        <f>IFERROR(ABS(SUMIFS('TRA balance'!AN$5:AN$40,'TRA balance'!$C$5:$C$40,Assumptions!$BB105,'TRA balance'!$D$5:$D$40,Assumptions!$BC105)),"")</f>
        <v>0</v>
      </c>
      <c r="CN105" s="40">
        <f>IFERROR(ABS(SUMIFS('TRA balance'!AO$5:AO$40,'TRA balance'!$C$5:$C$40,Assumptions!$BB105,'TRA balance'!$D$5:$D$40,Assumptions!$BC105)),"")</f>
        <v>0</v>
      </c>
      <c r="CO105" s="40">
        <f>IFERROR(ABS(SUMIFS('TRA balance'!AP$5:AP$40,'TRA balance'!$C$5:$C$40,Assumptions!$BB105,'TRA balance'!$D$5:$D$40,Assumptions!$BC105)),"")</f>
        <v>0</v>
      </c>
      <c r="CP105" s="40">
        <f>IFERROR(ABS(SUMIFS('TRA balance'!AQ$5:AQ$40,'TRA balance'!$C$5:$C$40,Assumptions!$BB105,'TRA balance'!$D$5:$D$40,Assumptions!$BC105)),"")</f>
        <v>0</v>
      </c>
      <c r="CQ105" s="40">
        <f>IFERROR(ABS(SUMIFS('TRA balance'!AR$5:AR$40,'TRA balance'!$C$5:$C$40,Assumptions!$BB105,'TRA balance'!$D$5:$D$40,Assumptions!$BC105)),"")</f>
        <v>0</v>
      </c>
      <c r="CR105" s="40">
        <f>IFERROR(ABS(SUMIFS('TRA balance'!AS$5:AS$40,'TRA balance'!$C$5:$C$40,Assumptions!$BB105,'TRA balance'!$D$5:$D$40,Assumptions!$BC105)),"")</f>
        <v>0</v>
      </c>
      <c r="CS105" s="40">
        <f>IFERROR(ABS(SUMIFS('TRA balance'!AT$5:AT$40,'TRA balance'!$C$5:$C$40,Assumptions!$BB105,'TRA balance'!$D$5:$D$40,Assumptions!$BC105)),"")</f>
        <v>0</v>
      </c>
      <c r="CT105" s="40">
        <f>IFERROR(ABS(SUMIFS('TRA balance'!AU$5:AU$40,'TRA balance'!$C$5:$C$40,Assumptions!$BB105,'TRA balance'!$D$5:$D$40,Assumptions!$BC105)),"")</f>
        <v>0</v>
      </c>
      <c r="CU105" s="40">
        <f>IFERROR(ABS(SUMIFS('TRA balance'!AV$5:AV$40,'TRA balance'!$C$5:$C$40,Assumptions!$BB105,'TRA balance'!$D$5:$D$40,Assumptions!$BC105)),"")</f>
        <v>0</v>
      </c>
      <c r="CV105" s="40">
        <f>IFERROR(ABS(SUMIFS('TRA balance'!AW$5:AW$40,'TRA balance'!$C$5:$C$40,Assumptions!$BB105,'TRA balance'!$D$5:$D$40,Assumptions!$BC105)),"")</f>
        <v>0</v>
      </c>
      <c r="CW105" s="40">
        <f>IFERROR(ABS(SUMIFS('TRA balance'!AX$5:AX$40,'TRA balance'!$C$5:$C$40,Assumptions!$BB105,'TRA balance'!$D$5:$D$40,Assumptions!$BC105)),"")</f>
        <v>0</v>
      </c>
      <c r="CX105" s="38"/>
      <c r="CY105" s="38"/>
      <c r="CZ105" s="38"/>
      <c r="DA105" s="38"/>
      <c r="DB105" s="38"/>
      <c r="DC105" s="38"/>
      <c r="DD105" s="38"/>
      <c r="DE105" s="38"/>
      <c r="DF105" s="38"/>
      <c r="DG105" s="38"/>
      <c r="DH105" s="38"/>
      <c r="DI105" s="38"/>
      <c r="DJ105" s="38"/>
      <c r="DK105" s="38"/>
      <c r="DL105" s="38"/>
      <c r="DM105" s="38"/>
      <c r="DN105" s="38"/>
      <c r="DO105" s="38"/>
    </row>
    <row r="106" spans="1:148">
      <c r="C106" s="38"/>
      <c r="D106" s="38"/>
      <c r="E106" s="72"/>
      <c r="F106" s="73"/>
      <c r="G106" s="38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38" t="s">
        <v>76</v>
      </c>
      <c r="BC106" s="38" t="s">
        <v>60</v>
      </c>
      <c r="BD106" s="40">
        <f>IFERROR(ABS(SUMIFS('TRA balance'!E$5:E$40,'TRA balance'!$C$5:$C$40,Assumptions!$BB106,'TRA balance'!$D$5:$D$40,Assumptions!$BC106)),"")</f>
        <v>0</v>
      </c>
      <c r="BE106" s="40">
        <f>IFERROR(ABS(SUMIFS('TRA balance'!F$5:F$40,'TRA balance'!$C$5:$C$40,Assumptions!$BB106,'TRA balance'!$D$5:$D$40,Assumptions!$BC106)),"")</f>
        <v>0</v>
      </c>
      <c r="BF106" s="40">
        <f>IFERROR(ABS(SUMIFS('TRA balance'!G$5:G$40,'TRA balance'!$C$5:$C$40,Assumptions!$BB106,'TRA balance'!$D$5:$D$40,Assumptions!$BC106)),"")</f>
        <v>0</v>
      </c>
      <c r="BG106" s="40">
        <f>IFERROR(ABS(SUMIFS('TRA balance'!H$5:H$40,'TRA balance'!$C$5:$C$40,Assumptions!$BB106,'TRA balance'!$D$5:$D$40,Assumptions!$BC106)),"")</f>
        <v>0</v>
      </c>
      <c r="BH106" s="40">
        <f>IFERROR(ABS(SUMIFS('TRA balance'!I$5:I$40,'TRA balance'!$C$5:$C$40,Assumptions!$BB106,'TRA balance'!$D$5:$D$40,Assumptions!$BC106)),"")</f>
        <v>0</v>
      </c>
      <c r="BI106" s="40">
        <f>IFERROR(ABS(SUMIFS('TRA balance'!J$5:J$40,'TRA balance'!$C$5:$C$40,Assumptions!$BB106,'TRA balance'!$D$5:$D$40,Assumptions!$BC106)),"")</f>
        <v>0</v>
      </c>
      <c r="BJ106" s="40">
        <f>IFERROR(ABS(SUMIFS('TRA balance'!K$5:K$40,'TRA balance'!$C$5:$C$40,Assumptions!$BB106,'TRA balance'!$D$5:$D$40,Assumptions!$BC106)),"")</f>
        <v>0</v>
      </c>
      <c r="BK106" s="40">
        <f>IFERROR(ABS(SUMIFS('TRA balance'!L$5:L$40,'TRA balance'!$C$5:$C$40,Assumptions!$BB106,'TRA balance'!$D$5:$D$40,Assumptions!$BC106)),"")</f>
        <v>0</v>
      </c>
      <c r="BL106" s="40">
        <f>IFERROR(ABS(SUMIFS('TRA balance'!M$5:M$40,'TRA balance'!$C$5:$C$40,Assumptions!$BB106,'TRA balance'!$D$5:$D$40,Assumptions!$BC106)),"")</f>
        <v>0</v>
      </c>
      <c r="BM106" s="40">
        <f>IFERROR(ABS(SUMIFS('TRA balance'!N$5:N$40,'TRA balance'!$C$5:$C$40,Assumptions!$BB106,'TRA balance'!$D$5:$D$40,Assumptions!$BC106)),"")</f>
        <v>0</v>
      </c>
      <c r="BN106" s="40">
        <f>IFERROR(ABS(SUMIFS('TRA balance'!O$5:O$40,'TRA balance'!$C$5:$C$40,Assumptions!$BB106,'TRA balance'!$D$5:$D$40,Assumptions!$BC106)),"")</f>
        <v>0</v>
      </c>
      <c r="BO106" s="40">
        <f>IFERROR(ABS(SUMIFS('TRA balance'!P$5:P$40,'TRA balance'!$C$5:$C$40,Assumptions!$BB106,'TRA balance'!$D$5:$D$40,Assumptions!$BC106)),"")</f>
        <v>0</v>
      </c>
      <c r="BP106" s="40">
        <f>IFERROR(ABS(SUMIFS('TRA balance'!Q$5:Q$40,'TRA balance'!$C$5:$C$40,Assumptions!$BB106,'TRA balance'!$D$5:$D$40,Assumptions!$BC106)),"")</f>
        <v>0</v>
      </c>
      <c r="BQ106" s="40">
        <f>IFERROR(ABS(SUMIFS('TRA balance'!R$5:R$40,'TRA balance'!$C$5:$C$40,Assumptions!$BB106,'TRA balance'!$D$5:$D$40,Assumptions!$BC106)),"")</f>
        <v>0</v>
      </c>
      <c r="BR106" s="40">
        <f>IFERROR(ABS(SUMIFS('TRA balance'!S$5:S$40,'TRA balance'!$C$5:$C$40,Assumptions!$BB106,'TRA balance'!$D$5:$D$40,Assumptions!$BC106)),"")</f>
        <v>0</v>
      </c>
      <c r="BS106" s="40">
        <f>IFERROR(ABS(SUMIFS('TRA balance'!T$5:T$40,'TRA balance'!$C$5:$C$40,Assumptions!$BB106,'TRA balance'!$D$5:$D$40,Assumptions!$BC106)),"")</f>
        <v>0</v>
      </c>
      <c r="BT106" s="40">
        <f>IFERROR(ABS(SUMIFS('TRA balance'!U$5:U$40,'TRA balance'!$C$5:$C$40,Assumptions!$BB106,'TRA balance'!$D$5:$D$40,Assumptions!$BC106)),"")</f>
        <v>0</v>
      </c>
      <c r="BU106" s="40">
        <f>IFERROR(ABS(SUMIFS('TRA balance'!V$5:V$40,'TRA balance'!$C$5:$C$40,Assumptions!$BB106,'TRA balance'!$D$5:$D$40,Assumptions!$BC106)),"")</f>
        <v>0</v>
      </c>
      <c r="BV106" s="40">
        <f>IFERROR(ABS(SUMIFS('TRA balance'!W$5:W$40,'TRA balance'!$C$5:$C$40,Assumptions!$BB106,'TRA balance'!$D$5:$D$40,Assumptions!$BC106)),"")</f>
        <v>0</v>
      </c>
      <c r="BW106" s="40">
        <f>IFERROR(ABS(SUMIFS('TRA balance'!X$5:X$40,'TRA balance'!$C$5:$C$40,Assumptions!$BB106,'TRA balance'!$D$5:$D$40,Assumptions!$BC106)),"")</f>
        <v>0</v>
      </c>
      <c r="BX106" s="40">
        <f>IFERROR(ABS(SUMIFS('TRA balance'!Y$5:Y$40,'TRA balance'!$C$5:$C$40,Assumptions!$BB106,'TRA balance'!$D$5:$D$40,Assumptions!$BC106)),"")</f>
        <v>0</v>
      </c>
      <c r="BY106" s="40">
        <f>IFERROR(ABS(SUMIFS('TRA balance'!Z$5:Z$40,'TRA balance'!$C$5:$C$40,Assumptions!$BB106,'TRA balance'!$D$5:$D$40,Assumptions!$BC106)),"")</f>
        <v>0</v>
      </c>
      <c r="BZ106" s="40">
        <f>IFERROR(ABS(SUMIFS('TRA balance'!AA$5:AA$40,'TRA balance'!$C$5:$C$40,Assumptions!$BB106,'TRA balance'!$D$5:$D$40,Assumptions!$BC106)),"")</f>
        <v>0</v>
      </c>
      <c r="CA106" s="40">
        <f>IFERROR(ABS(SUMIFS('TRA balance'!AB$5:AB$40,'TRA balance'!$C$5:$C$40,Assumptions!$BB106,'TRA balance'!$D$5:$D$40,Assumptions!$BC106)),"")</f>
        <v>0</v>
      </c>
      <c r="CB106" s="40">
        <f>IFERROR(ABS(SUMIFS('TRA balance'!AC$5:AC$40,'TRA balance'!$C$5:$C$40,Assumptions!$BB106,'TRA balance'!$D$5:$D$40,Assumptions!$BC106)),"")</f>
        <v>0</v>
      </c>
      <c r="CC106" s="40">
        <f>IFERROR(ABS(SUMIFS('TRA balance'!AD$5:AD$40,'TRA balance'!$C$5:$C$40,Assumptions!$BB106,'TRA balance'!$D$5:$D$40,Assumptions!$BC106)),"")</f>
        <v>0</v>
      </c>
      <c r="CD106" s="40">
        <f>IFERROR(ABS(SUMIFS('TRA balance'!AE$5:AE$40,'TRA balance'!$C$5:$C$40,Assumptions!$BB106,'TRA balance'!$D$5:$D$40,Assumptions!$BC106)),"")</f>
        <v>0</v>
      </c>
      <c r="CE106" s="40">
        <f>IFERROR(ABS(SUMIFS('TRA balance'!AF$5:AF$40,'TRA balance'!$C$5:$C$40,Assumptions!$BB106,'TRA balance'!$D$5:$D$40,Assumptions!$BC106)),"")</f>
        <v>0</v>
      </c>
      <c r="CF106" s="40">
        <f>IFERROR(ABS(SUMIFS('TRA balance'!AG$5:AG$40,'TRA balance'!$C$5:$C$40,Assumptions!$BB106,'TRA balance'!$D$5:$D$40,Assumptions!$BC106)),"")</f>
        <v>0</v>
      </c>
      <c r="CG106" s="40">
        <f>IFERROR(ABS(SUMIFS('TRA balance'!AH$5:AH$40,'TRA balance'!$C$5:$C$40,Assumptions!$BB106,'TRA balance'!$D$5:$D$40,Assumptions!$BC106)),"")</f>
        <v>0</v>
      </c>
      <c r="CH106" s="40">
        <f>IFERROR(ABS(SUMIFS('TRA balance'!AI$5:AI$40,'TRA balance'!$C$5:$C$40,Assumptions!$BB106,'TRA balance'!$D$5:$D$40,Assumptions!$BC106)),"")</f>
        <v>0</v>
      </c>
      <c r="CI106" s="40">
        <f>IFERROR(ABS(SUMIFS('TRA balance'!AJ$5:AJ$40,'TRA balance'!$C$5:$C$40,Assumptions!$BB106,'TRA balance'!$D$5:$D$40,Assumptions!$BC106)),"")</f>
        <v>0</v>
      </c>
      <c r="CJ106" s="40">
        <f>IFERROR(ABS(SUMIFS('TRA balance'!AK$5:AK$40,'TRA balance'!$C$5:$C$40,Assumptions!$BB106,'TRA balance'!$D$5:$D$40,Assumptions!$BC106)),"")</f>
        <v>0</v>
      </c>
      <c r="CK106" s="40">
        <f>IFERROR(ABS(SUMIFS('TRA balance'!AL$5:AL$40,'TRA balance'!$C$5:$C$40,Assumptions!$BB106,'TRA balance'!$D$5:$D$40,Assumptions!$BC106)),"")</f>
        <v>0</v>
      </c>
      <c r="CL106" s="40">
        <f>IFERROR(ABS(SUMIFS('TRA balance'!AM$5:AM$40,'TRA balance'!$C$5:$C$40,Assumptions!$BB106,'TRA balance'!$D$5:$D$40,Assumptions!$BC106)),"")</f>
        <v>0</v>
      </c>
      <c r="CM106" s="40">
        <f>IFERROR(ABS(SUMIFS('TRA balance'!AN$5:AN$40,'TRA balance'!$C$5:$C$40,Assumptions!$BB106,'TRA balance'!$D$5:$D$40,Assumptions!$BC106)),"")</f>
        <v>0</v>
      </c>
      <c r="CN106" s="40">
        <f>IFERROR(ABS(SUMIFS('TRA balance'!AO$5:AO$40,'TRA balance'!$C$5:$C$40,Assumptions!$BB106,'TRA balance'!$D$5:$D$40,Assumptions!$BC106)),"")</f>
        <v>0</v>
      </c>
      <c r="CO106" s="40">
        <f>IFERROR(ABS(SUMIFS('TRA balance'!AP$5:AP$40,'TRA balance'!$C$5:$C$40,Assumptions!$BB106,'TRA balance'!$D$5:$D$40,Assumptions!$BC106)),"")</f>
        <v>0</v>
      </c>
      <c r="CP106" s="40">
        <f>IFERROR(ABS(SUMIFS('TRA balance'!AQ$5:AQ$40,'TRA balance'!$C$5:$C$40,Assumptions!$BB106,'TRA balance'!$D$5:$D$40,Assumptions!$BC106)),"")</f>
        <v>0</v>
      </c>
      <c r="CQ106" s="40">
        <f>IFERROR(ABS(SUMIFS('TRA balance'!AR$5:AR$40,'TRA balance'!$C$5:$C$40,Assumptions!$BB106,'TRA balance'!$D$5:$D$40,Assumptions!$BC106)),"")</f>
        <v>0</v>
      </c>
      <c r="CR106" s="40">
        <f>IFERROR(ABS(SUMIFS('TRA balance'!AS$5:AS$40,'TRA balance'!$C$5:$C$40,Assumptions!$BB106,'TRA balance'!$D$5:$D$40,Assumptions!$BC106)),"")</f>
        <v>0</v>
      </c>
      <c r="CS106" s="40">
        <f>IFERROR(ABS(SUMIFS('TRA balance'!AT$5:AT$40,'TRA balance'!$C$5:$C$40,Assumptions!$BB106,'TRA balance'!$D$5:$D$40,Assumptions!$BC106)),"")</f>
        <v>0</v>
      </c>
      <c r="CT106" s="40">
        <f>IFERROR(ABS(SUMIFS('TRA balance'!AU$5:AU$40,'TRA balance'!$C$5:$C$40,Assumptions!$BB106,'TRA balance'!$D$5:$D$40,Assumptions!$BC106)),"")</f>
        <v>0</v>
      </c>
      <c r="CU106" s="40">
        <f>IFERROR(ABS(SUMIFS('TRA balance'!AV$5:AV$40,'TRA balance'!$C$5:$C$40,Assumptions!$BB106,'TRA balance'!$D$5:$D$40,Assumptions!$BC106)),"")</f>
        <v>0</v>
      </c>
      <c r="CV106" s="40">
        <f>IFERROR(ABS(SUMIFS('TRA balance'!AW$5:AW$40,'TRA balance'!$C$5:$C$40,Assumptions!$BB106,'TRA balance'!$D$5:$D$40,Assumptions!$BC106)),"")</f>
        <v>0</v>
      </c>
      <c r="CW106" s="40">
        <f>IFERROR(ABS(SUMIFS('TRA balance'!AX$5:AX$40,'TRA balance'!$C$5:$C$40,Assumptions!$BB106,'TRA balance'!$D$5:$D$40,Assumptions!$BC106)),"")</f>
        <v>0</v>
      </c>
      <c r="CX106" s="38"/>
      <c r="CY106" s="38"/>
      <c r="CZ106" s="38"/>
      <c r="DA106" s="38"/>
      <c r="DB106" s="38"/>
      <c r="DC106" s="38"/>
      <c r="DD106" s="38"/>
      <c r="DE106" s="38"/>
      <c r="DF106" s="38"/>
      <c r="DG106" s="38"/>
      <c r="DH106" s="38"/>
      <c r="DI106" s="38"/>
      <c r="DJ106" s="38"/>
      <c r="DK106" s="38"/>
      <c r="DL106" s="38"/>
      <c r="DM106" s="38"/>
      <c r="DN106" s="38"/>
      <c r="DO106" s="38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8" t="s">
        <v>76</v>
      </c>
      <c r="BC107" s="38" t="s">
        <v>69</v>
      </c>
      <c r="BD107" s="40">
        <f>IFERROR(ABS(SUMIFS('TRA balance'!E$5:E$40,'TRA balance'!$C$5:$C$40,Assumptions!$BB107,'TRA balance'!$D$5:$D$40,Assumptions!$BC107)),"")</f>
        <v>0</v>
      </c>
      <c r="BE107" s="40">
        <f>IFERROR(ABS(SUMIFS('TRA balance'!F$5:F$40,'TRA balance'!$C$5:$C$40,Assumptions!$BB107,'TRA balance'!$D$5:$D$40,Assumptions!$BC107)),"")</f>
        <v>0</v>
      </c>
      <c r="BF107" s="40">
        <f>IFERROR(ABS(SUMIFS('TRA balance'!G$5:G$40,'TRA balance'!$C$5:$C$40,Assumptions!$BB107,'TRA balance'!$D$5:$D$40,Assumptions!$BC107)),"")</f>
        <v>0</v>
      </c>
      <c r="BG107" s="40">
        <f>IFERROR(ABS(SUMIFS('TRA balance'!H$5:H$40,'TRA balance'!$C$5:$C$40,Assumptions!$BB107,'TRA balance'!$D$5:$D$40,Assumptions!$BC107)),"")</f>
        <v>0</v>
      </c>
      <c r="BH107" s="40">
        <f>IFERROR(ABS(SUMIFS('TRA balance'!I$5:I$40,'TRA balance'!$C$5:$C$40,Assumptions!$BB107,'TRA balance'!$D$5:$D$40,Assumptions!$BC107)),"")</f>
        <v>0</v>
      </c>
      <c r="BI107" s="40">
        <f>IFERROR(ABS(SUMIFS('TRA balance'!J$5:J$40,'TRA balance'!$C$5:$C$40,Assumptions!$BB107,'TRA balance'!$D$5:$D$40,Assumptions!$BC107)),"")</f>
        <v>0</v>
      </c>
      <c r="BJ107" s="40">
        <f>IFERROR(ABS(SUMIFS('TRA balance'!K$5:K$40,'TRA balance'!$C$5:$C$40,Assumptions!$BB107,'TRA balance'!$D$5:$D$40,Assumptions!$BC107)),"")</f>
        <v>0</v>
      </c>
      <c r="BK107" s="40">
        <f>IFERROR(ABS(SUMIFS('TRA balance'!L$5:L$40,'TRA balance'!$C$5:$C$40,Assumptions!$BB107,'TRA balance'!$D$5:$D$40,Assumptions!$BC107)),"")</f>
        <v>0</v>
      </c>
      <c r="BL107" s="40">
        <f>IFERROR(ABS(SUMIFS('TRA balance'!M$5:M$40,'TRA balance'!$C$5:$C$40,Assumptions!$BB107,'TRA balance'!$D$5:$D$40,Assumptions!$BC107)),"")</f>
        <v>0</v>
      </c>
      <c r="BM107" s="40">
        <f>IFERROR(ABS(SUMIFS('TRA balance'!N$5:N$40,'TRA balance'!$C$5:$C$40,Assumptions!$BB107,'TRA balance'!$D$5:$D$40,Assumptions!$BC107)),"")</f>
        <v>0</v>
      </c>
      <c r="BN107" s="40">
        <f>IFERROR(ABS(SUMIFS('TRA balance'!O$5:O$40,'TRA balance'!$C$5:$C$40,Assumptions!$BB107,'TRA balance'!$D$5:$D$40,Assumptions!$BC107)),"")</f>
        <v>0</v>
      </c>
      <c r="BO107" s="40">
        <f>IFERROR(ABS(SUMIFS('TRA balance'!P$5:P$40,'TRA balance'!$C$5:$C$40,Assumptions!$BB107,'TRA balance'!$D$5:$D$40,Assumptions!$BC107)),"")</f>
        <v>0</v>
      </c>
      <c r="BP107" s="40">
        <f>IFERROR(ABS(SUMIFS('TRA balance'!Q$5:Q$40,'TRA balance'!$C$5:$C$40,Assumptions!$BB107,'TRA balance'!$D$5:$D$40,Assumptions!$BC107)),"")</f>
        <v>0</v>
      </c>
      <c r="BQ107" s="40">
        <f>IFERROR(ABS(SUMIFS('TRA balance'!R$5:R$40,'TRA balance'!$C$5:$C$40,Assumptions!$BB107,'TRA balance'!$D$5:$D$40,Assumptions!$BC107)),"")</f>
        <v>0</v>
      </c>
      <c r="BR107" s="40">
        <f>IFERROR(ABS(SUMIFS('TRA balance'!S$5:S$40,'TRA balance'!$C$5:$C$40,Assumptions!$BB107,'TRA balance'!$D$5:$D$40,Assumptions!$BC107)),"")</f>
        <v>0</v>
      </c>
      <c r="BS107" s="40">
        <f>IFERROR(ABS(SUMIFS('TRA balance'!T$5:T$40,'TRA balance'!$C$5:$C$40,Assumptions!$BB107,'TRA balance'!$D$5:$D$40,Assumptions!$BC107)),"")</f>
        <v>0</v>
      </c>
      <c r="BT107" s="40">
        <f>IFERROR(ABS(SUMIFS('TRA balance'!U$5:U$40,'TRA balance'!$C$5:$C$40,Assumptions!$BB107,'TRA balance'!$D$5:$D$40,Assumptions!$BC107)),"")</f>
        <v>0</v>
      </c>
      <c r="BU107" s="40">
        <f>IFERROR(ABS(SUMIFS('TRA balance'!V$5:V$40,'TRA balance'!$C$5:$C$40,Assumptions!$BB107,'TRA balance'!$D$5:$D$40,Assumptions!$BC107)),"")</f>
        <v>0</v>
      </c>
      <c r="BV107" s="40">
        <f>IFERROR(ABS(SUMIFS('TRA balance'!W$5:W$40,'TRA balance'!$C$5:$C$40,Assumptions!$BB107,'TRA balance'!$D$5:$D$40,Assumptions!$BC107)),"")</f>
        <v>0</v>
      </c>
      <c r="BW107" s="40">
        <f>IFERROR(ABS(SUMIFS('TRA balance'!X$5:X$40,'TRA balance'!$C$5:$C$40,Assumptions!$BB107,'TRA balance'!$D$5:$D$40,Assumptions!$BC107)),"")</f>
        <v>0</v>
      </c>
      <c r="BX107" s="40">
        <f>IFERROR(ABS(SUMIFS('TRA balance'!Y$5:Y$40,'TRA balance'!$C$5:$C$40,Assumptions!$BB107,'TRA balance'!$D$5:$D$40,Assumptions!$BC107)),"")</f>
        <v>0</v>
      </c>
      <c r="BY107" s="40">
        <f>IFERROR(ABS(SUMIFS('TRA balance'!Z$5:Z$40,'TRA balance'!$C$5:$C$40,Assumptions!$BB107,'TRA balance'!$D$5:$D$40,Assumptions!$BC107)),"")</f>
        <v>0</v>
      </c>
      <c r="BZ107" s="40">
        <f>IFERROR(ABS(SUMIFS('TRA balance'!AA$5:AA$40,'TRA balance'!$C$5:$C$40,Assumptions!$BB107,'TRA balance'!$D$5:$D$40,Assumptions!$BC107)),"")</f>
        <v>0</v>
      </c>
      <c r="CA107" s="40">
        <f>IFERROR(ABS(SUMIFS('TRA balance'!AB$5:AB$40,'TRA balance'!$C$5:$C$40,Assumptions!$BB107,'TRA balance'!$D$5:$D$40,Assumptions!$BC107)),"")</f>
        <v>0</v>
      </c>
      <c r="CB107" s="40">
        <f>IFERROR(ABS(SUMIFS('TRA balance'!AC$5:AC$40,'TRA balance'!$C$5:$C$40,Assumptions!$BB107,'TRA balance'!$D$5:$D$40,Assumptions!$BC107)),"")</f>
        <v>0</v>
      </c>
      <c r="CC107" s="40">
        <f>IFERROR(ABS(SUMIFS('TRA balance'!AD$5:AD$40,'TRA balance'!$C$5:$C$40,Assumptions!$BB107,'TRA balance'!$D$5:$D$40,Assumptions!$BC107)),"")</f>
        <v>0</v>
      </c>
      <c r="CD107" s="40">
        <f>IFERROR(ABS(SUMIFS('TRA balance'!AE$5:AE$40,'TRA balance'!$C$5:$C$40,Assumptions!$BB107,'TRA balance'!$D$5:$D$40,Assumptions!$BC107)),"")</f>
        <v>0</v>
      </c>
      <c r="CE107" s="40">
        <f>IFERROR(ABS(SUMIFS('TRA balance'!AF$5:AF$40,'TRA balance'!$C$5:$C$40,Assumptions!$BB107,'TRA balance'!$D$5:$D$40,Assumptions!$BC107)),"")</f>
        <v>0</v>
      </c>
      <c r="CF107" s="40">
        <f>IFERROR(ABS(SUMIFS('TRA balance'!AG$5:AG$40,'TRA balance'!$C$5:$C$40,Assumptions!$BB107,'TRA balance'!$D$5:$D$40,Assumptions!$BC107)),"")</f>
        <v>0</v>
      </c>
      <c r="CG107" s="40">
        <f>IFERROR(ABS(SUMIFS('TRA balance'!AH$5:AH$40,'TRA balance'!$C$5:$C$40,Assumptions!$BB107,'TRA balance'!$D$5:$D$40,Assumptions!$BC107)),"")</f>
        <v>0</v>
      </c>
      <c r="CH107" s="40">
        <f>IFERROR(ABS(SUMIFS('TRA balance'!AI$5:AI$40,'TRA balance'!$C$5:$C$40,Assumptions!$BB107,'TRA balance'!$D$5:$D$40,Assumptions!$BC107)),"")</f>
        <v>0</v>
      </c>
      <c r="CI107" s="40">
        <f>IFERROR(ABS(SUMIFS('TRA balance'!AJ$5:AJ$40,'TRA balance'!$C$5:$C$40,Assumptions!$BB107,'TRA balance'!$D$5:$D$40,Assumptions!$BC107)),"")</f>
        <v>0</v>
      </c>
      <c r="CJ107" s="40">
        <f>IFERROR(ABS(SUMIFS('TRA balance'!AK$5:AK$40,'TRA balance'!$C$5:$C$40,Assumptions!$BB107,'TRA balance'!$D$5:$D$40,Assumptions!$BC107)),"")</f>
        <v>0</v>
      </c>
      <c r="CK107" s="40">
        <f>IFERROR(ABS(SUMIFS('TRA balance'!AL$5:AL$40,'TRA balance'!$C$5:$C$40,Assumptions!$BB107,'TRA balance'!$D$5:$D$40,Assumptions!$BC107)),"")</f>
        <v>5.0799993516</v>
      </c>
      <c r="CL107" s="40">
        <f>IFERROR(ABS(SUMIFS('TRA balance'!AM$5:AM$40,'TRA balance'!$C$5:$C$40,Assumptions!$BB107,'TRA balance'!$D$5:$D$40,Assumptions!$BC107)),"")</f>
        <v>0</v>
      </c>
      <c r="CM107" s="40">
        <f>IFERROR(ABS(SUMIFS('TRA balance'!AN$5:AN$40,'TRA balance'!$C$5:$C$40,Assumptions!$BB107,'TRA balance'!$D$5:$D$40,Assumptions!$BC107)),"")</f>
        <v>0</v>
      </c>
      <c r="CN107" s="40">
        <f>IFERROR(ABS(SUMIFS('TRA balance'!AO$5:AO$40,'TRA balance'!$C$5:$C$40,Assumptions!$BB107,'TRA balance'!$D$5:$D$40,Assumptions!$BC107)),"")</f>
        <v>0</v>
      </c>
      <c r="CO107" s="40">
        <f>IFERROR(ABS(SUMIFS('TRA balance'!AP$5:AP$40,'TRA balance'!$C$5:$C$40,Assumptions!$BB107,'TRA balance'!$D$5:$D$40,Assumptions!$BC107)),"")</f>
        <v>0</v>
      </c>
      <c r="CP107" s="40">
        <f>IFERROR(ABS(SUMIFS('TRA balance'!AQ$5:AQ$40,'TRA balance'!$C$5:$C$40,Assumptions!$BB107,'TRA balance'!$D$5:$D$40,Assumptions!$BC107)),"")</f>
        <v>0</v>
      </c>
      <c r="CQ107" s="40">
        <f>IFERROR(ABS(SUMIFS('TRA balance'!AR$5:AR$40,'TRA balance'!$C$5:$C$40,Assumptions!$BB107,'TRA balance'!$D$5:$D$40,Assumptions!$BC107)),"")</f>
        <v>0</v>
      </c>
      <c r="CR107" s="40">
        <f>IFERROR(ABS(SUMIFS('TRA balance'!AS$5:AS$40,'TRA balance'!$C$5:$C$40,Assumptions!$BB107,'TRA balance'!$D$5:$D$40,Assumptions!$BC107)),"")</f>
        <v>0</v>
      </c>
      <c r="CS107" s="40">
        <f>IFERROR(ABS(SUMIFS('TRA balance'!AT$5:AT$40,'TRA balance'!$C$5:$C$40,Assumptions!$BB107,'TRA balance'!$D$5:$D$40,Assumptions!$BC107)),"")</f>
        <v>0</v>
      </c>
      <c r="CT107" s="40">
        <f>IFERROR(ABS(SUMIFS('TRA balance'!AU$5:AU$40,'TRA balance'!$C$5:$C$40,Assumptions!$BB107,'TRA balance'!$D$5:$D$40,Assumptions!$BC107)),"")</f>
        <v>0</v>
      </c>
      <c r="CU107" s="40">
        <f>IFERROR(ABS(SUMIFS('TRA balance'!AV$5:AV$40,'TRA balance'!$C$5:$C$40,Assumptions!$BB107,'TRA balance'!$D$5:$D$40,Assumptions!$BC107)),"")</f>
        <v>0</v>
      </c>
      <c r="CV107" s="40">
        <f>IFERROR(ABS(SUMIFS('TRA balance'!AW$5:AW$40,'TRA balance'!$C$5:$C$40,Assumptions!$BB107,'TRA balance'!$D$5:$D$40,Assumptions!$BC107)),"")</f>
        <v>0</v>
      </c>
      <c r="CW107" s="40">
        <f>IFERROR(ABS(SUMIFS('TRA balance'!AX$5:AX$40,'TRA balance'!$C$5:$C$40,Assumptions!$BB107,'TRA balance'!$D$5:$D$40,Assumptions!$BC107)),"")</f>
        <v>0</v>
      </c>
      <c r="CX107" s="38"/>
      <c r="CY107" s="38"/>
      <c r="CZ107" s="38"/>
      <c r="DA107" s="38"/>
      <c r="DB107" s="38"/>
      <c r="DC107" s="38"/>
      <c r="DD107" s="38"/>
      <c r="DE107" s="38"/>
      <c r="DF107" s="38"/>
      <c r="DG107" s="38"/>
      <c r="DH107" s="38"/>
      <c r="DI107" s="38"/>
      <c r="DJ107" s="38"/>
      <c r="DK107" s="38"/>
      <c r="DL107" s="38"/>
      <c r="DM107" s="38"/>
      <c r="DN107" s="38"/>
      <c r="DO107" s="38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8" t="s">
        <v>76</v>
      </c>
      <c r="BC108" s="38" t="s">
        <v>72</v>
      </c>
      <c r="BD108" s="40">
        <f>IFERROR(ABS(SUMIFS('TRA balance'!E$5:E$40,'TRA balance'!$C$5:$C$40,Assumptions!$BB108,'TRA balance'!$D$5:$D$40,Assumptions!$BC108)),"")</f>
        <v>99.1230300972</v>
      </c>
      <c r="BE108" s="40">
        <f>IFERROR(ABS(SUMIFS('TRA balance'!F$5:F$40,'TRA balance'!$C$5:$C$40,Assumptions!$BB108,'TRA balance'!$D$5:$D$40,Assumptions!$BC108)),"")</f>
        <v>192.0928039704</v>
      </c>
      <c r="BF108" s="40">
        <f>IFERROR(ABS(SUMIFS('TRA balance'!G$5:G$40,'TRA balance'!$C$5:$C$40,Assumptions!$BB108,'TRA balance'!$D$5:$D$40,Assumptions!$BC108)),"")</f>
        <v>211.3565345388</v>
      </c>
      <c r="BG108" s="40">
        <f>IFERROR(ABS(SUMIFS('TRA balance'!H$5:H$40,'TRA balance'!$C$5:$C$40,Assumptions!$BB108,'TRA balance'!$D$5:$D$40,Assumptions!$BC108)),"")</f>
        <v>39.6794089152</v>
      </c>
      <c r="BH108" s="40">
        <f>IFERROR(ABS(SUMIFS('TRA balance'!I$5:I$40,'TRA balance'!$C$5:$C$40,Assumptions!$BB108,'TRA balance'!$D$5:$D$40,Assumptions!$BC108)),"")</f>
        <v>14.5334462472</v>
      </c>
      <c r="BI108" s="40">
        <f>IFERROR(ABS(SUMIFS('TRA balance'!J$5:J$40,'TRA balance'!$C$5:$C$40,Assumptions!$BB108,'TRA balance'!$D$5:$D$40,Assumptions!$BC108)),"")</f>
        <v>260.8231662324</v>
      </c>
      <c r="BJ108" s="40">
        <f>IFERROR(ABS(SUMIFS('TRA balance'!K$5:K$40,'TRA balance'!$C$5:$C$40,Assumptions!$BB108,'TRA balance'!$D$5:$D$40,Assumptions!$BC108)),"")</f>
        <v>101.4462184284</v>
      </c>
      <c r="BK108" s="40">
        <f>IFERROR(ABS(SUMIFS('TRA balance'!L$5:L$40,'TRA balance'!$C$5:$C$40,Assumptions!$BB108,'TRA balance'!$D$5:$D$40,Assumptions!$BC108)),"")</f>
        <v>449.183894364</v>
      </c>
      <c r="BL108" s="40">
        <f>IFERROR(ABS(SUMIFS('TRA balance'!M$5:M$40,'TRA balance'!$C$5:$C$40,Assumptions!$BB108,'TRA balance'!$D$5:$D$40,Assumptions!$BC108)),"")</f>
        <v>9.4939499988</v>
      </c>
      <c r="BM108" s="40">
        <f>IFERROR(ABS(SUMIFS('TRA balance'!N$5:N$40,'TRA balance'!$C$5:$C$40,Assumptions!$BB108,'TRA balance'!$D$5:$D$40,Assumptions!$BC108)),"")</f>
        <v>19.3069969596</v>
      </c>
      <c r="BN108" s="40">
        <f>IFERROR(ABS(SUMIFS('TRA balance'!O$5:O$40,'TRA balance'!$C$5:$C$40,Assumptions!$BB108,'TRA balance'!$D$5:$D$40,Assumptions!$BC108)),"")</f>
        <v>260.0460249768</v>
      </c>
      <c r="BO108" s="40">
        <f>IFERROR(ABS(SUMIFS('TRA balance'!P$5:P$40,'TRA balance'!$C$5:$C$40,Assumptions!$BB108,'TRA balance'!$D$5:$D$40,Assumptions!$BC108)),"")</f>
        <v>409.8760011468</v>
      </c>
      <c r="BP108" s="40">
        <f>IFERROR(ABS(SUMIFS('TRA balance'!Q$5:Q$40,'TRA balance'!$C$5:$C$40,Assumptions!$BB108,'TRA balance'!$D$5:$D$40,Assumptions!$BC108)),"")</f>
        <v>60.3557197488</v>
      </c>
      <c r="BQ108" s="40">
        <f>IFERROR(ABS(SUMIFS('TRA balance'!R$5:R$40,'TRA balance'!$C$5:$C$40,Assumptions!$BB108,'TRA balance'!$D$5:$D$40,Assumptions!$BC108)),"")</f>
        <v>28.1800487052</v>
      </c>
      <c r="BR108" s="40">
        <f>IFERROR(ABS(SUMIFS('TRA balance'!S$5:S$40,'TRA balance'!$C$5:$C$40,Assumptions!$BB108,'TRA balance'!$D$5:$D$40,Assumptions!$BC108)),"")</f>
        <v>13.0422420648</v>
      </c>
      <c r="BS108" s="40">
        <f>IFERROR(ABS(SUMIFS('TRA balance'!T$5:T$40,'TRA balance'!$C$5:$C$40,Assumptions!$BB108,'TRA balance'!$D$5:$D$40,Assumptions!$BC108)),"")</f>
        <v>177.4691070624</v>
      </c>
      <c r="BT108" s="40">
        <f>IFERROR(ABS(SUMIFS('TRA balance'!U$5:U$40,'TRA balance'!$C$5:$C$40,Assumptions!$BB108,'TRA balance'!$D$5:$D$40,Assumptions!$BC108)),"")</f>
        <v>45.3314591244</v>
      </c>
      <c r="BU108" s="40">
        <f>IFERROR(ABS(SUMIFS('TRA balance'!V$5:V$40,'TRA balance'!$C$5:$C$40,Assumptions!$BB108,'TRA balance'!$D$5:$D$40,Assumptions!$BC108)),"")</f>
        <v>173.0543776704</v>
      </c>
      <c r="BV108" s="40">
        <f>IFERROR(ABS(SUMIFS('TRA balance'!W$5:W$40,'TRA balance'!$C$5:$C$40,Assumptions!$BB108,'TRA balance'!$D$5:$D$40,Assumptions!$BC108)),"")</f>
        <v>305.523649476</v>
      </c>
      <c r="BW108" s="40">
        <f>IFERROR(ABS(SUMIFS('TRA balance'!X$5:X$40,'TRA balance'!$C$5:$C$40,Assumptions!$BB108,'TRA balance'!$D$5:$D$40,Assumptions!$BC108)),"")</f>
        <v>322.4176638048</v>
      </c>
      <c r="BX108" s="40">
        <f>IFERROR(ABS(SUMIFS('TRA balance'!Y$5:Y$40,'TRA balance'!$C$5:$C$40,Assumptions!$BB108,'TRA balance'!$D$5:$D$40,Assumptions!$BC108)),"")</f>
        <v>762.824241792</v>
      </c>
      <c r="BY108" s="40">
        <f>IFERROR(ABS(SUMIFS('TRA balance'!Z$5:Z$40,'TRA balance'!$C$5:$C$40,Assumptions!$BB108,'TRA balance'!$D$5:$D$40,Assumptions!$BC108)),"")</f>
        <v>1284.8589878796</v>
      </c>
      <c r="BZ108" s="40">
        <f>IFERROR(ABS(SUMIFS('TRA balance'!AA$5:AA$40,'TRA balance'!$C$5:$C$40,Assumptions!$BB108,'TRA balance'!$D$5:$D$40,Assumptions!$BC108)),"")</f>
        <v>22.9425293772</v>
      </c>
      <c r="CA108" s="40">
        <f>IFERROR(ABS(SUMIFS('TRA balance'!AB$5:AB$40,'TRA balance'!$C$5:$C$40,Assumptions!$BB108,'TRA balance'!$D$5:$D$40,Assumptions!$BC108)),"")</f>
        <v>45.0546614028</v>
      </c>
      <c r="CB108" s="40">
        <f>IFERROR(ABS(SUMIFS('TRA balance'!AC$5:AC$40,'TRA balance'!$C$5:$C$40,Assumptions!$BB108,'TRA balance'!$D$5:$D$40,Assumptions!$BC108)),"")</f>
        <v>1737.5925643272</v>
      </c>
      <c r="CC108" s="40">
        <f>IFERROR(ABS(SUMIFS('TRA balance'!AD$5:AD$40,'TRA balance'!$C$5:$C$40,Assumptions!$BB108,'TRA balance'!$D$5:$D$40,Assumptions!$BC108)),"")</f>
        <v>253.1128809564</v>
      </c>
      <c r="CD108" s="40">
        <f>IFERROR(ABS(SUMIFS('TRA balance'!AE$5:AE$40,'TRA balance'!$C$5:$C$40,Assumptions!$BB108,'TRA balance'!$D$5:$D$40,Assumptions!$BC108)),"")</f>
        <v>153.0961909596</v>
      </c>
      <c r="CE108" s="40">
        <f>IFERROR(ABS(SUMIFS('TRA balance'!AF$5:AF$40,'TRA balance'!$C$5:$C$40,Assumptions!$BB108,'TRA balance'!$D$5:$D$40,Assumptions!$BC108)),"")</f>
        <v>46.0725980868</v>
      </c>
      <c r="CF108" s="40">
        <f>IFERROR(ABS(SUMIFS('TRA balance'!AG$5:AG$40,'TRA balance'!$C$5:$C$40,Assumptions!$BB108,'TRA balance'!$D$5:$D$40,Assumptions!$BC108)),"")</f>
        <v>260.6991071616</v>
      </c>
      <c r="CG108" s="40">
        <f>IFERROR(ABS(SUMIFS('TRA balance'!AH$5:AH$40,'TRA balance'!$C$5:$C$40,Assumptions!$BB108,'TRA balance'!$D$5:$D$40,Assumptions!$BC108)),"")</f>
        <v>115.4657935908</v>
      </c>
      <c r="CH108" s="40">
        <f>IFERROR(ABS(SUMIFS('TRA balance'!AI$5:AI$40,'TRA balance'!$C$5:$C$40,Assumptions!$BB108,'TRA balance'!$D$5:$D$40,Assumptions!$BC108)),"")</f>
        <v>77.9501857176</v>
      </c>
      <c r="CI108" s="40">
        <f>IFERROR(ABS(SUMIFS('TRA balance'!AJ$5:AJ$40,'TRA balance'!$C$5:$C$40,Assumptions!$BB108,'TRA balance'!$D$5:$D$40,Assumptions!$BC108)),"")</f>
        <v>184.4269992576</v>
      </c>
      <c r="CJ108" s="40">
        <f>IFERROR(ABS(SUMIFS('TRA balance'!AK$5:AK$40,'TRA balance'!$C$5:$C$40,Assumptions!$BB108,'TRA balance'!$D$5:$D$40,Assumptions!$BC108)),"")</f>
        <v>493.2392126616</v>
      </c>
      <c r="CK108" s="40">
        <f>IFERROR(ABS(SUMIFS('TRA balance'!AL$5:AL$40,'TRA balance'!$C$5:$C$40,Assumptions!$BB108,'TRA balance'!$D$5:$D$40,Assumptions!$BC108)),"")</f>
        <v>2.211739902</v>
      </c>
      <c r="CL108" s="40">
        <f>IFERROR(ABS(SUMIFS('TRA balance'!AM$5:AM$40,'TRA balance'!$C$5:$C$40,Assumptions!$BB108,'TRA balance'!$D$5:$D$40,Assumptions!$BC108)),"")</f>
        <v>9.5715565236</v>
      </c>
      <c r="CM108" s="40">
        <f>IFERROR(ABS(SUMIFS('TRA balance'!AN$5:AN$40,'TRA balance'!$C$5:$C$40,Assumptions!$BB108,'TRA balance'!$D$5:$D$40,Assumptions!$BC108)),"")</f>
        <v>0</v>
      </c>
      <c r="CN108" s="40">
        <f>IFERROR(ABS(SUMIFS('TRA balance'!AO$5:AO$40,'TRA balance'!$C$5:$C$40,Assumptions!$BB108,'TRA balance'!$D$5:$D$40,Assumptions!$BC108)),"")</f>
        <v>0</v>
      </c>
      <c r="CO108" s="40">
        <f>IFERROR(ABS(SUMIFS('TRA balance'!AP$5:AP$40,'TRA balance'!$C$5:$C$40,Assumptions!$BB108,'TRA balance'!$D$5:$D$40,Assumptions!$BC108)),"")</f>
        <v>0</v>
      </c>
      <c r="CP108" s="40">
        <f>IFERROR(ABS(SUMIFS('TRA balance'!AQ$5:AQ$40,'TRA balance'!$C$5:$C$40,Assumptions!$BB108,'TRA balance'!$D$5:$D$40,Assumptions!$BC108)),"")</f>
        <v>0</v>
      </c>
      <c r="CQ108" s="40">
        <f>IFERROR(ABS(SUMIFS('TRA balance'!AR$5:AR$40,'TRA balance'!$C$5:$C$40,Assumptions!$BB108,'TRA balance'!$D$5:$D$40,Assumptions!$BC108)),"")</f>
        <v>0</v>
      </c>
      <c r="CR108" s="40">
        <f>IFERROR(ABS(SUMIFS('TRA balance'!AS$5:AS$40,'TRA balance'!$C$5:$C$40,Assumptions!$BB108,'TRA balance'!$D$5:$D$40,Assumptions!$BC108)),"")</f>
        <v>0</v>
      </c>
      <c r="CS108" s="40">
        <f>IFERROR(ABS(SUMIFS('TRA balance'!AT$5:AT$40,'TRA balance'!$C$5:$C$40,Assumptions!$BB108,'TRA balance'!$D$5:$D$40,Assumptions!$BC108)),"")</f>
        <v>0</v>
      </c>
      <c r="CT108" s="40">
        <f>IFERROR(ABS(SUMIFS('TRA balance'!AU$5:AU$40,'TRA balance'!$C$5:$C$40,Assumptions!$BB108,'TRA balance'!$D$5:$D$40,Assumptions!$BC108)),"")</f>
        <v>0</v>
      </c>
      <c r="CU108" s="40">
        <f>IFERROR(ABS(SUMIFS('TRA balance'!AV$5:AV$40,'TRA balance'!$C$5:$C$40,Assumptions!$BB108,'TRA balance'!$D$5:$D$40,Assumptions!$BC108)),"")</f>
        <v>0</v>
      </c>
      <c r="CV108" s="40">
        <f>IFERROR(ABS(SUMIFS('TRA balance'!AW$5:AW$40,'TRA balance'!$C$5:$C$40,Assumptions!$BB108,'TRA balance'!$D$5:$D$40,Assumptions!$BC108)),"")</f>
        <v>0</v>
      </c>
      <c r="CW108" s="40">
        <f>IFERROR(ABS(SUMIFS('TRA balance'!AX$5:AX$40,'TRA balance'!$C$5:$C$40,Assumptions!$BB108,'TRA balance'!$D$5:$D$40,Assumptions!$BC108)),"")</f>
        <v>0</v>
      </c>
      <c r="CX108" s="38"/>
      <c r="CY108" s="38"/>
      <c r="CZ108" s="38"/>
      <c r="DA108" s="38"/>
      <c r="DB108" s="38"/>
      <c r="DC108" s="38"/>
      <c r="DD108" s="38"/>
      <c r="DE108" s="38"/>
      <c r="DF108" s="38"/>
      <c r="DG108" s="38"/>
      <c r="DH108" s="38"/>
      <c r="DI108" s="38"/>
      <c r="DJ108" s="38"/>
      <c r="DK108" s="38"/>
      <c r="DL108" s="38"/>
      <c r="DM108" s="38"/>
      <c r="DN108" s="38"/>
      <c r="DO108" s="38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8" t="s">
        <v>62</v>
      </c>
      <c r="BC109" s="38" t="s">
        <v>235</v>
      </c>
      <c r="BD109" s="40">
        <f>IFERROR(ABS(SUMIFS('TRA balance'!E$5:E$40,'TRA balance'!$C$5:$C$40,Assumptions!$BB109,'TRA balance'!$D$5:$D$40,Assumptions!$BC109)),"")</f>
        <v>0</v>
      </c>
      <c r="BE109" s="40">
        <f>IFERROR(ABS(SUMIFS('TRA balance'!F$5:F$40,'TRA balance'!$C$5:$C$40,Assumptions!$BB109,'TRA balance'!$D$5:$D$40,Assumptions!$BC109)),"")</f>
        <v>0</v>
      </c>
      <c r="BF109" s="40">
        <f>IFERROR(ABS(SUMIFS('TRA balance'!G$5:G$40,'TRA balance'!$C$5:$C$40,Assumptions!$BB109,'TRA balance'!$D$5:$D$40,Assumptions!$BC109)),"")</f>
        <v>0</v>
      </c>
      <c r="BG109" s="40">
        <f>IFERROR(ABS(SUMIFS('TRA balance'!H$5:H$40,'TRA balance'!$C$5:$C$40,Assumptions!$BB109,'TRA balance'!$D$5:$D$40,Assumptions!$BC109)),"")</f>
        <v>0</v>
      </c>
      <c r="BH109" s="40">
        <f>IFERROR(ABS(SUMIFS('TRA balance'!I$5:I$40,'TRA balance'!$C$5:$C$40,Assumptions!$BB109,'TRA balance'!$D$5:$D$40,Assumptions!$BC109)),"")</f>
        <v>0</v>
      </c>
      <c r="BI109" s="40">
        <f>IFERROR(ABS(SUMIFS('TRA balance'!J$5:J$40,'TRA balance'!$C$5:$C$40,Assumptions!$BB109,'TRA balance'!$D$5:$D$40,Assumptions!$BC109)),"")</f>
        <v>0</v>
      </c>
      <c r="BJ109" s="40">
        <f>IFERROR(ABS(SUMIFS('TRA balance'!K$5:K$40,'TRA balance'!$C$5:$C$40,Assumptions!$BB109,'TRA balance'!$D$5:$D$40,Assumptions!$BC109)),"")</f>
        <v>0</v>
      </c>
      <c r="BK109" s="40">
        <f>IFERROR(ABS(SUMIFS('TRA balance'!L$5:L$40,'TRA balance'!$C$5:$C$40,Assumptions!$BB109,'TRA balance'!$D$5:$D$40,Assumptions!$BC109)),"")</f>
        <v>0</v>
      </c>
      <c r="BL109" s="40">
        <f>IFERROR(ABS(SUMIFS('TRA balance'!M$5:M$40,'TRA balance'!$C$5:$C$40,Assumptions!$BB109,'TRA balance'!$D$5:$D$40,Assumptions!$BC109)),"")</f>
        <v>0</v>
      </c>
      <c r="BM109" s="40">
        <f>IFERROR(ABS(SUMIFS('TRA balance'!N$5:N$40,'TRA balance'!$C$5:$C$40,Assumptions!$BB109,'TRA balance'!$D$5:$D$40,Assumptions!$BC109)),"")</f>
        <v>0</v>
      </c>
      <c r="BN109" s="40">
        <f>IFERROR(ABS(SUMIFS('TRA balance'!O$5:O$40,'TRA balance'!$C$5:$C$40,Assumptions!$BB109,'TRA balance'!$D$5:$D$40,Assumptions!$BC109)),"")</f>
        <v>0</v>
      </c>
      <c r="BO109" s="40">
        <f>IFERROR(ABS(SUMIFS('TRA balance'!P$5:P$40,'TRA balance'!$C$5:$C$40,Assumptions!$BB109,'TRA balance'!$D$5:$D$40,Assumptions!$BC109)),"")</f>
        <v>0</v>
      </c>
      <c r="BP109" s="40">
        <f>IFERROR(ABS(SUMIFS('TRA balance'!Q$5:Q$40,'TRA balance'!$C$5:$C$40,Assumptions!$BB109,'TRA balance'!$D$5:$D$40,Assumptions!$BC109)),"")</f>
        <v>0</v>
      </c>
      <c r="BQ109" s="40">
        <f>IFERROR(ABS(SUMIFS('TRA balance'!R$5:R$40,'TRA balance'!$C$5:$C$40,Assumptions!$BB109,'TRA balance'!$D$5:$D$40,Assumptions!$BC109)),"")</f>
        <v>0</v>
      </c>
      <c r="BR109" s="40">
        <f>IFERROR(ABS(SUMIFS('TRA balance'!S$5:S$40,'TRA balance'!$C$5:$C$40,Assumptions!$BB109,'TRA balance'!$D$5:$D$40,Assumptions!$BC109)),"")</f>
        <v>0</v>
      </c>
      <c r="BS109" s="40">
        <f>IFERROR(ABS(SUMIFS('TRA balance'!T$5:T$40,'TRA balance'!$C$5:$C$40,Assumptions!$BB109,'TRA balance'!$D$5:$D$40,Assumptions!$BC109)),"")</f>
        <v>0</v>
      </c>
      <c r="BT109" s="40">
        <f>IFERROR(ABS(SUMIFS('TRA balance'!U$5:U$40,'TRA balance'!$C$5:$C$40,Assumptions!$BB109,'TRA balance'!$D$5:$D$40,Assumptions!$BC109)),"")</f>
        <v>0</v>
      </c>
      <c r="BU109" s="40">
        <f>IFERROR(ABS(SUMIFS('TRA balance'!V$5:V$40,'TRA balance'!$C$5:$C$40,Assumptions!$BB109,'TRA balance'!$D$5:$D$40,Assumptions!$BC109)),"")</f>
        <v>0</v>
      </c>
      <c r="BV109" s="40">
        <f>IFERROR(ABS(SUMIFS('TRA balance'!W$5:W$40,'TRA balance'!$C$5:$C$40,Assumptions!$BB109,'TRA balance'!$D$5:$D$40,Assumptions!$BC109)),"")</f>
        <v>0</v>
      </c>
      <c r="BW109" s="40">
        <f>IFERROR(ABS(SUMIFS('TRA balance'!X$5:X$40,'TRA balance'!$C$5:$C$40,Assumptions!$BB109,'TRA balance'!$D$5:$D$40,Assumptions!$BC109)),"")</f>
        <v>0</v>
      </c>
      <c r="BX109" s="40">
        <f>IFERROR(ABS(SUMIFS('TRA balance'!Y$5:Y$40,'TRA balance'!$C$5:$C$40,Assumptions!$BB109,'TRA balance'!$D$5:$D$40,Assumptions!$BC109)),"")</f>
        <v>0</v>
      </c>
      <c r="BY109" s="40">
        <f>IFERROR(ABS(SUMIFS('TRA balance'!Z$5:Z$40,'TRA balance'!$C$5:$C$40,Assumptions!$BB109,'TRA balance'!$D$5:$D$40,Assumptions!$BC109)),"")</f>
        <v>0</v>
      </c>
      <c r="BZ109" s="40">
        <f>IFERROR(ABS(SUMIFS('TRA balance'!AA$5:AA$40,'TRA balance'!$C$5:$C$40,Assumptions!$BB109,'TRA balance'!$D$5:$D$40,Assumptions!$BC109)),"")</f>
        <v>0</v>
      </c>
      <c r="CA109" s="40">
        <f>IFERROR(ABS(SUMIFS('TRA balance'!AB$5:AB$40,'TRA balance'!$C$5:$C$40,Assumptions!$BB109,'TRA balance'!$D$5:$D$40,Assumptions!$BC109)),"")</f>
        <v>0</v>
      </c>
      <c r="CB109" s="40">
        <f>IFERROR(ABS(SUMIFS('TRA balance'!AC$5:AC$40,'TRA balance'!$C$5:$C$40,Assumptions!$BB109,'TRA balance'!$D$5:$D$40,Assumptions!$BC109)),"")</f>
        <v>0</v>
      </c>
      <c r="CC109" s="40">
        <f>IFERROR(ABS(SUMIFS('TRA balance'!AD$5:AD$40,'TRA balance'!$C$5:$C$40,Assumptions!$BB109,'TRA balance'!$D$5:$D$40,Assumptions!$BC109)),"")</f>
        <v>0</v>
      </c>
      <c r="CD109" s="40">
        <f>IFERROR(ABS(SUMIFS('TRA balance'!AE$5:AE$40,'TRA balance'!$C$5:$C$40,Assumptions!$BB109,'TRA balance'!$D$5:$D$40,Assumptions!$BC109)),"")</f>
        <v>0</v>
      </c>
      <c r="CE109" s="40">
        <f>IFERROR(ABS(SUMIFS('TRA balance'!AF$5:AF$40,'TRA balance'!$C$5:$C$40,Assumptions!$BB109,'TRA balance'!$D$5:$D$40,Assumptions!$BC109)),"")</f>
        <v>0</v>
      </c>
      <c r="CF109" s="40">
        <f>IFERROR(ABS(SUMIFS('TRA balance'!AG$5:AG$40,'TRA balance'!$C$5:$C$40,Assumptions!$BB109,'TRA balance'!$D$5:$D$40,Assumptions!$BC109)),"")</f>
        <v>0</v>
      </c>
      <c r="CG109" s="40">
        <f>IFERROR(ABS(SUMIFS('TRA balance'!AH$5:AH$40,'TRA balance'!$C$5:$C$40,Assumptions!$BB109,'TRA balance'!$D$5:$D$40,Assumptions!$BC109)),"")</f>
        <v>0</v>
      </c>
      <c r="CH109" s="40">
        <f>IFERROR(ABS(SUMIFS('TRA balance'!AI$5:AI$40,'TRA balance'!$C$5:$C$40,Assumptions!$BB109,'TRA balance'!$D$5:$D$40,Assumptions!$BC109)),"")</f>
        <v>0</v>
      </c>
      <c r="CI109" s="40">
        <f>IFERROR(ABS(SUMIFS('TRA balance'!AJ$5:AJ$40,'TRA balance'!$C$5:$C$40,Assumptions!$BB109,'TRA balance'!$D$5:$D$40,Assumptions!$BC109)),"")</f>
        <v>0</v>
      </c>
      <c r="CJ109" s="40">
        <f>IFERROR(ABS(SUMIFS('TRA balance'!AK$5:AK$40,'TRA balance'!$C$5:$C$40,Assumptions!$BB109,'TRA balance'!$D$5:$D$40,Assumptions!$BC109)),"")</f>
        <v>0</v>
      </c>
      <c r="CK109" s="40">
        <f>IFERROR(ABS(SUMIFS('TRA balance'!AL$5:AL$40,'TRA balance'!$C$5:$C$40,Assumptions!$BB109,'TRA balance'!$D$5:$D$40,Assumptions!$BC109)),"")</f>
        <v>0</v>
      </c>
      <c r="CL109" s="40">
        <f>IFERROR(ABS(SUMIFS('TRA balance'!AM$5:AM$40,'TRA balance'!$C$5:$C$40,Assumptions!$BB109,'TRA balance'!$D$5:$D$40,Assumptions!$BC109)),"")</f>
        <v>0</v>
      </c>
      <c r="CM109" s="40">
        <f>IFERROR(ABS(SUMIFS('TRA balance'!AN$5:AN$40,'TRA balance'!$C$5:$C$40,Assumptions!$BB109,'TRA balance'!$D$5:$D$40,Assumptions!$BC109)),"")</f>
        <v>0</v>
      </c>
      <c r="CN109" s="40">
        <f>IFERROR(ABS(SUMIFS('TRA balance'!AO$5:AO$40,'TRA balance'!$C$5:$C$40,Assumptions!$BB109,'TRA balance'!$D$5:$D$40,Assumptions!$BC109)),"")</f>
        <v>0</v>
      </c>
      <c r="CO109" s="40">
        <f>IFERROR(ABS(SUMIFS('TRA balance'!AP$5:AP$40,'TRA balance'!$C$5:$C$40,Assumptions!$BB109,'TRA balance'!$D$5:$D$40,Assumptions!$BC109)),"")</f>
        <v>0</v>
      </c>
      <c r="CP109" s="40">
        <f>IFERROR(ABS(SUMIFS('TRA balance'!AQ$5:AQ$40,'TRA balance'!$C$5:$C$40,Assumptions!$BB109,'TRA balance'!$D$5:$D$40,Assumptions!$BC109)),"")</f>
        <v>0</v>
      </c>
      <c r="CQ109" s="40">
        <f>IFERROR(ABS(SUMIFS('TRA balance'!AR$5:AR$40,'TRA balance'!$C$5:$C$40,Assumptions!$BB109,'TRA balance'!$D$5:$D$40,Assumptions!$BC109)),"")</f>
        <v>0</v>
      </c>
      <c r="CR109" s="40">
        <f>IFERROR(ABS(SUMIFS('TRA balance'!AS$5:AS$40,'TRA balance'!$C$5:$C$40,Assumptions!$BB109,'TRA balance'!$D$5:$D$40,Assumptions!$BC109)),"")</f>
        <v>0</v>
      </c>
      <c r="CS109" s="40">
        <f>IFERROR(ABS(SUMIFS('TRA balance'!AT$5:AT$40,'TRA balance'!$C$5:$C$40,Assumptions!$BB109,'TRA balance'!$D$5:$D$40,Assumptions!$BC109)),"")</f>
        <v>0</v>
      </c>
      <c r="CT109" s="40">
        <f>IFERROR(ABS(SUMIFS('TRA balance'!AU$5:AU$40,'TRA balance'!$C$5:$C$40,Assumptions!$BB109,'TRA balance'!$D$5:$D$40,Assumptions!$BC109)),"")</f>
        <v>0</v>
      </c>
      <c r="CU109" s="40">
        <f>IFERROR(ABS(SUMIFS('TRA balance'!AV$5:AV$40,'TRA balance'!$C$5:$C$40,Assumptions!$BB109,'TRA balance'!$D$5:$D$40,Assumptions!$BC109)),"")</f>
        <v>0</v>
      </c>
      <c r="CV109" s="40">
        <f>IFERROR(ABS(SUMIFS('TRA balance'!AW$5:AW$40,'TRA balance'!$C$5:$C$40,Assumptions!$BB109,'TRA balance'!$D$5:$D$40,Assumptions!$BC109)),"")</f>
        <v>0</v>
      </c>
      <c r="CW109" s="40">
        <f>IFERROR(ABS(SUMIFS('TRA balance'!AX$5:AX$40,'TRA balance'!$C$5:$C$40,Assumptions!$BB109,'TRA balance'!$D$5:$D$40,Assumptions!$BC109)),"")</f>
        <v>0</v>
      </c>
      <c r="CX109" s="38"/>
      <c r="CY109" s="38"/>
      <c r="CZ109" s="38"/>
      <c r="DA109" s="38"/>
      <c r="DB109" s="38"/>
      <c r="DC109" s="38"/>
      <c r="DD109" s="38"/>
      <c r="DE109" s="38"/>
      <c r="DF109" s="38"/>
      <c r="DG109" s="38"/>
      <c r="DH109" s="38"/>
      <c r="DI109" s="38"/>
      <c r="DJ109" s="38"/>
      <c r="DK109" s="38"/>
      <c r="DL109" s="38"/>
      <c r="DM109" s="38"/>
      <c r="DN109" s="38"/>
      <c r="DO109" s="38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8" t="s">
        <v>62</v>
      </c>
      <c r="BC110" s="38" t="s">
        <v>60</v>
      </c>
      <c r="BD110" s="40">
        <f>IFERROR(ABS(SUMIFS('TRA balance'!E$5:E$40,'TRA balance'!$C$5:$C$40,Assumptions!$BB110,'TRA balance'!$D$5:$D$40,Assumptions!$BC110)),"")</f>
        <v>0</v>
      </c>
      <c r="BE110" s="40">
        <f>IFERROR(ABS(SUMIFS('TRA balance'!F$5:F$40,'TRA balance'!$C$5:$C$40,Assumptions!$BB110,'TRA balance'!$D$5:$D$40,Assumptions!$BC110)),"")</f>
        <v>0.046243206</v>
      </c>
      <c r="BF110" s="40">
        <f>IFERROR(ABS(SUMIFS('TRA balance'!G$5:G$40,'TRA balance'!$C$5:$C$40,Assumptions!$BB110,'TRA balance'!$D$5:$D$40,Assumptions!$BC110)),"")</f>
        <v>0</v>
      </c>
      <c r="BG110" s="40">
        <f>IFERROR(ABS(SUMIFS('TRA balance'!H$5:H$40,'TRA balance'!$C$5:$C$40,Assumptions!$BB110,'TRA balance'!$D$5:$D$40,Assumptions!$BC110)),"")</f>
        <v>0</v>
      </c>
      <c r="BH110" s="40">
        <f>IFERROR(ABS(SUMIFS('TRA balance'!I$5:I$40,'TRA balance'!$C$5:$C$40,Assumptions!$BB110,'TRA balance'!$D$5:$D$40,Assumptions!$BC110)),"")</f>
        <v>0</v>
      </c>
      <c r="BI110" s="40">
        <f>IFERROR(ABS(SUMIFS('TRA balance'!J$5:J$40,'TRA balance'!$C$5:$C$40,Assumptions!$BB110,'TRA balance'!$D$5:$D$40,Assumptions!$BC110)),"")</f>
        <v>0</v>
      </c>
      <c r="BJ110" s="40">
        <f>IFERROR(ABS(SUMIFS('TRA balance'!K$5:K$40,'TRA balance'!$C$5:$C$40,Assumptions!$BB110,'TRA balance'!$D$5:$D$40,Assumptions!$BC110)),"")</f>
        <v>0</v>
      </c>
      <c r="BK110" s="40">
        <f>IFERROR(ABS(SUMIFS('TRA balance'!L$5:L$40,'TRA balance'!$C$5:$C$40,Assumptions!$BB110,'TRA balance'!$D$5:$D$40,Assumptions!$BC110)),"")</f>
        <v>0</v>
      </c>
      <c r="BL110" s="40">
        <f>IFERROR(ABS(SUMIFS('TRA balance'!M$5:M$40,'TRA balance'!$C$5:$C$40,Assumptions!$BB110,'TRA balance'!$D$5:$D$40,Assumptions!$BC110)),"")</f>
        <v>0</v>
      </c>
      <c r="BM110" s="40">
        <f>IFERROR(ABS(SUMIFS('TRA balance'!N$5:N$40,'TRA balance'!$C$5:$C$40,Assumptions!$BB110,'TRA balance'!$D$5:$D$40,Assumptions!$BC110)),"")</f>
        <v>0</v>
      </c>
      <c r="BN110" s="40">
        <f>IFERROR(ABS(SUMIFS('TRA balance'!O$5:O$40,'TRA balance'!$C$5:$C$40,Assumptions!$BB110,'TRA balance'!$D$5:$D$40,Assumptions!$BC110)),"")</f>
        <v>0</v>
      </c>
      <c r="BO110" s="40">
        <f>IFERROR(ABS(SUMIFS('TRA balance'!P$5:P$40,'TRA balance'!$C$5:$C$40,Assumptions!$BB110,'TRA balance'!$D$5:$D$40,Assumptions!$BC110)),"")</f>
        <v>0</v>
      </c>
      <c r="BP110" s="40">
        <f>IFERROR(ABS(SUMIFS('TRA balance'!Q$5:Q$40,'TRA balance'!$C$5:$C$40,Assumptions!$BB110,'TRA balance'!$D$5:$D$40,Assumptions!$BC110)),"")</f>
        <v>0</v>
      </c>
      <c r="BQ110" s="40">
        <f>IFERROR(ABS(SUMIFS('TRA balance'!R$5:R$40,'TRA balance'!$C$5:$C$40,Assumptions!$BB110,'TRA balance'!$D$5:$D$40,Assumptions!$BC110)),"")</f>
        <v>0</v>
      </c>
      <c r="BR110" s="40">
        <f>IFERROR(ABS(SUMIFS('TRA balance'!S$5:S$40,'TRA balance'!$C$5:$C$40,Assumptions!$BB110,'TRA balance'!$D$5:$D$40,Assumptions!$BC110)),"")</f>
        <v>0</v>
      </c>
      <c r="BS110" s="40">
        <f>IFERROR(ABS(SUMIFS('TRA balance'!T$5:T$40,'TRA balance'!$C$5:$C$40,Assumptions!$BB110,'TRA balance'!$D$5:$D$40,Assumptions!$BC110)),"")</f>
        <v>0</v>
      </c>
      <c r="BT110" s="40">
        <f>IFERROR(ABS(SUMIFS('TRA balance'!U$5:U$40,'TRA balance'!$C$5:$C$40,Assumptions!$BB110,'TRA balance'!$D$5:$D$40,Assumptions!$BC110)),"")</f>
        <v>0</v>
      </c>
      <c r="BU110" s="40">
        <f>IFERROR(ABS(SUMIFS('TRA balance'!V$5:V$40,'TRA balance'!$C$5:$C$40,Assumptions!$BB110,'TRA balance'!$D$5:$D$40,Assumptions!$BC110)),"")</f>
        <v>0</v>
      </c>
      <c r="BV110" s="40">
        <f>IFERROR(ABS(SUMIFS('TRA balance'!W$5:W$40,'TRA balance'!$C$5:$C$40,Assumptions!$BB110,'TRA balance'!$D$5:$D$40,Assumptions!$BC110)),"")</f>
        <v>0</v>
      </c>
      <c r="BW110" s="40">
        <f>IFERROR(ABS(SUMIFS('TRA balance'!X$5:X$40,'TRA balance'!$C$5:$C$40,Assumptions!$BB110,'TRA balance'!$D$5:$D$40,Assumptions!$BC110)),"")</f>
        <v>0.3086425224</v>
      </c>
      <c r="BX110" s="40">
        <f>IFERROR(ABS(SUMIFS('TRA balance'!Y$5:Y$40,'TRA balance'!$C$5:$C$40,Assumptions!$BB110,'TRA balance'!$D$5:$D$40,Assumptions!$BC110)),"")</f>
        <v>0</v>
      </c>
      <c r="BY110" s="40">
        <f>IFERROR(ABS(SUMIFS('TRA balance'!Z$5:Z$40,'TRA balance'!$C$5:$C$40,Assumptions!$BB110,'TRA balance'!$D$5:$D$40,Assumptions!$BC110)),"")</f>
        <v>0</v>
      </c>
      <c r="BZ110" s="40">
        <f>IFERROR(ABS(SUMIFS('TRA balance'!AA$5:AA$40,'TRA balance'!$C$5:$C$40,Assumptions!$BB110,'TRA balance'!$D$5:$D$40,Assumptions!$BC110)),"")</f>
        <v>0</v>
      </c>
      <c r="CA110" s="40">
        <f>IFERROR(ABS(SUMIFS('TRA balance'!AB$5:AB$40,'TRA balance'!$C$5:$C$40,Assumptions!$BB110,'TRA balance'!$D$5:$D$40,Assumptions!$BC110)),"")</f>
        <v>0</v>
      </c>
      <c r="CB110" s="40">
        <f>IFERROR(ABS(SUMIFS('TRA balance'!AC$5:AC$40,'TRA balance'!$C$5:$C$40,Assumptions!$BB110,'TRA balance'!$D$5:$D$40,Assumptions!$BC110)),"")</f>
        <v>0.0688142448</v>
      </c>
      <c r="CC110" s="40">
        <f>IFERROR(ABS(SUMIFS('TRA balance'!AD$5:AD$40,'TRA balance'!$C$5:$C$40,Assumptions!$BB110,'TRA balance'!$D$5:$D$40,Assumptions!$BC110)),"")</f>
        <v>0</v>
      </c>
      <c r="CD110" s="40">
        <f>IFERROR(ABS(SUMIFS('TRA balance'!AE$5:AE$40,'TRA balance'!$C$5:$C$40,Assumptions!$BB110,'TRA balance'!$D$5:$D$40,Assumptions!$BC110)),"")</f>
        <v>0</v>
      </c>
      <c r="CE110" s="40">
        <f>IFERROR(ABS(SUMIFS('TRA balance'!AF$5:AF$40,'TRA balance'!$C$5:$C$40,Assumptions!$BB110,'TRA balance'!$D$5:$D$40,Assumptions!$BC110)),"")</f>
        <v>0.7461631224</v>
      </c>
      <c r="CF110" s="40">
        <f>IFERROR(ABS(SUMIFS('TRA balance'!AG$5:AG$40,'TRA balance'!$C$5:$C$40,Assumptions!$BB110,'TRA balance'!$D$5:$D$40,Assumptions!$BC110)),"")</f>
        <v>0</v>
      </c>
      <c r="CG110" s="40">
        <f>IFERROR(ABS(SUMIFS('TRA balance'!AH$5:AH$40,'TRA balance'!$C$5:$C$40,Assumptions!$BB110,'TRA balance'!$D$5:$D$40,Assumptions!$BC110)),"")</f>
        <v>0</v>
      </c>
      <c r="CH110" s="40">
        <f>IFERROR(ABS(SUMIFS('TRA balance'!AI$5:AI$40,'TRA balance'!$C$5:$C$40,Assumptions!$BB110,'TRA balance'!$D$5:$D$40,Assumptions!$BC110)),"")</f>
        <v>0</v>
      </c>
      <c r="CI110" s="40">
        <f>IFERROR(ABS(SUMIFS('TRA balance'!AJ$5:AJ$40,'TRA balance'!$C$5:$C$40,Assumptions!$BB110,'TRA balance'!$D$5:$D$40,Assumptions!$BC110)),"")</f>
        <v>0</v>
      </c>
      <c r="CJ110" s="40">
        <f>IFERROR(ABS(SUMIFS('TRA balance'!AK$5:AK$40,'TRA balance'!$C$5:$C$40,Assumptions!$BB110,'TRA balance'!$D$5:$D$40,Assumptions!$BC110)),"")</f>
        <v>0</v>
      </c>
      <c r="CK110" s="40">
        <f>IFERROR(ABS(SUMIFS('TRA balance'!AL$5:AL$40,'TRA balance'!$C$5:$C$40,Assumptions!$BB110,'TRA balance'!$D$5:$D$40,Assumptions!$BC110)),"")</f>
        <v>0</v>
      </c>
      <c r="CL110" s="40">
        <f>IFERROR(ABS(SUMIFS('TRA balance'!AM$5:AM$40,'TRA balance'!$C$5:$C$40,Assumptions!$BB110,'TRA balance'!$D$5:$D$40,Assumptions!$BC110)),"")</f>
        <v>0</v>
      </c>
      <c r="CM110" s="40">
        <f>IFERROR(ABS(SUMIFS('TRA balance'!AN$5:AN$40,'TRA balance'!$C$5:$C$40,Assumptions!$BB110,'TRA balance'!$D$5:$D$40,Assumptions!$BC110)),"")</f>
        <v>0</v>
      </c>
      <c r="CN110" s="40">
        <f>IFERROR(ABS(SUMIFS('TRA balance'!AO$5:AO$40,'TRA balance'!$C$5:$C$40,Assumptions!$BB110,'TRA balance'!$D$5:$D$40,Assumptions!$BC110)),"")</f>
        <v>0</v>
      </c>
      <c r="CO110" s="40">
        <f>IFERROR(ABS(SUMIFS('TRA balance'!AP$5:AP$40,'TRA balance'!$C$5:$C$40,Assumptions!$BB110,'TRA balance'!$D$5:$D$40,Assumptions!$BC110)),"")</f>
        <v>0</v>
      </c>
      <c r="CP110" s="40">
        <f>IFERROR(ABS(SUMIFS('TRA balance'!AQ$5:AQ$40,'TRA balance'!$C$5:$C$40,Assumptions!$BB110,'TRA balance'!$D$5:$D$40,Assumptions!$BC110)),"")</f>
        <v>0</v>
      </c>
      <c r="CQ110" s="40">
        <f>IFERROR(ABS(SUMIFS('TRA balance'!AR$5:AR$40,'TRA balance'!$C$5:$C$40,Assumptions!$BB110,'TRA balance'!$D$5:$D$40,Assumptions!$BC110)),"")</f>
        <v>0</v>
      </c>
      <c r="CR110" s="40">
        <f>IFERROR(ABS(SUMIFS('TRA balance'!AS$5:AS$40,'TRA balance'!$C$5:$C$40,Assumptions!$BB110,'TRA balance'!$D$5:$D$40,Assumptions!$BC110)),"")</f>
        <v>0</v>
      </c>
      <c r="CS110" s="40">
        <f>IFERROR(ABS(SUMIFS('TRA balance'!AT$5:AT$40,'TRA balance'!$C$5:$C$40,Assumptions!$BB110,'TRA balance'!$D$5:$D$40,Assumptions!$BC110)),"")</f>
        <v>0</v>
      </c>
      <c r="CT110" s="40">
        <f>IFERROR(ABS(SUMIFS('TRA balance'!AU$5:AU$40,'TRA balance'!$C$5:$C$40,Assumptions!$BB110,'TRA balance'!$D$5:$D$40,Assumptions!$BC110)),"")</f>
        <v>0</v>
      </c>
      <c r="CU110" s="40">
        <f>IFERROR(ABS(SUMIFS('TRA balance'!AV$5:AV$40,'TRA balance'!$C$5:$C$40,Assumptions!$BB110,'TRA balance'!$D$5:$D$40,Assumptions!$BC110)),"")</f>
        <v>0</v>
      </c>
      <c r="CV110" s="40">
        <f>IFERROR(ABS(SUMIFS('TRA balance'!AW$5:AW$40,'TRA balance'!$C$5:$C$40,Assumptions!$BB110,'TRA balance'!$D$5:$D$40,Assumptions!$BC110)),"")</f>
        <v>0</v>
      </c>
      <c r="CW110" s="40">
        <f>IFERROR(ABS(SUMIFS('TRA balance'!AX$5:AX$40,'TRA balance'!$C$5:$C$40,Assumptions!$BB110,'TRA balance'!$D$5:$D$40,Assumptions!$BC110)),"")</f>
        <v>0</v>
      </c>
      <c r="CX110" s="38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8" t="s">
        <v>62</v>
      </c>
      <c r="BC111" s="38" t="s">
        <v>66</v>
      </c>
      <c r="BD111" s="40">
        <f>IFERROR(ABS(SUMIFS('TRA balance'!E$5:E$40,'TRA balance'!$C$5:$C$40,Assumptions!$BB111,'TRA balance'!$D$5:$D$40,Assumptions!$BC111)),"")</f>
        <v>0</v>
      </c>
      <c r="BE111" s="40">
        <f>IFERROR(ABS(SUMIFS('TRA balance'!F$5:F$40,'TRA balance'!$C$5:$C$40,Assumptions!$BB111,'TRA balance'!$D$5:$D$40,Assumptions!$BC111)),"")</f>
        <v>0</v>
      </c>
      <c r="BF111" s="40">
        <f>IFERROR(ABS(SUMIFS('TRA balance'!G$5:G$40,'TRA balance'!$C$5:$C$40,Assumptions!$BB111,'TRA balance'!$D$5:$D$40,Assumptions!$BC111)),"")</f>
        <v>0</v>
      </c>
      <c r="BG111" s="40">
        <f>IFERROR(ABS(SUMIFS('TRA balance'!H$5:H$40,'TRA balance'!$C$5:$C$40,Assumptions!$BB111,'TRA balance'!$D$5:$D$40,Assumptions!$BC111)),"")</f>
        <v>0</v>
      </c>
      <c r="BH111" s="40">
        <f>IFERROR(ABS(SUMIFS('TRA balance'!I$5:I$40,'TRA balance'!$C$5:$C$40,Assumptions!$BB111,'TRA balance'!$D$5:$D$40,Assumptions!$BC111)),"")</f>
        <v>0</v>
      </c>
      <c r="BI111" s="40">
        <f>IFERROR(ABS(SUMIFS('TRA balance'!J$5:J$40,'TRA balance'!$C$5:$C$40,Assumptions!$BB111,'TRA balance'!$D$5:$D$40,Assumptions!$BC111)),"")</f>
        <v>0</v>
      </c>
      <c r="BJ111" s="40">
        <f>IFERROR(ABS(SUMIFS('TRA balance'!K$5:K$40,'TRA balance'!$C$5:$C$40,Assumptions!$BB111,'TRA balance'!$D$5:$D$40,Assumptions!$BC111)),"")</f>
        <v>0</v>
      </c>
      <c r="BK111" s="40">
        <f>IFERROR(ABS(SUMIFS('TRA balance'!L$5:L$40,'TRA balance'!$C$5:$C$40,Assumptions!$BB111,'TRA balance'!$D$5:$D$40,Assumptions!$BC111)),"")</f>
        <v>0</v>
      </c>
      <c r="BL111" s="40">
        <f>IFERROR(ABS(SUMIFS('TRA balance'!M$5:M$40,'TRA balance'!$C$5:$C$40,Assumptions!$BB111,'TRA balance'!$D$5:$D$40,Assumptions!$BC111)),"")</f>
        <v>0</v>
      </c>
      <c r="BM111" s="40">
        <f>IFERROR(ABS(SUMIFS('TRA balance'!N$5:N$40,'TRA balance'!$C$5:$C$40,Assumptions!$BB111,'TRA balance'!$D$5:$D$40,Assumptions!$BC111)),"")</f>
        <v>0</v>
      </c>
      <c r="BN111" s="40">
        <f>IFERROR(ABS(SUMIFS('TRA balance'!O$5:O$40,'TRA balance'!$C$5:$C$40,Assumptions!$BB111,'TRA balance'!$D$5:$D$40,Assumptions!$BC111)),"")</f>
        <v>0</v>
      </c>
      <c r="BO111" s="40">
        <f>IFERROR(ABS(SUMIFS('TRA balance'!P$5:P$40,'TRA balance'!$C$5:$C$40,Assumptions!$BB111,'TRA balance'!$D$5:$D$40,Assumptions!$BC111)),"")</f>
        <v>0</v>
      </c>
      <c r="BP111" s="40">
        <f>IFERROR(ABS(SUMIFS('TRA balance'!Q$5:Q$40,'TRA balance'!$C$5:$C$40,Assumptions!$BB111,'TRA balance'!$D$5:$D$40,Assumptions!$BC111)),"")</f>
        <v>0</v>
      </c>
      <c r="BQ111" s="40">
        <f>IFERROR(ABS(SUMIFS('TRA balance'!R$5:R$40,'TRA balance'!$C$5:$C$40,Assumptions!$BB111,'TRA balance'!$D$5:$D$40,Assumptions!$BC111)),"")</f>
        <v>0</v>
      </c>
      <c r="BR111" s="40">
        <f>IFERROR(ABS(SUMIFS('TRA balance'!S$5:S$40,'TRA balance'!$C$5:$C$40,Assumptions!$BB111,'TRA balance'!$D$5:$D$40,Assumptions!$BC111)),"")</f>
        <v>0</v>
      </c>
      <c r="BS111" s="40">
        <f>IFERROR(ABS(SUMIFS('TRA balance'!T$5:T$40,'TRA balance'!$C$5:$C$40,Assumptions!$BB111,'TRA balance'!$D$5:$D$40,Assumptions!$BC111)),"")</f>
        <v>0</v>
      </c>
      <c r="BT111" s="40">
        <f>IFERROR(ABS(SUMIFS('TRA balance'!U$5:U$40,'TRA balance'!$C$5:$C$40,Assumptions!$BB111,'TRA balance'!$D$5:$D$40,Assumptions!$BC111)),"")</f>
        <v>0.0309320784</v>
      </c>
      <c r="BU111" s="40">
        <f>IFERROR(ABS(SUMIFS('TRA balance'!V$5:V$40,'TRA balance'!$C$5:$C$40,Assumptions!$BB111,'TRA balance'!$D$5:$D$40,Assumptions!$BC111)),"")</f>
        <v>0</v>
      </c>
      <c r="BV111" s="40">
        <f>IFERROR(ABS(SUMIFS('TRA balance'!W$5:W$40,'TRA balance'!$C$5:$C$40,Assumptions!$BB111,'TRA balance'!$D$5:$D$40,Assumptions!$BC111)),"")</f>
        <v>0</v>
      </c>
      <c r="BW111" s="40">
        <f>IFERROR(ABS(SUMIFS('TRA balance'!X$5:X$40,'TRA balance'!$C$5:$C$40,Assumptions!$BB111,'TRA balance'!$D$5:$D$40,Assumptions!$BC111)),"")</f>
        <v>0.690884802</v>
      </c>
      <c r="BX111" s="40">
        <f>IFERROR(ABS(SUMIFS('TRA balance'!Y$5:Y$40,'TRA balance'!$C$5:$C$40,Assumptions!$BB111,'TRA balance'!$D$5:$D$40,Assumptions!$BC111)),"")</f>
        <v>0</v>
      </c>
      <c r="BY111" s="40">
        <f>IFERROR(ABS(SUMIFS('TRA balance'!Z$5:Z$40,'TRA balance'!$C$5:$C$40,Assumptions!$BB111,'TRA balance'!$D$5:$D$40,Assumptions!$BC111)),"")</f>
        <v>0</v>
      </c>
      <c r="BZ111" s="40">
        <f>IFERROR(ABS(SUMIFS('TRA balance'!AA$5:AA$40,'TRA balance'!$C$5:$C$40,Assumptions!$BB111,'TRA balance'!$D$5:$D$40,Assumptions!$BC111)),"")</f>
        <v>0</v>
      </c>
      <c r="CA111" s="40">
        <f>IFERROR(ABS(SUMIFS('TRA balance'!AB$5:AB$40,'TRA balance'!$C$5:$C$40,Assumptions!$BB111,'TRA balance'!$D$5:$D$40,Assumptions!$BC111)),"")</f>
        <v>0</v>
      </c>
      <c r="CB111" s="40">
        <f>IFERROR(ABS(SUMIFS('TRA balance'!AC$5:AC$40,'TRA balance'!$C$5:$C$40,Assumptions!$BB111,'TRA balance'!$D$5:$D$40,Assumptions!$BC111)),"")</f>
        <v>0.008959752</v>
      </c>
      <c r="CC111" s="40">
        <f>IFERROR(ABS(SUMIFS('TRA balance'!AD$5:AD$40,'TRA balance'!$C$5:$C$40,Assumptions!$BB111,'TRA balance'!$D$5:$D$40,Assumptions!$BC111)),"")</f>
        <v>0</v>
      </c>
      <c r="CD111" s="40">
        <f>IFERROR(ABS(SUMIFS('TRA balance'!AE$5:AE$40,'TRA balance'!$C$5:$C$40,Assumptions!$BB111,'TRA balance'!$D$5:$D$40,Assumptions!$BC111)),"")</f>
        <v>0</v>
      </c>
      <c r="CE111" s="40">
        <f>IFERROR(ABS(SUMIFS('TRA balance'!AF$5:AF$40,'TRA balance'!$C$5:$C$40,Assumptions!$BB111,'TRA balance'!$D$5:$D$40,Assumptions!$BC111)),"")</f>
        <v>0</v>
      </c>
      <c r="CF111" s="40">
        <f>IFERROR(ABS(SUMIFS('TRA balance'!AG$5:AG$40,'TRA balance'!$C$5:$C$40,Assumptions!$BB111,'TRA balance'!$D$5:$D$40,Assumptions!$BC111)),"")</f>
        <v>0</v>
      </c>
      <c r="CG111" s="40">
        <f>IFERROR(ABS(SUMIFS('TRA balance'!AH$5:AH$40,'TRA balance'!$C$5:$C$40,Assumptions!$BB111,'TRA balance'!$D$5:$D$40,Assumptions!$BC111)),"")</f>
        <v>4.60548e-5</v>
      </c>
      <c r="CH111" s="40">
        <f>IFERROR(ABS(SUMIFS('TRA balance'!AI$5:AI$40,'TRA balance'!$C$5:$C$40,Assumptions!$BB111,'TRA balance'!$D$5:$D$40,Assumptions!$BC111)),"")</f>
        <v>0</v>
      </c>
      <c r="CI111" s="40">
        <f>IFERROR(ABS(SUMIFS('TRA balance'!AJ$5:AJ$40,'TRA balance'!$C$5:$C$40,Assumptions!$BB111,'TRA balance'!$D$5:$D$40,Assumptions!$BC111)),"")</f>
        <v>0</v>
      </c>
      <c r="CJ111" s="40">
        <f>IFERROR(ABS(SUMIFS('TRA balance'!AK$5:AK$40,'TRA balance'!$C$5:$C$40,Assumptions!$BB111,'TRA balance'!$D$5:$D$40,Assumptions!$BC111)),"")</f>
        <v>0</v>
      </c>
      <c r="CK111" s="40">
        <f>IFERROR(ABS(SUMIFS('TRA balance'!AL$5:AL$40,'TRA balance'!$C$5:$C$40,Assumptions!$BB111,'TRA balance'!$D$5:$D$40,Assumptions!$BC111)),"")</f>
        <v>0</v>
      </c>
      <c r="CL111" s="40">
        <f>IFERROR(ABS(SUMIFS('TRA balance'!AM$5:AM$40,'TRA balance'!$C$5:$C$40,Assumptions!$BB111,'TRA balance'!$D$5:$D$40,Assumptions!$BC111)),"")</f>
        <v>0</v>
      </c>
      <c r="CM111" s="40">
        <f>IFERROR(ABS(SUMIFS('TRA balance'!AN$5:AN$40,'TRA balance'!$C$5:$C$40,Assumptions!$BB111,'TRA balance'!$D$5:$D$40,Assumptions!$BC111)),"")</f>
        <v>0</v>
      </c>
      <c r="CN111" s="40">
        <f>IFERROR(ABS(SUMIFS('TRA balance'!AO$5:AO$40,'TRA balance'!$C$5:$C$40,Assumptions!$BB111,'TRA balance'!$D$5:$D$40,Assumptions!$BC111)),"")</f>
        <v>0</v>
      </c>
      <c r="CO111" s="40">
        <f>IFERROR(ABS(SUMIFS('TRA balance'!AP$5:AP$40,'TRA balance'!$C$5:$C$40,Assumptions!$BB111,'TRA balance'!$D$5:$D$40,Assumptions!$BC111)),"")</f>
        <v>0</v>
      </c>
      <c r="CP111" s="40">
        <f>IFERROR(ABS(SUMIFS('TRA balance'!AQ$5:AQ$40,'TRA balance'!$C$5:$C$40,Assumptions!$BB111,'TRA balance'!$D$5:$D$40,Assumptions!$BC111)),"")</f>
        <v>0</v>
      </c>
      <c r="CQ111" s="40">
        <f>IFERROR(ABS(SUMIFS('TRA balance'!AR$5:AR$40,'TRA balance'!$C$5:$C$40,Assumptions!$BB111,'TRA balance'!$D$5:$D$40,Assumptions!$BC111)),"")</f>
        <v>0</v>
      </c>
      <c r="CR111" s="40">
        <f>IFERROR(ABS(SUMIFS('TRA balance'!AS$5:AS$40,'TRA balance'!$C$5:$C$40,Assumptions!$BB111,'TRA balance'!$D$5:$D$40,Assumptions!$BC111)),"")</f>
        <v>0</v>
      </c>
      <c r="CS111" s="40">
        <f>IFERROR(ABS(SUMIFS('TRA balance'!AT$5:AT$40,'TRA balance'!$C$5:$C$40,Assumptions!$BB111,'TRA balance'!$D$5:$D$40,Assumptions!$BC111)),"")</f>
        <v>0</v>
      </c>
      <c r="CT111" s="40">
        <f>IFERROR(ABS(SUMIFS('TRA balance'!AU$5:AU$40,'TRA balance'!$C$5:$C$40,Assumptions!$BB111,'TRA balance'!$D$5:$D$40,Assumptions!$BC111)),"")</f>
        <v>0</v>
      </c>
      <c r="CU111" s="40">
        <f>IFERROR(ABS(SUMIFS('TRA balance'!AV$5:AV$40,'TRA balance'!$C$5:$C$40,Assumptions!$BB111,'TRA balance'!$D$5:$D$40,Assumptions!$BC111)),"")</f>
        <v>0</v>
      </c>
      <c r="CV111" s="40">
        <f>IFERROR(ABS(SUMIFS('TRA balance'!AW$5:AW$40,'TRA balance'!$C$5:$C$40,Assumptions!$BB111,'TRA balance'!$D$5:$D$40,Assumptions!$BC111)),"")</f>
        <v>0</v>
      </c>
      <c r="CW111" s="40">
        <f>IFERROR(ABS(SUMIFS('TRA balance'!AX$5:AX$40,'TRA balance'!$C$5:$C$40,Assumptions!$BB111,'TRA balance'!$D$5:$D$40,Assumptions!$BC111)),"")</f>
        <v>0</v>
      </c>
      <c r="CX111" s="38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8" t="s">
        <v>62</v>
      </c>
      <c r="BC112" s="38" t="s">
        <v>69</v>
      </c>
      <c r="BD112" s="40">
        <f>IFERROR(ABS(SUMIFS('TRA balance'!E$5:E$40,'TRA balance'!$C$5:$C$40,Assumptions!$BB112,'TRA balance'!$D$5:$D$40,Assumptions!$BC112)),"")</f>
        <v>0.0119993688</v>
      </c>
      <c r="BE112" s="40">
        <f>IFERROR(ABS(SUMIFS('TRA balance'!F$5:F$40,'TRA balance'!$C$5:$C$40,Assumptions!$BB112,'TRA balance'!$D$5:$D$40,Assumptions!$BC112)),"")</f>
        <v>0</v>
      </c>
      <c r="BF112" s="40">
        <f>IFERROR(ABS(SUMIFS('TRA balance'!G$5:G$40,'TRA balance'!$C$5:$C$40,Assumptions!$BB112,'TRA balance'!$D$5:$D$40,Assumptions!$BC112)),"")</f>
        <v>0</v>
      </c>
      <c r="BG112" s="40">
        <f>IFERROR(ABS(SUMIFS('TRA balance'!H$5:H$40,'TRA balance'!$C$5:$C$40,Assumptions!$BB112,'TRA balance'!$D$5:$D$40,Assumptions!$BC112)),"")</f>
        <v>0</v>
      </c>
      <c r="BH112" s="40">
        <f>IFERROR(ABS(SUMIFS('TRA balance'!I$5:I$40,'TRA balance'!$C$5:$C$40,Assumptions!$BB112,'TRA balance'!$D$5:$D$40,Assumptions!$BC112)),"")</f>
        <v>0</v>
      </c>
      <c r="BI112" s="40">
        <f>IFERROR(ABS(SUMIFS('TRA balance'!J$5:J$40,'TRA balance'!$C$5:$C$40,Assumptions!$BB112,'TRA balance'!$D$5:$D$40,Assumptions!$BC112)),"")</f>
        <v>0</v>
      </c>
      <c r="BJ112" s="40">
        <f>IFERROR(ABS(SUMIFS('TRA balance'!K$5:K$40,'TRA balance'!$C$5:$C$40,Assumptions!$BB112,'TRA balance'!$D$5:$D$40,Assumptions!$BC112)),"")</f>
        <v>0</v>
      </c>
      <c r="BK112" s="40">
        <f>IFERROR(ABS(SUMIFS('TRA balance'!L$5:L$40,'TRA balance'!$C$5:$C$40,Assumptions!$BB112,'TRA balance'!$D$5:$D$40,Assumptions!$BC112)),"")</f>
        <v>0</v>
      </c>
      <c r="BL112" s="40">
        <f>IFERROR(ABS(SUMIFS('TRA balance'!M$5:M$40,'TRA balance'!$C$5:$C$40,Assumptions!$BB112,'TRA balance'!$D$5:$D$40,Assumptions!$BC112)),"")</f>
        <v>0</v>
      </c>
      <c r="BM112" s="40">
        <f>IFERROR(ABS(SUMIFS('TRA balance'!N$5:N$40,'TRA balance'!$C$5:$C$40,Assumptions!$BB112,'TRA balance'!$D$5:$D$40,Assumptions!$BC112)),"")</f>
        <v>0</v>
      </c>
      <c r="BN112" s="40">
        <f>IFERROR(ABS(SUMIFS('TRA balance'!O$5:O$40,'TRA balance'!$C$5:$C$40,Assumptions!$BB112,'TRA balance'!$D$5:$D$40,Assumptions!$BC112)),"")</f>
        <v>0</v>
      </c>
      <c r="BO112" s="40">
        <f>IFERROR(ABS(SUMIFS('TRA balance'!P$5:P$40,'TRA balance'!$C$5:$C$40,Assumptions!$BB112,'TRA balance'!$D$5:$D$40,Assumptions!$BC112)),"")</f>
        <v>0</v>
      </c>
      <c r="BP112" s="40">
        <f>IFERROR(ABS(SUMIFS('TRA balance'!Q$5:Q$40,'TRA balance'!$C$5:$C$40,Assumptions!$BB112,'TRA balance'!$D$5:$D$40,Assumptions!$BC112)),"")</f>
        <v>0</v>
      </c>
      <c r="BQ112" s="40">
        <f>IFERROR(ABS(SUMIFS('TRA balance'!R$5:R$40,'TRA balance'!$C$5:$C$40,Assumptions!$BB112,'TRA balance'!$D$5:$D$40,Assumptions!$BC112)),"")</f>
        <v>0</v>
      </c>
      <c r="BR112" s="40">
        <f>IFERROR(ABS(SUMIFS('TRA balance'!S$5:S$40,'TRA balance'!$C$5:$C$40,Assumptions!$BB112,'TRA balance'!$D$5:$D$40,Assumptions!$BC112)),"")</f>
        <v>0</v>
      </c>
      <c r="BS112" s="40">
        <f>IFERROR(ABS(SUMIFS('TRA balance'!T$5:T$40,'TRA balance'!$C$5:$C$40,Assumptions!$BB112,'TRA balance'!$D$5:$D$40,Assumptions!$BC112)),"")</f>
        <v>0</v>
      </c>
      <c r="BT112" s="40">
        <f>IFERROR(ABS(SUMIFS('TRA balance'!U$5:U$40,'TRA balance'!$C$5:$C$40,Assumptions!$BB112,'TRA balance'!$D$5:$D$40,Assumptions!$BC112)),"")</f>
        <v>0</v>
      </c>
      <c r="BU112" s="40">
        <f>IFERROR(ABS(SUMIFS('TRA balance'!V$5:V$40,'TRA balance'!$C$5:$C$40,Assumptions!$BB112,'TRA balance'!$D$5:$D$40,Assumptions!$BC112)),"")</f>
        <v>0</v>
      </c>
      <c r="BV112" s="40">
        <f>IFERROR(ABS(SUMIFS('TRA balance'!W$5:W$40,'TRA balance'!$C$5:$C$40,Assumptions!$BB112,'TRA balance'!$D$5:$D$40,Assumptions!$BC112)),"")</f>
        <v>0</v>
      </c>
      <c r="BW112" s="40">
        <f>IFERROR(ABS(SUMIFS('TRA balance'!X$5:X$40,'TRA balance'!$C$5:$C$40,Assumptions!$BB112,'TRA balance'!$D$5:$D$40,Assumptions!$BC112)),"")</f>
        <v>0</v>
      </c>
      <c r="BX112" s="40">
        <f>IFERROR(ABS(SUMIFS('TRA balance'!Y$5:Y$40,'TRA balance'!$C$5:$C$40,Assumptions!$BB112,'TRA balance'!$D$5:$D$40,Assumptions!$BC112)),"")</f>
        <v>0</v>
      </c>
      <c r="BY112" s="40">
        <f>IFERROR(ABS(SUMIFS('TRA balance'!Z$5:Z$40,'TRA balance'!$C$5:$C$40,Assumptions!$BB112,'TRA balance'!$D$5:$D$40,Assumptions!$BC112)),"")</f>
        <v>0</v>
      </c>
      <c r="BZ112" s="40">
        <f>IFERROR(ABS(SUMIFS('TRA balance'!AA$5:AA$40,'TRA balance'!$C$5:$C$40,Assumptions!$BB112,'TRA balance'!$D$5:$D$40,Assumptions!$BC112)),"")</f>
        <v>0</v>
      </c>
      <c r="CA112" s="40">
        <f>IFERROR(ABS(SUMIFS('TRA balance'!AB$5:AB$40,'TRA balance'!$C$5:$C$40,Assumptions!$BB112,'TRA balance'!$D$5:$D$40,Assumptions!$BC112)),"")</f>
        <v>0</v>
      </c>
      <c r="CB112" s="40">
        <f>IFERROR(ABS(SUMIFS('TRA balance'!AC$5:AC$40,'TRA balance'!$C$5:$C$40,Assumptions!$BB112,'TRA balance'!$D$5:$D$40,Assumptions!$BC112)),"")</f>
        <v>0.0005945256</v>
      </c>
      <c r="CC112" s="40">
        <f>IFERROR(ABS(SUMIFS('TRA balance'!AD$5:AD$40,'TRA balance'!$C$5:$C$40,Assumptions!$BB112,'TRA balance'!$D$5:$D$40,Assumptions!$BC112)),"")</f>
        <v>0</v>
      </c>
      <c r="CD112" s="40">
        <f>IFERROR(ABS(SUMIFS('TRA balance'!AE$5:AE$40,'TRA balance'!$C$5:$C$40,Assumptions!$BB112,'TRA balance'!$D$5:$D$40,Assumptions!$BC112)),"")</f>
        <v>0</v>
      </c>
      <c r="CE112" s="40">
        <f>IFERROR(ABS(SUMIFS('TRA balance'!AF$5:AF$40,'TRA balance'!$C$5:$C$40,Assumptions!$BB112,'TRA balance'!$D$5:$D$40,Assumptions!$BC112)),"")</f>
        <v>0</v>
      </c>
      <c r="CF112" s="40">
        <f>IFERROR(ABS(SUMIFS('TRA balance'!AG$5:AG$40,'TRA balance'!$C$5:$C$40,Assumptions!$BB112,'TRA balance'!$D$5:$D$40,Assumptions!$BC112)),"")</f>
        <v>0</v>
      </c>
      <c r="CG112" s="40">
        <f>IFERROR(ABS(SUMIFS('TRA balance'!AH$5:AH$40,'TRA balance'!$C$5:$C$40,Assumptions!$BB112,'TRA balance'!$D$5:$D$40,Assumptions!$BC112)),"")</f>
        <v>0</v>
      </c>
      <c r="CH112" s="40">
        <f>IFERROR(ABS(SUMIFS('TRA balance'!AI$5:AI$40,'TRA balance'!$C$5:$C$40,Assumptions!$BB112,'TRA balance'!$D$5:$D$40,Assumptions!$BC112)),"")</f>
        <v>0</v>
      </c>
      <c r="CI112" s="40">
        <f>IFERROR(ABS(SUMIFS('TRA balance'!AJ$5:AJ$40,'TRA balance'!$C$5:$C$40,Assumptions!$BB112,'TRA balance'!$D$5:$D$40,Assumptions!$BC112)),"")</f>
        <v>0</v>
      </c>
      <c r="CJ112" s="40">
        <f>IFERROR(ABS(SUMIFS('TRA balance'!AK$5:AK$40,'TRA balance'!$C$5:$C$40,Assumptions!$BB112,'TRA balance'!$D$5:$D$40,Assumptions!$BC112)),"")</f>
        <v>0</v>
      </c>
      <c r="CK112" s="40">
        <f>IFERROR(ABS(SUMIFS('TRA balance'!AL$5:AL$40,'TRA balance'!$C$5:$C$40,Assumptions!$BB112,'TRA balance'!$D$5:$D$40,Assumptions!$BC112)),"")</f>
        <v>7.6400014644</v>
      </c>
      <c r="CL112" s="40">
        <f>IFERROR(ABS(SUMIFS('TRA balance'!AM$5:AM$40,'TRA balance'!$C$5:$C$40,Assumptions!$BB112,'TRA balance'!$D$5:$D$40,Assumptions!$BC112)),"")</f>
        <v>0</v>
      </c>
      <c r="CM112" s="40">
        <f>IFERROR(ABS(SUMIFS('TRA balance'!AN$5:AN$40,'TRA balance'!$C$5:$C$40,Assumptions!$BB112,'TRA balance'!$D$5:$D$40,Assumptions!$BC112)),"")</f>
        <v>0</v>
      </c>
      <c r="CN112" s="40">
        <f>IFERROR(ABS(SUMIFS('TRA balance'!AO$5:AO$40,'TRA balance'!$C$5:$C$40,Assumptions!$BB112,'TRA balance'!$D$5:$D$40,Assumptions!$BC112)),"")</f>
        <v>0</v>
      </c>
      <c r="CO112" s="40">
        <f>IFERROR(ABS(SUMIFS('TRA balance'!AP$5:AP$40,'TRA balance'!$C$5:$C$40,Assumptions!$BB112,'TRA balance'!$D$5:$D$40,Assumptions!$BC112)),"")</f>
        <v>0</v>
      </c>
      <c r="CP112" s="40">
        <f>IFERROR(ABS(SUMIFS('TRA balance'!AQ$5:AQ$40,'TRA balance'!$C$5:$C$40,Assumptions!$BB112,'TRA balance'!$D$5:$D$40,Assumptions!$BC112)),"")</f>
        <v>0</v>
      </c>
      <c r="CQ112" s="40">
        <f>IFERROR(ABS(SUMIFS('TRA balance'!AR$5:AR$40,'TRA balance'!$C$5:$C$40,Assumptions!$BB112,'TRA balance'!$D$5:$D$40,Assumptions!$BC112)),"")</f>
        <v>0</v>
      </c>
      <c r="CR112" s="40">
        <f>IFERROR(ABS(SUMIFS('TRA balance'!AS$5:AS$40,'TRA balance'!$C$5:$C$40,Assumptions!$BB112,'TRA balance'!$D$5:$D$40,Assumptions!$BC112)),"")</f>
        <v>0</v>
      </c>
      <c r="CS112" s="40">
        <f>IFERROR(ABS(SUMIFS('TRA balance'!AT$5:AT$40,'TRA balance'!$C$5:$C$40,Assumptions!$BB112,'TRA balance'!$D$5:$D$40,Assumptions!$BC112)),"")</f>
        <v>0</v>
      </c>
      <c r="CT112" s="40">
        <f>IFERROR(ABS(SUMIFS('TRA balance'!AU$5:AU$40,'TRA balance'!$C$5:$C$40,Assumptions!$BB112,'TRA balance'!$D$5:$D$40,Assumptions!$BC112)),"")</f>
        <v>0</v>
      </c>
      <c r="CU112" s="40">
        <f>IFERROR(ABS(SUMIFS('TRA balance'!AV$5:AV$40,'TRA balance'!$C$5:$C$40,Assumptions!$BB112,'TRA balance'!$D$5:$D$40,Assumptions!$BC112)),"")</f>
        <v>0</v>
      </c>
      <c r="CV112" s="40">
        <f>IFERROR(ABS(SUMIFS('TRA balance'!AW$5:AW$40,'TRA balance'!$C$5:$C$40,Assumptions!$BB112,'TRA balance'!$D$5:$D$40,Assumptions!$BC112)),"")</f>
        <v>0</v>
      </c>
      <c r="CW112" s="40">
        <f>IFERROR(ABS(SUMIFS('TRA balance'!AX$5:AX$40,'TRA balance'!$C$5:$C$40,Assumptions!$BB112,'TRA balance'!$D$5:$D$40,Assumptions!$BC112)),"")</f>
        <v>0</v>
      </c>
      <c r="CX112" s="38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8" t="s">
        <v>62</v>
      </c>
      <c r="BC113" s="38" t="s">
        <v>72</v>
      </c>
      <c r="BD113" s="40">
        <f>IFERROR(ABS(SUMIFS('TRA balance'!E$5:E$40,'TRA balance'!$C$5:$C$40,Assumptions!$BB113,'TRA balance'!$D$5:$D$40,Assumptions!$BC113)),"")</f>
        <v>28.892667186</v>
      </c>
      <c r="BE113" s="40">
        <f>IFERROR(ABS(SUMIFS('TRA balance'!F$5:F$40,'TRA balance'!$C$5:$C$40,Assumptions!$BB113,'TRA balance'!$D$5:$D$40,Assumptions!$BC113)),"")</f>
        <v>22.6259235612</v>
      </c>
      <c r="BF113" s="40">
        <f>IFERROR(ABS(SUMIFS('TRA balance'!G$5:G$40,'TRA balance'!$C$5:$C$40,Assumptions!$BB113,'TRA balance'!$D$5:$D$40,Assumptions!$BC113)),"")</f>
        <v>123.7186965204</v>
      </c>
      <c r="BG113" s="40">
        <f>IFERROR(ABS(SUMIFS('TRA balance'!H$5:H$40,'TRA balance'!$C$5:$C$40,Assumptions!$BB113,'TRA balance'!$D$5:$D$40,Assumptions!$BC113)),"")</f>
        <v>1.3079814408</v>
      </c>
      <c r="BH113" s="40">
        <f>IFERROR(ABS(SUMIFS('TRA balance'!I$5:I$40,'TRA balance'!$C$5:$C$40,Assumptions!$BB113,'TRA balance'!$D$5:$D$40,Assumptions!$BC113)),"")</f>
        <v>0.0886638636</v>
      </c>
      <c r="BI113" s="40">
        <f>IFERROR(ABS(SUMIFS('TRA balance'!J$5:J$40,'TRA balance'!$C$5:$C$40,Assumptions!$BB113,'TRA balance'!$D$5:$D$40,Assumptions!$BC113)),"")</f>
        <v>0.552531996</v>
      </c>
      <c r="BJ113" s="40">
        <f>IFERROR(ABS(SUMIFS('TRA balance'!K$5:K$40,'TRA balance'!$C$5:$C$40,Assumptions!$BB113,'TRA balance'!$D$5:$D$40,Assumptions!$BC113)),"")</f>
        <v>140.169186378</v>
      </c>
      <c r="BK113" s="40">
        <f>IFERROR(ABS(SUMIFS('TRA balance'!L$5:L$40,'TRA balance'!$C$5:$C$40,Assumptions!$BB113,'TRA balance'!$D$5:$D$40,Assumptions!$BC113)),"")</f>
        <v>1141.7510237796</v>
      </c>
      <c r="BL113" s="40">
        <f>IFERROR(ABS(SUMIFS('TRA balance'!M$5:M$40,'TRA balance'!$C$5:$C$40,Assumptions!$BB113,'TRA balance'!$D$5:$D$40,Assumptions!$BC113)),"")</f>
        <v>0.469675224</v>
      </c>
      <c r="BM113" s="40">
        <f>IFERROR(ABS(SUMIFS('TRA balance'!N$5:N$40,'TRA balance'!$C$5:$C$40,Assumptions!$BB113,'TRA balance'!$D$5:$D$40,Assumptions!$BC113)),"")</f>
        <v>1.9810011672</v>
      </c>
      <c r="BN113" s="40">
        <f>IFERROR(ABS(SUMIFS('TRA balance'!O$5:O$40,'TRA balance'!$C$5:$C$40,Assumptions!$BB113,'TRA balance'!$D$5:$D$40,Assumptions!$BC113)),"")</f>
        <v>67.7992305024</v>
      </c>
      <c r="BO113" s="40">
        <f>IFERROR(ABS(SUMIFS('TRA balance'!P$5:P$40,'TRA balance'!$C$5:$C$40,Assumptions!$BB113,'TRA balance'!$D$5:$D$40,Assumptions!$BC113)),"")</f>
        <v>30.7530005904</v>
      </c>
      <c r="BP113" s="40">
        <f>IFERROR(ABS(SUMIFS('TRA balance'!Q$5:Q$40,'TRA balance'!$C$5:$C$40,Assumptions!$BB113,'TRA balance'!$D$5:$D$40,Assumptions!$BC113)),"")</f>
        <v>9.4633277436</v>
      </c>
      <c r="BQ113" s="40">
        <f>IFERROR(ABS(SUMIFS('TRA balance'!R$5:R$40,'TRA balance'!$C$5:$C$40,Assumptions!$BB113,'TRA balance'!$D$5:$D$40,Assumptions!$BC113)),"")</f>
        <v>3.19829652</v>
      </c>
      <c r="BR113" s="40">
        <f>IFERROR(ABS(SUMIFS('TRA balance'!S$5:S$40,'TRA balance'!$C$5:$C$40,Assumptions!$BB113,'TRA balance'!$D$5:$D$40,Assumptions!$BC113)),"")</f>
        <v>0.3797260128</v>
      </c>
      <c r="BS113" s="40">
        <f>IFERROR(ABS(SUMIFS('TRA balance'!T$5:T$40,'TRA balance'!$C$5:$C$40,Assumptions!$BB113,'TRA balance'!$D$5:$D$40,Assumptions!$BC113)),"")</f>
        <v>179.286291306</v>
      </c>
      <c r="BT113" s="40">
        <f>IFERROR(ABS(SUMIFS('TRA balance'!U$5:U$40,'TRA balance'!$C$5:$C$40,Assumptions!$BB113,'TRA balance'!$D$5:$D$40,Assumptions!$BC113)),"")</f>
        <v>0.2140962048</v>
      </c>
      <c r="BU113" s="40">
        <f>IFERROR(ABS(SUMIFS('TRA balance'!V$5:V$40,'TRA balance'!$C$5:$C$40,Assumptions!$BB113,'TRA balance'!$D$5:$D$40,Assumptions!$BC113)),"")</f>
        <v>37.9845252864</v>
      </c>
      <c r="BV113" s="40">
        <f>IFERROR(ABS(SUMIFS('TRA balance'!W$5:W$40,'TRA balance'!$C$5:$C$40,Assumptions!$BB113,'TRA balance'!$D$5:$D$40,Assumptions!$BC113)),"")</f>
        <v>147.5997682932</v>
      </c>
      <c r="BW113" s="40">
        <f>IFERROR(ABS(SUMIFS('TRA balance'!X$5:X$40,'TRA balance'!$C$5:$C$40,Assumptions!$BB113,'TRA balance'!$D$5:$D$40,Assumptions!$BC113)),"")</f>
        <v>89.0664621012</v>
      </c>
      <c r="BX113" s="40">
        <f>IFERROR(ABS(SUMIFS('TRA balance'!Y$5:Y$40,'TRA balance'!$C$5:$C$40,Assumptions!$BB113,'TRA balance'!$D$5:$D$40,Assumptions!$BC113)),"")</f>
        <v>60.2006741712</v>
      </c>
      <c r="BY113" s="40">
        <f>IFERROR(ABS(SUMIFS('TRA balance'!Z$5:Z$40,'TRA balance'!$C$5:$C$40,Assumptions!$BB113,'TRA balance'!$D$5:$D$40,Assumptions!$BC113)),"")</f>
        <v>2814.8464867644</v>
      </c>
      <c r="BZ113" s="40">
        <f>IFERROR(ABS(SUMIFS('TRA balance'!AA$5:AA$40,'TRA balance'!$C$5:$C$40,Assumptions!$BB113,'TRA balance'!$D$5:$D$40,Assumptions!$BC113)),"")</f>
        <v>14.7001143816</v>
      </c>
      <c r="CA113" s="40">
        <f>IFERROR(ABS(SUMIFS('TRA balance'!AB$5:AB$40,'TRA balance'!$C$5:$C$40,Assumptions!$BB113,'TRA balance'!$D$5:$D$40,Assumptions!$BC113)),"")</f>
        <v>1.416206034</v>
      </c>
      <c r="CB113" s="40">
        <f>IFERROR(ABS(SUMIFS('TRA balance'!AC$5:AC$40,'TRA balance'!$C$5:$C$40,Assumptions!$BB113,'TRA balance'!$D$5:$D$40,Assumptions!$BC113)),"")</f>
        <v>364.0769141436</v>
      </c>
      <c r="CC113" s="40">
        <f>IFERROR(ABS(SUMIFS('TRA balance'!AD$5:AD$40,'TRA balance'!$C$5:$C$40,Assumptions!$BB113,'TRA balance'!$D$5:$D$40,Assumptions!$BC113)),"")</f>
        <v>245.790197064</v>
      </c>
      <c r="CD113" s="40">
        <f>IFERROR(ABS(SUMIFS('TRA balance'!AE$5:AE$40,'TRA balance'!$C$5:$C$40,Assumptions!$BB113,'TRA balance'!$D$5:$D$40,Assumptions!$BC113)),"")</f>
        <v>40.8475344888</v>
      </c>
      <c r="CE113" s="40">
        <f>IFERROR(ABS(SUMIFS('TRA balance'!AF$5:AF$40,'TRA balance'!$C$5:$C$40,Assumptions!$BB113,'TRA balance'!$D$5:$D$40,Assumptions!$BC113)),"")</f>
        <v>51.9971336136</v>
      </c>
      <c r="CF113" s="40">
        <f>IFERROR(ABS(SUMIFS('TRA balance'!AG$5:AG$40,'TRA balance'!$C$5:$C$40,Assumptions!$BB113,'TRA balance'!$D$5:$D$40,Assumptions!$BC113)),"")</f>
        <v>104.0678460504</v>
      </c>
      <c r="CG113" s="40">
        <f>IFERROR(ABS(SUMIFS('TRA balance'!AH$5:AH$40,'TRA balance'!$C$5:$C$40,Assumptions!$BB113,'TRA balance'!$D$5:$D$40,Assumptions!$BC113)),"")</f>
        <v>10.7713468656</v>
      </c>
      <c r="CH113" s="40">
        <f>IFERROR(ABS(SUMIFS('TRA balance'!AI$5:AI$40,'TRA balance'!$C$5:$C$40,Assumptions!$BB113,'TRA balance'!$D$5:$D$40,Assumptions!$BC113)),"")</f>
        <v>2.769819408</v>
      </c>
      <c r="CI113" s="40">
        <f>IFERROR(ABS(SUMIFS('TRA balance'!AJ$5:AJ$40,'TRA balance'!$C$5:$C$40,Assumptions!$BB113,'TRA balance'!$D$5:$D$40,Assumptions!$BC113)),"")</f>
        <v>50.4389992464</v>
      </c>
      <c r="CJ113" s="40">
        <f>IFERROR(ABS(SUMIFS('TRA balance'!AK$5:AK$40,'TRA balance'!$C$5:$C$40,Assumptions!$BB113,'TRA balance'!$D$5:$D$40,Assumptions!$BC113)),"")</f>
        <v>37.1254944096</v>
      </c>
      <c r="CK113" s="40">
        <f>IFERROR(ABS(SUMIFS('TRA balance'!AL$5:AL$40,'TRA balance'!$C$5:$C$40,Assumptions!$BB113,'TRA balance'!$D$5:$D$40,Assumptions!$BC113)),"")</f>
        <v>0</v>
      </c>
      <c r="CL113" s="40">
        <f>IFERROR(ABS(SUMIFS('TRA balance'!AM$5:AM$40,'TRA balance'!$C$5:$C$40,Assumptions!$BB113,'TRA balance'!$D$5:$D$40,Assumptions!$BC113)),"")</f>
        <v>0</v>
      </c>
      <c r="CM113" s="40">
        <f>IFERROR(ABS(SUMIFS('TRA balance'!AN$5:AN$40,'TRA balance'!$C$5:$C$40,Assumptions!$BB113,'TRA balance'!$D$5:$D$40,Assumptions!$BC113)),"")</f>
        <v>0</v>
      </c>
      <c r="CN113" s="40">
        <f>IFERROR(ABS(SUMIFS('TRA balance'!AO$5:AO$40,'TRA balance'!$C$5:$C$40,Assumptions!$BB113,'TRA balance'!$D$5:$D$40,Assumptions!$BC113)),"")</f>
        <v>0</v>
      </c>
      <c r="CO113" s="40">
        <f>IFERROR(ABS(SUMIFS('TRA balance'!AP$5:AP$40,'TRA balance'!$C$5:$C$40,Assumptions!$BB113,'TRA balance'!$D$5:$D$40,Assumptions!$BC113)),"")</f>
        <v>0</v>
      </c>
      <c r="CP113" s="40">
        <f>IFERROR(ABS(SUMIFS('TRA balance'!AQ$5:AQ$40,'TRA balance'!$C$5:$C$40,Assumptions!$BB113,'TRA balance'!$D$5:$D$40,Assumptions!$BC113)),"")</f>
        <v>0</v>
      </c>
      <c r="CQ113" s="40">
        <f>IFERROR(ABS(SUMIFS('TRA balance'!AR$5:AR$40,'TRA balance'!$C$5:$C$40,Assumptions!$BB113,'TRA balance'!$D$5:$D$40,Assumptions!$BC113)),"")</f>
        <v>0</v>
      </c>
      <c r="CR113" s="40">
        <f>IFERROR(ABS(SUMIFS('TRA balance'!AS$5:AS$40,'TRA balance'!$C$5:$C$40,Assumptions!$BB113,'TRA balance'!$D$5:$D$40,Assumptions!$BC113)),"")</f>
        <v>0</v>
      </c>
      <c r="CS113" s="40">
        <f>IFERROR(ABS(SUMIFS('TRA balance'!AT$5:AT$40,'TRA balance'!$C$5:$C$40,Assumptions!$BB113,'TRA balance'!$D$5:$D$40,Assumptions!$BC113)),"")</f>
        <v>0</v>
      </c>
      <c r="CT113" s="40">
        <f>IFERROR(ABS(SUMIFS('TRA balance'!AU$5:AU$40,'TRA balance'!$C$5:$C$40,Assumptions!$BB113,'TRA balance'!$D$5:$D$40,Assumptions!$BC113)),"")</f>
        <v>0</v>
      </c>
      <c r="CU113" s="40">
        <f>IFERROR(ABS(SUMIFS('TRA balance'!AV$5:AV$40,'TRA balance'!$C$5:$C$40,Assumptions!$BB113,'TRA balance'!$D$5:$D$40,Assumptions!$BC113)),"")</f>
        <v>0</v>
      </c>
      <c r="CV113" s="40">
        <f>IFERROR(ABS(SUMIFS('TRA balance'!AW$5:AW$40,'TRA balance'!$C$5:$C$40,Assumptions!$BB113,'TRA balance'!$D$5:$D$40,Assumptions!$BC113)),"")</f>
        <v>0</v>
      </c>
      <c r="CW113" s="40">
        <f>IFERROR(ABS(SUMIFS('TRA balance'!AX$5:AX$40,'TRA balance'!$C$5:$C$40,Assumptions!$BB113,'TRA balance'!$D$5:$D$40,Assumptions!$BC113)),"")</f>
        <v>0</v>
      </c>
      <c r="CX113" s="38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8" t="s">
        <v>87</v>
      </c>
      <c r="BC114" s="38" t="s">
        <v>44</v>
      </c>
      <c r="BD114" s="40">
        <f>IFERROR(ABS(SUMIFS('TRA balance'!E$5:E$40,'TRA balance'!$C$5:$C$40,Assumptions!$BB114,'TRA balance'!$D$5:$D$40,Assumptions!$BC114)),"")</f>
        <v>0</v>
      </c>
      <c r="BE114" s="40">
        <f>IFERROR(ABS(SUMIFS('TRA balance'!F$5:F$40,'TRA balance'!$C$5:$C$40,Assumptions!$BB114,'TRA balance'!$D$5:$D$40,Assumptions!$BC114)),"")</f>
        <v>0</v>
      </c>
      <c r="BF114" s="40">
        <f>IFERROR(ABS(SUMIFS('TRA balance'!G$5:G$40,'TRA balance'!$C$5:$C$40,Assumptions!$BB114,'TRA balance'!$D$5:$D$40,Assumptions!$BC114)),"")</f>
        <v>0</v>
      </c>
      <c r="BG114" s="40">
        <f>IFERROR(ABS(SUMIFS('TRA balance'!H$5:H$40,'TRA balance'!$C$5:$C$40,Assumptions!$BB114,'TRA balance'!$D$5:$D$40,Assumptions!$BC114)),"")</f>
        <v>0</v>
      </c>
      <c r="BH114" s="40">
        <f>IFERROR(ABS(SUMIFS('TRA balance'!I$5:I$40,'TRA balance'!$C$5:$C$40,Assumptions!$BB114,'TRA balance'!$D$5:$D$40,Assumptions!$BC114)),"")</f>
        <v>0</v>
      </c>
      <c r="BI114" s="40">
        <f>IFERROR(ABS(SUMIFS('TRA balance'!J$5:J$40,'TRA balance'!$C$5:$C$40,Assumptions!$BB114,'TRA balance'!$D$5:$D$40,Assumptions!$BC114)),"")</f>
        <v>0.1182477924</v>
      </c>
      <c r="BJ114" s="40">
        <f>IFERROR(ABS(SUMIFS('TRA balance'!K$5:K$40,'TRA balance'!$C$5:$C$40,Assumptions!$BB114,'TRA balance'!$D$5:$D$40,Assumptions!$BC114)),"")</f>
        <v>0</v>
      </c>
      <c r="BK114" s="40">
        <f>IFERROR(ABS(SUMIFS('TRA balance'!L$5:L$40,'TRA balance'!$C$5:$C$40,Assumptions!$BB114,'TRA balance'!$D$5:$D$40,Assumptions!$BC114)),"")</f>
        <v>0</v>
      </c>
      <c r="BL114" s="40">
        <f>IFERROR(ABS(SUMIFS('TRA balance'!M$5:M$40,'TRA balance'!$C$5:$C$40,Assumptions!$BB114,'TRA balance'!$D$5:$D$40,Assumptions!$BC114)),"")</f>
        <v>0</v>
      </c>
      <c r="BM114" s="40">
        <f>IFERROR(ABS(SUMIFS('TRA balance'!N$5:N$40,'TRA balance'!$C$5:$C$40,Assumptions!$BB114,'TRA balance'!$D$5:$D$40,Assumptions!$BC114)),"")</f>
        <v>0</v>
      </c>
      <c r="BN114" s="40">
        <f>IFERROR(ABS(SUMIFS('TRA balance'!O$5:O$40,'TRA balance'!$C$5:$C$40,Assumptions!$BB114,'TRA balance'!$D$5:$D$40,Assumptions!$BC114)),"")</f>
        <v>0.1783828008</v>
      </c>
      <c r="BO114" s="40">
        <f>IFERROR(ABS(SUMIFS('TRA balance'!P$5:P$40,'TRA balance'!$C$5:$C$40,Assumptions!$BB114,'TRA balance'!$D$5:$D$40,Assumptions!$BC114)),"")</f>
        <v>0</v>
      </c>
      <c r="BP114" s="40">
        <f>IFERROR(ABS(SUMIFS('TRA balance'!Q$5:Q$40,'TRA balance'!$C$5:$C$40,Assumptions!$BB114,'TRA balance'!$D$5:$D$40,Assumptions!$BC114)),"")</f>
        <v>0.0169649136</v>
      </c>
      <c r="BQ114" s="40">
        <f>IFERROR(ABS(SUMIFS('TRA balance'!R$5:R$40,'TRA balance'!$C$5:$C$40,Assumptions!$BB114,'TRA balance'!$D$5:$D$40,Assumptions!$BC114)),"")</f>
        <v>0</v>
      </c>
      <c r="BR114" s="40">
        <f>IFERROR(ABS(SUMIFS('TRA balance'!S$5:S$40,'TRA balance'!$C$5:$C$40,Assumptions!$BB114,'TRA balance'!$D$5:$D$40,Assumptions!$BC114)),"")</f>
        <v>4.1868e-5</v>
      </c>
      <c r="BS114" s="40">
        <f>IFERROR(ABS(SUMIFS('TRA balance'!T$5:T$40,'TRA balance'!$C$5:$C$40,Assumptions!$BB114,'TRA balance'!$D$5:$D$40,Assumptions!$BC114)),"")</f>
        <v>0</v>
      </c>
      <c r="BT114" s="40">
        <f>IFERROR(ABS(SUMIFS('TRA balance'!U$5:U$40,'TRA balance'!$C$5:$C$40,Assumptions!$BB114,'TRA balance'!$D$5:$D$40,Assumptions!$BC114)),"")</f>
        <v>0</v>
      </c>
      <c r="BU114" s="40">
        <f>IFERROR(ABS(SUMIFS('TRA balance'!V$5:V$40,'TRA balance'!$C$5:$C$40,Assumptions!$BB114,'TRA balance'!$D$5:$D$40,Assumptions!$BC114)),"")</f>
        <v>0</v>
      </c>
      <c r="BV114" s="40">
        <f>IFERROR(ABS(SUMIFS('TRA balance'!W$5:W$40,'TRA balance'!$C$5:$C$40,Assumptions!$BB114,'TRA balance'!$D$5:$D$40,Assumptions!$BC114)),"")</f>
        <v>0</v>
      </c>
      <c r="BW114" s="40">
        <f>IFERROR(ABS(SUMIFS('TRA balance'!X$5:X$40,'TRA balance'!$C$5:$C$40,Assumptions!$BB114,'TRA balance'!$D$5:$D$40,Assumptions!$BC114)),"")</f>
        <v>0</v>
      </c>
      <c r="BX114" s="40">
        <f>IFERROR(ABS(SUMIFS('TRA balance'!Y$5:Y$40,'TRA balance'!$C$5:$C$40,Assumptions!$BB114,'TRA balance'!$D$5:$D$40,Assumptions!$BC114)),"")</f>
        <v>0</v>
      </c>
      <c r="BY114" s="40">
        <f>IFERROR(ABS(SUMIFS('TRA balance'!Z$5:Z$40,'TRA balance'!$C$5:$C$40,Assumptions!$BB114,'TRA balance'!$D$5:$D$40,Assumptions!$BC114)),"")</f>
        <v>4.5131526864</v>
      </c>
      <c r="BZ114" s="40">
        <f>IFERROR(ABS(SUMIFS('TRA balance'!AA$5:AA$40,'TRA balance'!$C$5:$C$40,Assumptions!$BB114,'TRA balance'!$D$5:$D$40,Assumptions!$BC114)),"")</f>
        <v>0</v>
      </c>
      <c r="CA114" s="40">
        <f>IFERROR(ABS(SUMIFS('TRA balance'!AB$5:AB$40,'TRA balance'!$C$5:$C$40,Assumptions!$BB114,'TRA balance'!$D$5:$D$40,Assumptions!$BC114)),"")</f>
        <v>0</v>
      </c>
      <c r="CB114" s="40">
        <f>IFERROR(ABS(SUMIFS('TRA balance'!AC$5:AC$40,'TRA balance'!$C$5:$C$40,Assumptions!$BB114,'TRA balance'!$D$5:$D$40,Assumptions!$BC114)),"")</f>
        <v>0.2565629172</v>
      </c>
      <c r="CC114" s="40">
        <f>IFERROR(ABS(SUMIFS('TRA balance'!AD$5:AD$40,'TRA balance'!$C$5:$C$40,Assumptions!$BB114,'TRA balance'!$D$5:$D$40,Assumptions!$BC114)),"")</f>
        <v>0</v>
      </c>
      <c r="CD114" s="40">
        <f>IFERROR(ABS(SUMIFS('TRA balance'!AE$5:AE$40,'TRA balance'!$C$5:$C$40,Assumptions!$BB114,'TRA balance'!$D$5:$D$40,Assumptions!$BC114)),"")</f>
        <v>0</v>
      </c>
      <c r="CE114" s="40">
        <f>IFERROR(ABS(SUMIFS('TRA balance'!AF$5:AF$40,'TRA balance'!$C$5:$C$40,Assumptions!$BB114,'TRA balance'!$D$5:$D$40,Assumptions!$BC114)),"")</f>
        <v>0</v>
      </c>
      <c r="CF114" s="40">
        <f>IFERROR(ABS(SUMIFS('TRA balance'!AG$5:AG$40,'TRA balance'!$C$5:$C$40,Assumptions!$BB114,'TRA balance'!$D$5:$D$40,Assumptions!$BC114)),"")</f>
        <v>0.1059637212</v>
      </c>
      <c r="CG114" s="40">
        <f>IFERROR(ABS(SUMIFS('TRA balance'!AH$5:AH$40,'TRA balance'!$C$5:$C$40,Assumptions!$BB114,'TRA balance'!$D$5:$D$40,Assumptions!$BC114)),"")</f>
        <v>0.16820469</v>
      </c>
      <c r="CH114" s="40">
        <f>IFERROR(ABS(SUMIFS('TRA balance'!AI$5:AI$40,'TRA balance'!$C$5:$C$40,Assumptions!$BB114,'TRA balance'!$D$5:$D$40,Assumptions!$BC114)),"")</f>
        <v>0.0289684692</v>
      </c>
      <c r="CI114" s="40">
        <f>IFERROR(ABS(SUMIFS('TRA balance'!AJ$5:AJ$40,'TRA balance'!$C$5:$C$40,Assumptions!$BB114,'TRA balance'!$D$5:$D$40,Assumptions!$BC114)),"")</f>
        <v>0</v>
      </c>
      <c r="CJ114" s="40">
        <f>IFERROR(ABS(SUMIFS('TRA balance'!AK$5:AK$40,'TRA balance'!$C$5:$C$40,Assumptions!$BB114,'TRA balance'!$D$5:$D$40,Assumptions!$BC114)),"")</f>
        <v>0</v>
      </c>
      <c r="CK114" s="40">
        <f>IFERROR(ABS(SUMIFS('TRA balance'!AL$5:AL$40,'TRA balance'!$C$5:$C$40,Assumptions!$BB114,'TRA balance'!$D$5:$D$40,Assumptions!$BC114)),"")</f>
        <v>0</v>
      </c>
      <c r="CL114" s="40">
        <f>IFERROR(ABS(SUMIFS('TRA balance'!AM$5:AM$40,'TRA balance'!$C$5:$C$40,Assumptions!$BB114,'TRA balance'!$D$5:$D$40,Assumptions!$BC114)),"")</f>
        <v>0</v>
      </c>
      <c r="CM114" s="40">
        <f>IFERROR(ABS(SUMIFS('TRA balance'!AN$5:AN$40,'TRA balance'!$C$5:$C$40,Assumptions!$BB114,'TRA balance'!$D$5:$D$40,Assumptions!$BC114)),"")</f>
        <v>0</v>
      </c>
      <c r="CN114" s="40">
        <f>IFERROR(ABS(SUMIFS('TRA balance'!AO$5:AO$40,'TRA balance'!$C$5:$C$40,Assumptions!$BB114,'TRA balance'!$D$5:$D$40,Assumptions!$BC114)),"")</f>
        <v>0</v>
      </c>
      <c r="CO114" s="40">
        <f>IFERROR(ABS(SUMIFS('TRA balance'!AP$5:AP$40,'TRA balance'!$C$5:$C$40,Assumptions!$BB114,'TRA balance'!$D$5:$D$40,Assumptions!$BC114)),"")</f>
        <v>0</v>
      </c>
      <c r="CP114" s="40">
        <f>IFERROR(ABS(SUMIFS('TRA balance'!AQ$5:AQ$40,'TRA balance'!$C$5:$C$40,Assumptions!$BB114,'TRA balance'!$D$5:$D$40,Assumptions!$BC114)),"")</f>
        <v>0</v>
      </c>
      <c r="CQ114" s="40">
        <f>IFERROR(ABS(SUMIFS('TRA balance'!AR$5:AR$40,'TRA balance'!$C$5:$C$40,Assumptions!$BB114,'TRA balance'!$D$5:$D$40,Assumptions!$BC114)),"")</f>
        <v>0</v>
      </c>
      <c r="CR114" s="40">
        <f>IFERROR(ABS(SUMIFS('TRA balance'!AS$5:AS$40,'TRA balance'!$C$5:$C$40,Assumptions!$BB114,'TRA balance'!$D$5:$D$40,Assumptions!$BC114)),"")</f>
        <v>0</v>
      </c>
      <c r="CS114" s="40">
        <f>IFERROR(ABS(SUMIFS('TRA balance'!AT$5:AT$40,'TRA balance'!$C$5:$C$40,Assumptions!$BB114,'TRA balance'!$D$5:$D$40,Assumptions!$BC114)),"")</f>
        <v>0</v>
      </c>
      <c r="CT114" s="40">
        <f>IFERROR(ABS(SUMIFS('TRA balance'!AU$5:AU$40,'TRA balance'!$C$5:$C$40,Assumptions!$BB114,'TRA balance'!$D$5:$D$40,Assumptions!$BC114)),"")</f>
        <v>0</v>
      </c>
      <c r="CU114" s="40">
        <f>IFERROR(ABS(SUMIFS('TRA balance'!AV$5:AV$40,'TRA balance'!$C$5:$C$40,Assumptions!$BB114,'TRA balance'!$D$5:$D$40,Assumptions!$BC114)),"")</f>
        <v>0</v>
      </c>
      <c r="CV114" s="40">
        <f>IFERROR(ABS(SUMIFS('TRA balance'!AW$5:AW$40,'TRA balance'!$C$5:$C$40,Assumptions!$BB114,'TRA balance'!$D$5:$D$40,Assumptions!$BC114)),"")</f>
        <v>0</v>
      </c>
      <c r="CW114" s="40">
        <f>IFERROR(ABS(SUMIFS('TRA balance'!AX$5:AX$40,'TRA balance'!$C$5:$C$40,Assumptions!$BB114,'TRA balance'!$D$5:$D$40,Assumptions!$BC114)),"")</f>
        <v>0</v>
      </c>
      <c r="CX114" s="38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8" t="s">
        <v>87</v>
      </c>
      <c r="BC115" s="38" t="s">
        <v>48</v>
      </c>
      <c r="BD115" s="40">
        <f>IFERROR(ABS(SUMIFS('TRA balance'!E$5:E$40,'TRA balance'!$C$5:$C$40,Assumptions!$BB115,'TRA balance'!$D$5:$D$40,Assumptions!$BC115)),"")</f>
        <v>0</v>
      </c>
      <c r="BE115" s="40">
        <f>IFERROR(ABS(SUMIFS('TRA balance'!F$5:F$40,'TRA balance'!$C$5:$C$40,Assumptions!$BB115,'TRA balance'!$D$5:$D$40,Assumptions!$BC115)),"")</f>
        <v>0</v>
      </c>
      <c r="BF115" s="40">
        <f>IFERROR(ABS(SUMIFS('TRA balance'!G$5:G$40,'TRA balance'!$C$5:$C$40,Assumptions!$BB115,'TRA balance'!$D$5:$D$40,Assumptions!$BC115)),"")</f>
        <v>0</v>
      </c>
      <c r="BG115" s="40">
        <f>IFERROR(ABS(SUMIFS('TRA balance'!H$5:H$40,'TRA balance'!$C$5:$C$40,Assumptions!$BB115,'TRA balance'!$D$5:$D$40,Assumptions!$BC115)),"")</f>
        <v>0</v>
      </c>
      <c r="BH115" s="40">
        <f>IFERROR(ABS(SUMIFS('TRA balance'!I$5:I$40,'TRA balance'!$C$5:$C$40,Assumptions!$BB115,'TRA balance'!$D$5:$D$40,Assumptions!$BC115)),"")</f>
        <v>0</v>
      </c>
      <c r="BI115" s="40">
        <f>IFERROR(ABS(SUMIFS('TRA balance'!J$5:J$40,'TRA balance'!$C$5:$C$40,Assumptions!$BB115,'TRA balance'!$D$5:$D$40,Assumptions!$BC115)),"")</f>
        <v>0</v>
      </c>
      <c r="BJ115" s="40">
        <f>IFERROR(ABS(SUMIFS('TRA balance'!K$5:K$40,'TRA balance'!$C$5:$C$40,Assumptions!$BB115,'TRA balance'!$D$5:$D$40,Assumptions!$BC115)),"")</f>
        <v>0</v>
      </c>
      <c r="BK115" s="40">
        <f>IFERROR(ABS(SUMIFS('TRA balance'!L$5:L$40,'TRA balance'!$C$5:$C$40,Assumptions!$BB115,'TRA balance'!$D$5:$D$40,Assumptions!$BC115)),"")</f>
        <v>0</v>
      </c>
      <c r="BL115" s="40">
        <f>IFERROR(ABS(SUMIFS('TRA balance'!M$5:M$40,'TRA balance'!$C$5:$C$40,Assumptions!$BB115,'TRA balance'!$D$5:$D$40,Assumptions!$BC115)),"")</f>
        <v>0</v>
      </c>
      <c r="BM115" s="40">
        <f>IFERROR(ABS(SUMIFS('TRA balance'!N$5:N$40,'TRA balance'!$C$5:$C$40,Assumptions!$BB115,'TRA balance'!$D$5:$D$40,Assumptions!$BC115)),"")</f>
        <v>0</v>
      </c>
      <c r="BN115" s="40">
        <f>IFERROR(ABS(SUMIFS('TRA balance'!O$5:O$40,'TRA balance'!$C$5:$C$40,Assumptions!$BB115,'TRA balance'!$D$5:$D$40,Assumptions!$BC115)),"")</f>
        <v>0</v>
      </c>
      <c r="BO115" s="40">
        <f>IFERROR(ABS(SUMIFS('TRA balance'!P$5:P$40,'TRA balance'!$C$5:$C$40,Assumptions!$BB115,'TRA balance'!$D$5:$D$40,Assumptions!$BC115)),"")</f>
        <v>0</v>
      </c>
      <c r="BP115" s="40">
        <f>IFERROR(ABS(SUMIFS('TRA balance'!Q$5:Q$40,'TRA balance'!$C$5:$C$40,Assumptions!$BB115,'TRA balance'!$D$5:$D$40,Assumptions!$BC115)),"")</f>
        <v>0</v>
      </c>
      <c r="BQ115" s="40">
        <f>IFERROR(ABS(SUMIFS('TRA balance'!R$5:R$40,'TRA balance'!$C$5:$C$40,Assumptions!$BB115,'TRA balance'!$D$5:$D$40,Assumptions!$BC115)),"")</f>
        <v>0</v>
      </c>
      <c r="BR115" s="40">
        <f>IFERROR(ABS(SUMIFS('TRA balance'!S$5:S$40,'TRA balance'!$C$5:$C$40,Assumptions!$BB115,'TRA balance'!$D$5:$D$40,Assumptions!$BC115)),"")</f>
        <v>0</v>
      </c>
      <c r="BS115" s="40">
        <f>IFERROR(ABS(SUMIFS('TRA balance'!T$5:T$40,'TRA balance'!$C$5:$C$40,Assumptions!$BB115,'TRA balance'!$D$5:$D$40,Assumptions!$BC115)),"")</f>
        <v>0</v>
      </c>
      <c r="BT115" s="40">
        <f>IFERROR(ABS(SUMIFS('TRA balance'!U$5:U$40,'TRA balance'!$C$5:$C$40,Assumptions!$BB115,'TRA balance'!$D$5:$D$40,Assumptions!$BC115)),"")</f>
        <v>0</v>
      </c>
      <c r="BU115" s="40">
        <f>IFERROR(ABS(SUMIFS('TRA balance'!V$5:V$40,'TRA balance'!$C$5:$C$40,Assumptions!$BB115,'TRA balance'!$D$5:$D$40,Assumptions!$BC115)),"")</f>
        <v>0</v>
      </c>
      <c r="BV115" s="40">
        <f>IFERROR(ABS(SUMIFS('TRA balance'!W$5:W$40,'TRA balance'!$C$5:$C$40,Assumptions!$BB115,'TRA balance'!$D$5:$D$40,Assumptions!$BC115)),"")</f>
        <v>0</v>
      </c>
      <c r="BW115" s="40">
        <f>IFERROR(ABS(SUMIFS('TRA balance'!X$5:X$40,'TRA balance'!$C$5:$C$40,Assumptions!$BB115,'TRA balance'!$D$5:$D$40,Assumptions!$BC115)),"")</f>
        <v>0</v>
      </c>
      <c r="BX115" s="40">
        <f>IFERROR(ABS(SUMIFS('TRA balance'!Y$5:Y$40,'TRA balance'!$C$5:$C$40,Assumptions!$BB115,'TRA balance'!$D$5:$D$40,Assumptions!$BC115)),"")</f>
        <v>0</v>
      </c>
      <c r="BY115" s="40">
        <f>IFERROR(ABS(SUMIFS('TRA balance'!Z$5:Z$40,'TRA balance'!$C$5:$C$40,Assumptions!$BB115,'TRA balance'!$D$5:$D$40,Assumptions!$BC115)),"")</f>
        <v>0</v>
      </c>
      <c r="BZ115" s="40">
        <f>IFERROR(ABS(SUMIFS('TRA balance'!AA$5:AA$40,'TRA balance'!$C$5:$C$40,Assumptions!$BB115,'TRA balance'!$D$5:$D$40,Assumptions!$BC115)),"")</f>
        <v>0</v>
      </c>
      <c r="CA115" s="40">
        <f>IFERROR(ABS(SUMIFS('TRA balance'!AB$5:AB$40,'TRA balance'!$C$5:$C$40,Assumptions!$BB115,'TRA balance'!$D$5:$D$40,Assumptions!$BC115)),"")</f>
        <v>0</v>
      </c>
      <c r="CB115" s="40">
        <f>IFERROR(ABS(SUMIFS('TRA balance'!AC$5:AC$40,'TRA balance'!$C$5:$C$40,Assumptions!$BB115,'TRA balance'!$D$5:$D$40,Assumptions!$BC115)),"")</f>
        <v>0</v>
      </c>
      <c r="CC115" s="40">
        <f>IFERROR(ABS(SUMIFS('TRA balance'!AD$5:AD$40,'TRA balance'!$C$5:$C$40,Assumptions!$BB115,'TRA balance'!$D$5:$D$40,Assumptions!$BC115)),"")</f>
        <v>0</v>
      </c>
      <c r="CD115" s="40">
        <f>IFERROR(ABS(SUMIFS('TRA balance'!AE$5:AE$40,'TRA balance'!$C$5:$C$40,Assumptions!$BB115,'TRA balance'!$D$5:$D$40,Assumptions!$BC115)),"")</f>
        <v>0</v>
      </c>
      <c r="CE115" s="40">
        <f>IFERROR(ABS(SUMIFS('TRA balance'!AF$5:AF$40,'TRA balance'!$C$5:$C$40,Assumptions!$BB115,'TRA balance'!$D$5:$D$40,Assumptions!$BC115)),"")</f>
        <v>0</v>
      </c>
      <c r="CF115" s="40">
        <f>IFERROR(ABS(SUMIFS('TRA balance'!AG$5:AG$40,'TRA balance'!$C$5:$C$40,Assumptions!$BB115,'TRA balance'!$D$5:$D$40,Assumptions!$BC115)),"")</f>
        <v>0</v>
      </c>
      <c r="CG115" s="40">
        <f>IFERROR(ABS(SUMIFS('TRA balance'!AH$5:AH$40,'TRA balance'!$C$5:$C$40,Assumptions!$BB115,'TRA balance'!$D$5:$D$40,Assumptions!$BC115)),"")</f>
        <v>0</v>
      </c>
      <c r="CH115" s="40">
        <f>IFERROR(ABS(SUMIFS('TRA balance'!AI$5:AI$40,'TRA balance'!$C$5:$C$40,Assumptions!$BB115,'TRA balance'!$D$5:$D$40,Assumptions!$BC115)),"")</f>
        <v>0</v>
      </c>
      <c r="CI115" s="40">
        <f>IFERROR(ABS(SUMIFS('TRA balance'!AJ$5:AJ$40,'TRA balance'!$C$5:$C$40,Assumptions!$BB115,'TRA balance'!$D$5:$D$40,Assumptions!$BC115)),"")</f>
        <v>0</v>
      </c>
      <c r="CJ115" s="40">
        <f>IFERROR(ABS(SUMIFS('TRA balance'!AK$5:AK$40,'TRA balance'!$C$5:$C$40,Assumptions!$BB115,'TRA balance'!$D$5:$D$40,Assumptions!$BC115)),"")</f>
        <v>0</v>
      </c>
      <c r="CK115" s="40">
        <f>IFERROR(ABS(SUMIFS('TRA balance'!AL$5:AL$40,'TRA balance'!$C$5:$C$40,Assumptions!$BB115,'TRA balance'!$D$5:$D$40,Assumptions!$BC115)),"")</f>
        <v>0</v>
      </c>
      <c r="CL115" s="40">
        <f>IFERROR(ABS(SUMIFS('TRA balance'!AM$5:AM$40,'TRA balance'!$C$5:$C$40,Assumptions!$BB115,'TRA balance'!$D$5:$D$40,Assumptions!$BC115)),"")</f>
        <v>0</v>
      </c>
      <c r="CM115" s="40">
        <f>IFERROR(ABS(SUMIFS('TRA balance'!AN$5:AN$40,'TRA balance'!$C$5:$C$40,Assumptions!$BB115,'TRA balance'!$D$5:$D$40,Assumptions!$BC115)),"")</f>
        <v>0</v>
      </c>
      <c r="CN115" s="40">
        <f>IFERROR(ABS(SUMIFS('TRA balance'!AO$5:AO$40,'TRA balance'!$C$5:$C$40,Assumptions!$BB115,'TRA balance'!$D$5:$D$40,Assumptions!$BC115)),"")</f>
        <v>0</v>
      </c>
      <c r="CO115" s="40">
        <f>IFERROR(ABS(SUMIFS('TRA balance'!AP$5:AP$40,'TRA balance'!$C$5:$C$40,Assumptions!$BB115,'TRA balance'!$D$5:$D$40,Assumptions!$BC115)),"")</f>
        <v>0</v>
      </c>
      <c r="CP115" s="40">
        <f>IFERROR(ABS(SUMIFS('TRA balance'!AQ$5:AQ$40,'TRA balance'!$C$5:$C$40,Assumptions!$BB115,'TRA balance'!$D$5:$D$40,Assumptions!$BC115)),"")</f>
        <v>0</v>
      </c>
      <c r="CQ115" s="40">
        <f>IFERROR(ABS(SUMIFS('TRA balance'!AR$5:AR$40,'TRA balance'!$C$5:$C$40,Assumptions!$BB115,'TRA balance'!$D$5:$D$40,Assumptions!$BC115)),"")</f>
        <v>0</v>
      </c>
      <c r="CR115" s="40">
        <f>IFERROR(ABS(SUMIFS('TRA balance'!AS$5:AS$40,'TRA balance'!$C$5:$C$40,Assumptions!$BB115,'TRA balance'!$D$5:$D$40,Assumptions!$BC115)),"")</f>
        <v>0</v>
      </c>
      <c r="CS115" s="40">
        <f>IFERROR(ABS(SUMIFS('TRA balance'!AT$5:AT$40,'TRA balance'!$C$5:$C$40,Assumptions!$BB115,'TRA balance'!$D$5:$D$40,Assumptions!$BC115)),"")</f>
        <v>0</v>
      </c>
      <c r="CT115" s="40">
        <f>IFERROR(ABS(SUMIFS('TRA balance'!AU$5:AU$40,'TRA balance'!$C$5:$C$40,Assumptions!$BB115,'TRA balance'!$D$5:$D$40,Assumptions!$BC115)),"")</f>
        <v>0</v>
      </c>
      <c r="CU115" s="40">
        <f>IFERROR(ABS(SUMIFS('TRA balance'!AV$5:AV$40,'TRA balance'!$C$5:$C$40,Assumptions!$BB115,'TRA balance'!$D$5:$D$40,Assumptions!$BC115)),"")</f>
        <v>0</v>
      </c>
      <c r="CV115" s="40">
        <f>IFERROR(ABS(SUMIFS('TRA balance'!AW$5:AW$40,'TRA balance'!$C$5:$C$40,Assumptions!$BB115,'TRA balance'!$D$5:$D$40,Assumptions!$BC115)),"")</f>
        <v>0</v>
      </c>
      <c r="CW115" s="40">
        <f>IFERROR(ABS(SUMIFS('TRA balance'!AX$5:AX$40,'TRA balance'!$C$5:$C$40,Assumptions!$BB115,'TRA balance'!$D$5:$D$40,Assumptions!$BC115)),"")</f>
        <v>0</v>
      </c>
      <c r="CX115" s="38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8" t="s">
        <v>87</v>
      </c>
      <c r="BC116" s="38" t="s">
        <v>60</v>
      </c>
      <c r="BD116" s="40">
        <f>IFERROR(ABS(SUMIFS('TRA balance'!E$5:E$40,'TRA balance'!$C$5:$C$40,Assumptions!$BB116,'TRA balance'!$D$5:$D$40,Assumptions!$BC116)),"")</f>
        <v>2.251598238</v>
      </c>
      <c r="BE116" s="40">
        <f>IFERROR(ABS(SUMIFS('TRA balance'!F$5:F$40,'TRA balance'!$C$5:$C$40,Assumptions!$BB116,'TRA balance'!$D$5:$D$40,Assumptions!$BC116)),"")</f>
        <v>20.462294178</v>
      </c>
      <c r="BF116" s="40">
        <f>IFERROR(ABS(SUMIFS('TRA balance'!G$5:G$40,'TRA balance'!$C$5:$C$40,Assumptions!$BB116,'TRA balance'!$D$5:$D$40,Assumptions!$BC116)),"")</f>
        <v>12.196211202</v>
      </c>
      <c r="BG116" s="40">
        <f>IFERROR(ABS(SUMIFS('TRA balance'!H$5:H$40,'TRA balance'!$C$5:$C$40,Assumptions!$BB116,'TRA balance'!$D$5:$D$40,Assumptions!$BC116)),"")</f>
        <v>1.039142826</v>
      </c>
      <c r="BH116" s="40">
        <f>IFERROR(ABS(SUMIFS('TRA balance'!I$5:I$40,'TRA balance'!$C$5:$C$40,Assumptions!$BB116,'TRA balance'!$D$5:$D$40,Assumptions!$BC116)),"")</f>
        <v>0.5173754364</v>
      </c>
      <c r="BI116" s="40">
        <f>IFERROR(ABS(SUMIFS('TRA balance'!J$5:J$40,'TRA balance'!$C$5:$C$40,Assumptions!$BB116,'TRA balance'!$D$5:$D$40,Assumptions!$BC116)),"")</f>
        <v>17.810081982</v>
      </c>
      <c r="BJ116" s="40">
        <f>IFERROR(ABS(SUMIFS('TRA balance'!K$5:K$40,'TRA balance'!$C$5:$C$40,Assumptions!$BB116,'TRA balance'!$D$5:$D$40,Assumptions!$BC116)),"")</f>
        <v>13.3221798864</v>
      </c>
      <c r="BK116" s="40">
        <f>IFERROR(ABS(SUMIFS('TRA balance'!L$5:L$40,'TRA balance'!$C$5:$C$40,Assumptions!$BB116,'TRA balance'!$D$5:$D$40,Assumptions!$BC116)),"")</f>
        <v>622.7079095772</v>
      </c>
      <c r="BL116" s="40">
        <f>IFERROR(ABS(SUMIFS('TRA balance'!M$5:M$40,'TRA balance'!$C$5:$C$40,Assumptions!$BB116,'TRA balance'!$D$5:$D$40,Assumptions!$BC116)),"")</f>
        <v>2.0970592632</v>
      </c>
      <c r="BM116" s="40">
        <f>IFERROR(ABS(SUMIFS('TRA balance'!N$5:N$40,'TRA balance'!$C$5:$C$40,Assumptions!$BB116,'TRA balance'!$D$5:$D$40,Assumptions!$BC116)),"")</f>
        <v>0.2129992632</v>
      </c>
      <c r="BN116" s="40">
        <f>IFERROR(ABS(SUMIFS('TRA balance'!O$5:O$40,'TRA balance'!$C$5:$C$40,Assumptions!$BB116,'TRA balance'!$D$5:$D$40,Assumptions!$BC116)),"")</f>
        <v>7.3308230316</v>
      </c>
      <c r="BO116" s="40">
        <f>IFERROR(ABS(SUMIFS('TRA balance'!P$5:P$40,'TRA balance'!$C$5:$C$40,Assumptions!$BB116,'TRA balance'!$D$5:$D$40,Assumptions!$BC116)),"")</f>
        <v>11.2463979408</v>
      </c>
      <c r="BP116" s="40">
        <f>IFERROR(ABS(SUMIFS('TRA balance'!Q$5:Q$40,'TRA balance'!$C$5:$C$40,Assumptions!$BB116,'TRA balance'!$D$5:$D$40,Assumptions!$BC116)),"")</f>
        <v>12.4834633632</v>
      </c>
      <c r="BQ116" s="40">
        <f>IFERROR(ABS(SUMIFS('TRA balance'!R$5:R$40,'TRA balance'!$C$5:$C$40,Assumptions!$BB116,'TRA balance'!$D$5:$D$40,Assumptions!$BC116)),"")</f>
        <v>2.037966768</v>
      </c>
      <c r="BR116" s="40">
        <f>IFERROR(ABS(SUMIFS('TRA balance'!S$5:S$40,'TRA balance'!$C$5:$C$40,Assumptions!$BB116,'TRA balance'!$D$5:$D$40,Assumptions!$BC116)),"")</f>
        <v>0.5060878236</v>
      </c>
      <c r="BS116" s="40">
        <f>IFERROR(ABS(SUMIFS('TRA balance'!T$5:T$40,'TRA balance'!$C$5:$C$40,Assumptions!$BB116,'TRA balance'!$D$5:$D$40,Assumptions!$BC116)),"")</f>
        <v>35.0816619348</v>
      </c>
      <c r="BT116" s="40">
        <f>IFERROR(ABS(SUMIFS('TRA balance'!U$5:U$40,'TRA balance'!$C$5:$C$40,Assumptions!$BB116,'TRA balance'!$D$5:$D$40,Assumptions!$BC116)),"")</f>
        <v>3.6805991328</v>
      </c>
      <c r="BU116" s="40">
        <f>IFERROR(ABS(SUMIFS('TRA balance'!V$5:V$40,'TRA balance'!$C$5:$C$40,Assumptions!$BB116,'TRA balance'!$D$5:$D$40,Assumptions!$BC116)),"")</f>
        <v>10.8362171448</v>
      </c>
      <c r="BV116" s="40">
        <f>IFERROR(ABS(SUMIFS('TRA balance'!W$5:W$40,'TRA balance'!$C$5:$C$40,Assumptions!$BB116,'TRA balance'!$D$5:$D$40,Assumptions!$BC116)),"")</f>
        <v>42.246633258</v>
      </c>
      <c r="BW116" s="40">
        <f>IFERROR(ABS(SUMIFS('TRA balance'!X$5:X$40,'TRA balance'!$C$5:$C$40,Assumptions!$BB116,'TRA balance'!$D$5:$D$40,Assumptions!$BC116)),"")</f>
        <v>34.985403216</v>
      </c>
      <c r="BX116" s="40">
        <f>IFERROR(ABS(SUMIFS('TRA balance'!Y$5:Y$40,'TRA balance'!$C$5:$C$40,Assumptions!$BB116,'TRA balance'!$D$5:$D$40,Assumptions!$BC116)),"")</f>
        <v>0</v>
      </c>
      <c r="BY116" s="40">
        <f>IFERROR(ABS(SUMIFS('TRA balance'!Z$5:Z$40,'TRA balance'!$C$5:$C$40,Assumptions!$BB116,'TRA balance'!$D$5:$D$40,Assumptions!$BC116)),"")</f>
        <v>204.4855812456</v>
      </c>
      <c r="BZ116" s="40">
        <f>IFERROR(ABS(SUMIFS('TRA balance'!AA$5:AA$40,'TRA balance'!$C$5:$C$40,Assumptions!$BB116,'TRA balance'!$D$5:$D$40,Assumptions!$BC116)),"")</f>
        <v>36.077299722</v>
      </c>
      <c r="CA116" s="40">
        <f>IFERROR(ABS(SUMIFS('TRA balance'!AB$5:AB$40,'TRA balance'!$C$5:$C$40,Assumptions!$BB116,'TRA balance'!$D$5:$D$40,Assumptions!$BC116)),"")</f>
        <v>0.077958216</v>
      </c>
      <c r="CB116" s="40">
        <f>IFERROR(ABS(SUMIFS('TRA balance'!AC$5:AC$40,'TRA balance'!$C$5:$C$40,Assumptions!$BB116,'TRA balance'!$D$5:$D$40,Assumptions!$BC116)),"")</f>
        <v>246.6527992812</v>
      </c>
      <c r="CC116" s="40">
        <f>IFERROR(ABS(SUMIFS('TRA balance'!AD$5:AD$40,'TRA balance'!$C$5:$C$40,Assumptions!$BB116,'TRA balance'!$D$5:$D$40,Assumptions!$BC116)),"")</f>
        <v>17.1489569544</v>
      </c>
      <c r="CD116" s="40">
        <f>IFERROR(ABS(SUMIFS('TRA balance'!AE$5:AE$40,'TRA balance'!$C$5:$C$40,Assumptions!$BB116,'TRA balance'!$D$5:$D$40,Assumptions!$BC116)),"")</f>
        <v>0</v>
      </c>
      <c r="CE116" s="40">
        <f>IFERROR(ABS(SUMIFS('TRA balance'!AF$5:AF$40,'TRA balance'!$C$5:$C$40,Assumptions!$BB116,'TRA balance'!$D$5:$D$40,Assumptions!$BC116)),"")</f>
        <v>11.0169654876</v>
      </c>
      <c r="CF116" s="40">
        <f>IFERROR(ABS(SUMIFS('TRA balance'!AG$5:AG$40,'TRA balance'!$C$5:$C$40,Assumptions!$BB116,'TRA balance'!$D$5:$D$40,Assumptions!$BC116)),"")</f>
        <v>20.6911153584</v>
      </c>
      <c r="CG116" s="40">
        <f>IFERROR(ABS(SUMIFS('TRA balance'!AH$5:AH$40,'TRA balance'!$C$5:$C$40,Assumptions!$BB116,'TRA balance'!$D$5:$D$40,Assumptions!$BC116)),"")</f>
        <v>10.993741308</v>
      </c>
      <c r="CH116" s="40">
        <f>IFERROR(ABS(SUMIFS('TRA balance'!AI$5:AI$40,'TRA balance'!$C$5:$C$40,Assumptions!$BB116,'TRA balance'!$D$5:$D$40,Assumptions!$BC116)),"")</f>
        <v>0.9950097672</v>
      </c>
      <c r="CI116" s="40">
        <f>IFERROR(ABS(SUMIFS('TRA balance'!AJ$5:AJ$40,'TRA balance'!$C$5:$C$40,Assumptions!$BB116,'TRA balance'!$D$5:$D$40,Assumptions!$BC116)),"")</f>
        <v>14.8248014724</v>
      </c>
      <c r="CJ116" s="40">
        <f>IFERROR(ABS(SUMIFS('TRA balance'!AK$5:AK$40,'TRA balance'!$C$5:$C$40,Assumptions!$BB116,'TRA balance'!$D$5:$D$40,Assumptions!$BC116)),"")</f>
        <v>36.8485752708</v>
      </c>
      <c r="CK116" s="40">
        <f>IFERROR(ABS(SUMIFS('TRA balance'!AL$5:AL$40,'TRA balance'!$C$5:$C$40,Assumptions!$BB116,'TRA balance'!$D$5:$D$40,Assumptions!$BC116)),"")</f>
        <v>5.6338711236</v>
      </c>
      <c r="CL116" s="40">
        <f>IFERROR(ABS(SUMIFS('TRA balance'!AM$5:AM$40,'TRA balance'!$C$5:$C$40,Assumptions!$BB116,'TRA balance'!$D$5:$D$40,Assumptions!$BC116)),"")</f>
        <v>1.5225465672</v>
      </c>
      <c r="CM116" s="40">
        <f>IFERROR(ABS(SUMIFS('TRA balance'!AN$5:AN$40,'TRA balance'!$C$5:$C$40,Assumptions!$BB116,'TRA balance'!$D$5:$D$40,Assumptions!$BC116)),"")</f>
        <v>0</v>
      </c>
      <c r="CN116" s="40">
        <f>IFERROR(ABS(SUMIFS('TRA balance'!AO$5:AO$40,'TRA balance'!$C$5:$C$40,Assumptions!$BB116,'TRA balance'!$D$5:$D$40,Assumptions!$BC116)),"")</f>
        <v>0</v>
      </c>
      <c r="CO116" s="40">
        <f>IFERROR(ABS(SUMIFS('TRA balance'!AP$5:AP$40,'TRA balance'!$C$5:$C$40,Assumptions!$BB116,'TRA balance'!$D$5:$D$40,Assumptions!$BC116)),"")</f>
        <v>0</v>
      </c>
      <c r="CP116" s="40">
        <f>IFERROR(ABS(SUMIFS('TRA balance'!AQ$5:AQ$40,'TRA balance'!$C$5:$C$40,Assumptions!$BB116,'TRA balance'!$D$5:$D$40,Assumptions!$BC116)),"")</f>
        <v>0</v>
      </c>
      <c r="CQ116" s="40">
        <f>IFERROR(ABS(SUMIFS('TRA balance'!AR$5:AR$40,'TRA balance'!$C$5:$C$40,Assumptions!$BB116,'TRA balance'!$D$5:$D$40,Assumptions!$BC116)),"")</f>
        <v>0</v>
      </c>
      <c r="CR116" s="40">
        <f>IFERROR(ABS(SUMIFS('TRA balance'!AS$5:AS$40,'TRA balance'!$C$5:$C$40,Assumptions!$BB116,'TRA balance'!$D$5:$D$40,Assumptions!$BC116)),"")</f>
        <v>0</v>
      </c>
      <c r="CS116" s="40">
        <f>IFERROR(ABS(SUMIFS('TRA balance'!AT$5:AT$40,'TRA balance'!$C$5:$C$40,Assumptions!$BB116,'TRA balance'!$D$5:$D$40,Assumptions!$BC116)),"")</f>
        <v>0</v>
      </c>
      <c r="CT116" s="40">
        <f>IFERROR(ABS(SUMIFS('TRA balance'!AU$5:AU$40,'TRA balance'!$C$5:$C$40,Assumptions!$BB116,'TRA balance'!$D$5:$D$40,Assumptions!$BC116)),"")</f>
        <v>0</v>
      </c>
      <c r="CU116" s="40">
        <f>IFERROR(ABS(SUMIFS('TRA balance'!AV$5:AV$40,'TRA balance'!$C$5:$C$40,Assumptions!$BB116,'TRA balance'!$D$5:$D$40,Assumptions!$BC116)),"")</f>
        <v>0</v>
      </c>
      <c r="CV116" s="40">
        <f>IFERROR(ABS(SUMIFS('TRA balance'!AW$5:AW$40,'TRA balance'!$C$5:$C$40,Assumptions!$BB116,'TRA balance'!$D$5:$D$40,Assumptions!$BC116)),"")</f>
        <v>0</v>
      </c>
      <c r="CW116" s="40">
        <f>IFERROR(ABS(SUMIFS('TRA balance'!AX$5:AX$40,'TRA balance'!$C$5:$C$40,Assumptions!$BB116,'TRA balance'!$D$5:$D$40,Assumptions!$BC116)),"")</f>
        <v>0</v>
      </c>
      <c r="CX116" s="38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8" t="s">
        <v>87</v>
      </c>
      <c r="BC117" s="38" t="s">
        <v>66</v>
      </c>
      <c r="BD117" s="40">
        <f>IFERROR(ABS(SUMIFS('TRA balance'!E$5:E$40,'TRA balance'!$C$5:$C$40,Assumptions!$BB117,'TRA balance'!$D$5:$D$40,Assumptions!$BC117)),"")</f>
        <v>0</v>
      </c>
      <c r="BE117" s="40">
        <f>IFERROR(ABS(SUMIFS('TRA balance'!F$5:F$40,'TRA balance'!$C$5:$C$40,Assumptions!$BB117,'TRA balance'!$D$5:$D$40,Assumptions!$BC117)),"")</f>
        <v>2.8287653652</v>
      </c>
      <c r="BF117" s="40">
        <f>IFERROR(ABS(SUMIFS('TRA balance'!G$5:G$40,'TRA balance'!$C$5:$C$40,Assumptions!$BB117,'TRA balance'!$D$5:$D$40,Assumptions!$BC117)),"")</f>
        <v>11.2423199976</v>
      </c>
      <c r="BG117" s="40">
        <f>IFERROR(ABS(SUMIFS('TRA balance'!H$5:H$40,'TRA balance'!$C$5:$C$40,Assumptions!$BB117,'TRA balance'!$D$5:$D$40,Assumptions!$BC117)),"")</f>
        <v>0.0985614588</v>
      </c>
      <c r="BH117" s="40">
        <f>IFERROR(ABS(SUMIFS('TRA balance'!I$5:I$40,'TRA balance'!$C$5:$C$40,Assumptions!$BB117,'TRA balance'!$D$5:$D$40,Assumptions!$BC117)),"")</f>
        <v>0.0038267352</v>
      </c>
      <c r="BI117" s="40">
        <f>IFERROR(ABS(SUMIFS('TRA balance'!J$5:J$40,'TRA balance'!$C$5:$C$40,Assumptions!$BB117,'TRA balance'!$D$5:$D$40,Assumptions!$BC117)),"")</f>
        <v>0.0018463788</v>
      </c>
      <c r="BJ117" s="40">
        <f>IFERROR(ABS(SUMIFS('TRA balance'!K$5:K$40,'TRA balance'!$C$5:$C$40,Assumptions!$BB117,'TRA balance'!$D$5:$D$40,Assumptions!$BC117)),"")</f>
        <v>0</v>
      </c>
      <c r="BK117" s="40">
        <f>IFERROR(ABS(SUMIFS('TRA balance'!L$5:L$40,'TRA balance'!$C$5:$C$40,Assumptions!$BB117,'TRA balance'!$D$5:$D$40,Assumptions!$BC117)),"")</f>
        <v>0</v>
      </c>
      <c r="BL117" s="40">
        <f>IFERROR(ABS(SUMIFS('TRA balance'!M$5:M$40,'TRA balance'!$C$5:$C$40,Assumptions!$BB117,'TRA balance'!$D$5:$D$40,Assumptions!$BC117)),"")</f>
        <v>0</v>
      </c>
      <c r="BM117" s="40">
        <f>IFERROR(ABS(SUMIFS('TRA balance'!N$5:N$40,'TRA balance'!$C$5:$C$40,Assumptions!$BB117,'TRA balance'!$D$5:$D$40,Assumptions!$BC117)),"")</f>
        <v>0</v>
      </c>
      <c r="BN117" s="40">
        <f>IFERROR(ABS(SUMIFS('TRA balance'!O$5:O$40,'TRA balance'!$C$5:$C$40,Assumptions!$BB117,'TRA balance'!$D$5:$D$40,Assumptions!$BC117)),"")</f>
        <v>13.1102859384</v>
      </c>
      <c r="BO117" s="40">
        <f>IFERROR(ABS(SUMIFS('TRA balance'!P$5:P$40,'TRA balance'!$C$5:$C$40,Assumptions!$BB117,'TRA balance'!$D$5:$D$40,Assumptions!$BC117)),"")</f>
        <v>0</v>
      </c>
      <c r="BP117" s="40">
        <f>IFERROR(ABS(SUMIFS('TRA balance'!Q$5:Q$40,'TRA balance'!$C$5:$C$40,Assumptions!$BB117,'TRA balance'!$D$5:$D$40,Assumptions!$BC117)),"")</f>
        <v>0.0027716616</v>
      </c>
      <c r="BQ117" s="40">
        <f>IFERROR(ABS(SUMIFS('TRA balance'!R$5:R$40,'TRA balance'!$C$5:$C$40,Assumptions!$BB117,'TRA balance'!$D$5:$D$40,Assumptions!$BC117)),"")</f>
        <v>0</v>
      </c>
      <c r="BR117" s="40">
        <f>IFERROR(ABS(SUMIFS('TRA balance'!S$5:S$40,'TRA balance'!$C$5:$C$40,Assumptions!$BB117,'TRA balance'!$D$5:$D$40,Assumptions!$BC117)),"")</f>
        <v>0</v>
      </c>
      <c r="BS117" s="40">
        <f>IFERROR(ABS(SUMIFS('TRA balance'!T$5:T$40,'TRA balance'!$C$5:$C$40,Assumptions!$BB117,'TRA balance'!$D$5:$D$40,Assumptions!$BC117)),"")</f>
        <v>0</v>
      </c>
      <c r="BT117" s="40">
        <f>IFERROR(ABS(SUMIFS('TRA balance'!U$5:U$40,'TRA balance'!$C$5:$C$40,Assumptions!$BB117,'TRA balance'!$D$5:$D$40,Assumptions!$BC117)),"")</f>
        <v>0</v>
      </c>
      <c r="BU117" s="40">
        <f>IFERROR(ABS(SUMIFS('TRA balance'!V$5:V$40,'TRA balance'!$C$5:$C$40,Assumptions!$BB117,'TRA balance'!$D$5:$D$40,Assumptions!$BC117)),"")</f>
        <v>0.0174673296</v>
      </c>
      <c r="BV117" s="40">
        <f>IFERROR(ABS(SUMIFS('TRA balance'!W$5:W$40,'TRA balance'!$C$5:$C$40,Assumptions!$BB117,'TRA balance'!$D$5:$D$40,Assumptions!$BC117)),"")</f>
        <v>0</v>
      </c>
      <c r="BW117" s="40">
        <f>IFERROR(ABS(SUMIFS('TRA balance'!X$5:X$40,'TRA balance'!$C$5:$C$40,Assumptions!$BB117,'TRA balance'!$D$5:$D$40,Assumptions!$BC117)),"")</f>
        <v>0.3360283812</v>
      </c>
      <c r="BX117" s="40">
        <f>IFERROR(ABS(SUMIFS('TRA balance'!Y$5:Y$40,'TRA balance'!$C$5:$C$40,Assumptions!$BB117,'TRA balance'!$D$5:$D$40,Assumptions!$BC117)),"")</f>
        <v>0</v>
      </c>
      <c r="BY117" s="40">
        <f>IFERROR(ABS(SUMIFS('TRA balance'!Z$5:Z$40,'TRA balance'!$C$5:$C$40,Assumptions!$BB117,'TRA balance'!$D$5:$D$40,Assumptions!$BC117)),"")</f>
        <v>198.2089986408</v>
      </c>
      <c r="BZ117" s="40">
        <f>IFERROR(ABS(SUMIFS('TRA balance'!AA$5:AA$40,'TRA balance'!$C$5:$C$40,Assumptions!$BB117,'TRA balance'!$D$5:$D$40,Assumptions!$BC117)),"")</f>
        <v>2.637097848</v>
      </c>
      <c r="CA117" s="40">
        <f>IFERROR(ABS(SUMIFS('TRA balance'!AB$5:AB$40,'TRA balance'!$C$5:$C$40,Assumptions!$BB117,'TRA balance'!$D$5:$D$40,Assumptions!$BC117)),"")</f>
        <v>0</v>
      </c>
      <c r="CB117" s="40">
        <f>IFERROR(ABS(SUMIFS('TRA balance'!AC$5:AC$40,'TRA balance'!$C$5:$C$40,Assumptions!$BB117,'TRA balance'!$D$5:$D$40,Assumptions!$BC117)),"")</f>
        <v>9.0982597176</v>
      </c>
      <c r="CC117" s="40">
        <f>IFERROR(ABS(SUMIFS('TRA balance'!AD$5:AD$40,'TRA balance'!$C$5:$C$40,Assumptions!$BB117,'TRA balance'!$D$5:$D$40,Assumptions!$BC117)),"")</f>
        <v>0.5852015964</v>
      </c>
      <c r="CD117" s="40">
        <f>IFERROR(ABS(SUMIFS('TRA balance'!AE$5:AE$40,'TRA balance'!$C$5:$C$40,Assumptions!$BB117,'TRA balance'!$D$5:$D$40,Assumptions!$BC117)),"")</f>
        <v>0</v>
      </c>
      <c r="CE117" s="40">
        <f>IFERROR(ABS(SUMIFS('TRA balance'!AF$5:AF$40,'TRA balance'!$C$5:$C$40,Assumptions!$BB117,'TRA balance'!$D$5:$D$40,Assumptions!$BC117)),"")</f>
        <v>0.0382296708</v>
      </c>
      <c r="CF117" s="40">
        <f>IFERROR(ABS(SUMIFS('TRA balance'!AG$5:AG$40,'TRA balance'!$C$5:$C$40,Assumptions!$BB117,'TRA balance'!$D$5:$D$40,Assumptions!$BC117)),"")</f>
        <v>0</v>
      </c>
      <c r="CG117" s="40">
        <f>IFERROR(ABS(SUMIFS('TRA balance'!AH$5:AH$40,'TRA balance'!$C$5:$C$40,Assumptions!$BB117,'TRA balance'!$D$5:$D$40,Assumptions!$BC117)),"")</f>
        <v>1.3640008248</v>
      </c>
      <c r="CH117" s="40">
        <f>IFERROR(ABS(SUMIFS('TRA balance'!AI$5:AI$40,'TRA balance'!$C$5:$C$40,Assumptions!$BB117,'TRA balance'!$D$5:$D$40,Assumptions!$BC117)),"")</f>
        <v>0.5246981496</v>
      </c>
      <c r="CI117" s="40">
        <f>IFERROR(ABS(SUMIFS('TRA balance'!AJ$5:AJ$40,'TRA balance'!$C$5:$C$40,Assumptions!$BB117,'TRA balance'!$D$5:$D$40,Assumptions!$BC117)),"")</f>
        <v>0</v>
      </c>
      <c r="CJ117" s="40">
        <f>IFERROR(ABS(SUMIFS('TRA balance'!AK$5:AK$40,'TRA balance'!$C$5:$C$40,Assumptions!$BB117,'TRA balance'!$D$5:$D$40,Assumptions!$BC117)),"")</f>
        <v>0</v>
      </c>
      <c r="CK117" s="40">
        <f>IFERROR(ABS(SUMIFS('TRA balance'!AL$5:AL$40,'TRA balance'!$C$5:$C$40,Assumptions!$BB117,'TRA balance'!$D$5:$D$40,Assumptions!$BC117)),"")</f>
        <v>0</v>
      </c>
      <c r="CL117" s="40">
        <f>IFERROR(ABS(SUMIFS('TRA balance'!AM$5:AM$40,'TRA balance'!$C$5:$C$40,Assumptions!$BB117,'TRA balance'!$D$5:$D$40,Assumptions!$BC117)),"")</f>
        <v>0.2992012884</v>
      </c>
      <c r="CM117" s="40">
        <f>IFERROR(ABS(SUMIFS('TRA balance'!AN$5:AN$40,'TRA balance'!$C$5:$C$40,Assumptions!$BB117,'TRA balance'!$D$5:$D$40,Assumptions!$BC117)),"")</f>
        <v>0</v>
      </c>
      <c r="CN117" s="40">
        <f>IFERROR(ABS(SUMIFS('TRA balance'!AO$5:AO$40,'TRA balance'!$C$5:$C$40,Assumptions!$BB117,'TRA balance'!$D$5:$D$40,Assumptions!$BC117)),"")</f>
        <v>0</v>
      </c>
      <c r="CO117" s="40">
        <f>IFERROR(ABS(SUMIFS('TRA balance'!AP$5:AP$40,'TRA balance'!$C$5:$C$40,Assumptions!$BB117,'TRA balance'!$D$5:$D$40,Assumptions!$BC117)),"")</f>
        <v>0</v>
      </c>
      <c r="CP117" s="40">
        <f>IFERROR(ABS(SUMIFS('TRA balance'!AQ$5:AQ$40,'TRA balance'!$C$5:$C$40,Assumptions!$BB117,'TRA balance'!$D$5:$D$40,Assumptions!$BC117)),"")</f>
        <v>0</v>
      </c>
      <c r="CQ117" s="40">
        <f>IFERROR(ABS(SUMIFS('TRA balance'!AR$5:AR$40,'TRA balance'!$C$5:$C$40,Assumptions!$BB117,'TRA balance'!$D$5:$D$40,Assumptions!$BC117)),"")</f>
        <v>0</v>
      </c>
      <c r="CR117" s="40">
        <f>IFERROR(ABS(SUMIFS('TRA balance'!AS$5:AS$40,'TRA balance'!$C$5:$C$40,Assumptions!$BB117,'TRA balance'!$D$5:$D$40,Assumptions!$BC117)),"")</f>
        <v>0</v>
      </c>
      <c r="CS117" s="40">
        <f>IFERROR(ABS(SUMIFS('TRA balance'!AT$5:AT$40,'TRA balance'!$C$5:$C$40,Assumptions!$BB117,'TRA balance'!$D$5:$D$40,Assumptions!$BC117)),"")</f>
        <v>0</v>
      </c>
      <c r="CT117" s="40">
        <f>IFERROR(ABS(SUMIFS('TRA balance'!AU$5:AU$40,'TRA balance'!$C$5:$C$40,Assumptions!$BB117,'TRA balance'!$D$5:$D$40,Assumptions!$BC117)),"")</f>
        <v>0</v>
      </c>
      <c r="CU117" s="40">
        <f>IFERROR(ABS(SUMIFS('TRA balance'!AV$5:AV$40,'TRA balance'!$C$5:$C$40,Assumptions!$BB117,'TRA balance'!$D$5:$D$40,Assumptions!$BC117)),"")</f>
        <v>0</v>
      </c>
      <c r="CV117" s="40">
        <f>IFERROR(ABS(SUMIFS('TRA balance'!AW$5:AW$40,'TRA balance'!$C$5:$C$40,Assumptions!$BB117,'TRA balance'!$D$5:$D$40,Assumptions!$BC117)),"")</f>
        <v>0</v>
      </c>
      <c r="CW117" s="40">
        <f>IFERROR(ABS(SUMIFS('TRA balance'!AX$5:AX$40,'TRA balance'!$C$5:$C$40,Assumptions!$BB117,'TRA balance'!$D$5:$D$40,Assumptions!$BC117)),"")</f>
        <v>0</v>
      </c>
      <c r="CX117" s="38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8" t="s">
        <v>87</v>
      </c>
      <c r="BC118" s="38" t="s">
        <v>69</v>
      </c>
      <c r="BD118" s="40">
        <f>IFERROR(ABS(SUMIFS('TRA balance'!E$5:E$40,'TRA balance'!$C$5:$C$40,Assumptions!$BB118,'TRA balance'!$D$5:$D$40,Assumptions!$BC118)),"")</f>
        <v>9.781474302</v>
      </c>
      <c r="BE118" s="40">
        <f>IFERROR(ABS(SUMIFS('TRA balance'!F$5:F$40,'TRA balance'!$C$5:$C$40,Assumptions!$BB118,'TRA balance'!$D$5:$D$40,Assumptions!$BC118)),"")</f>
        <v>0.2633162256</v>
      </c>
      <c r="BF118" s="40">
        <f>IFERROR(ABS(SUMIFS('TRA balance'!G$5:G$40,'TRA balance'!$C$5:$C$40,Assumptions!$BB118,'TRA balance'!$D$5:$D$40,Assumptions!$BC118)),"")</f>
        <v>5.7484010376</v>
      </c>
      <c r="BG118" s="40">
        <f>IFERROR(ABS(SUMIFS('TRA balance'!H$5:H$40,'TRA balance'!$C$5:$C$40,Assumptions!$BB118,'TRA balance'!$D$5:$D$40,Assumptions!$BC118)),"")</f>
        <v>0</v>
      </c>
      <c r="BH118" s="40">
        <f>IFERROR(ABS(SUMIFS('TRA balance'!I$5:I$40,'TRA balance'!$C$5:$C$40,Assumptions!$BB118,'TRA balance'!$D$5:$D$40,Assumptions!$BC118)),"")</f>
        <v>0</v>
      </c>
      <c r="BI118" s="40">
        <f>IFERROR(ABS(SUMIFS('TRA balance'!J$5:J$40,'TRA balance'!$C$5:$C$40,Assumptions!$BB118,'TRA balance'!$D$5:$D$40,Assumptions!$BC118)),"")</f>
        <v>0.0280013184</v>
      </c>
      <c r="BJ118" s="40">
        <f>IFERROR(ABS(SUMIFS('TRA balance'!K$5:K$40,'TRA balance'!$C$5:$C$40,Assumptions!$BB118,'TRA balance'!$D$5:$D$40,Assumptions!$BC118)),"")</f>
        <v>40.9893539652</v>
      </c>
      <c r="BK118" s="40">
        <f>IFERROR(ABS(SUMIFS('TRA balance'!L$5:L$40,'TRA balance'!$C$5:$C$40,Assumptions!$BB118,'TRA balance'!$D$5:$D$40,Assumptions!$BC118)),"")</f>
        <v>395.318158416</v>
      </c>
      <c r="BL118" s="40">
        <f>IFERROR(ABS(SUMIFS('TRA balance'!M$5:M$40,'TRA balance'!$C$5:$C$40,Assumptions!$BB118,'TRA balance'!$D$5:$D$40,Assumptions!$BC118)),"")</f>
        <v>0</v>
      </c>
      <c r="BM118" s="40">
        <f>IFERROR(ABS(SUMIFS('TRA balance'!N$5:N$40,'TRA balance'!$C$5:$C$40,Assumptions!$BB118,'TRA balance'!$D$5:$D$40,Assumptions!$BC118)),"")</f>
        <v>0</v>
      </c>
      <c r="BN118" s="40">
        <f>IFERROR(ABS(SUMIFS('TRA balance'!O$5:O$40,'TRA balance'!$C$5:$C$40,Assumptions!$BB118,'TRA balance'!$D$5:$D$40,Assumptions!$BC118)),"")</f>
        <v>0.4738787712</v>
      </c>
      <c r="BO118" s="40">
        <f>IFERROR(ABS(SUMIFS('TRA balance'!P$5:P$40,'TRA balance'!$C$5:$C$40,Assumptions!$BB118,'TRA balance'!$D$5:$D$40,Assumptions!$BC118)),"")</f>
        <v>0</v>
      </c>
      <c r="BP118" s="40">
        <f>IFERROR(ABS(SUMIFS('TRA balance'!Q$5:Q$40,'TRA balance'!$C$5:$C$40,Assumptions!$BB118,'TRA balance'!$D$5:$D$40,Assumptions!$BC118)),"")</f>
        <v>14.360242518</v>
      </c>
      <c r="BQ118" s="40">
        <f>IFERROR(ABS(SUMIFS('TRA balance'!R$5:R$40,'TRA balance'!$C$5:$C$40,Assumptions!$BB118,'TRA balance'!$D$5:$D$40,Assumptions!$BC118)),"")</f>
        <v>0</v>
      </c>
      <c r="BR118" s="40">
        <f>IFERROR(ABS(SUMIFS('TRA balance'!S$5:S$40,'TRA balance'!$C$5:$C$40,Assumptions!$BB118,'TRA balance'!$D$5:$D$40,Assumptions!$BC118)),"")</f>
        <v>0.1928816892</v>
      </c>
      <c r="BS118" s="40">
        <f>IFERROR(ABS(SUMIFS('TRA balance'!T$5:T$40,'TRA balance'!$C$5:$C$40,Assumptions!$BB118,'TRA balance'!$D$5:$D$40,Assumptions!$BC118)),"")</f>
        <v>29.293741692</v>
      </c>
      <c r="BT118" s="40">
        <f>IFERROR(ABS(SUMIFS('TRA balance'!U$5:U$40,'TRA balance'!$C$5:$C$40,Assumptions!$BB118,'TRA balance'!$D$5:$D$40,Assumptions!$BC118)),"")</f>
        <v>0</v>
      </c>
      <c r="BU118" s="40">
        <f>IFERROR(ABS(SUMIFS('TRA balance'!V$5:V$40,'TRA balance'!$C$5:$C$40,Assumptions!$BB118,'TRA balance'!$D$5:$D$40,Assumptions!$BC118)),"")</f>
        <v>15.0862796928</v>
      </c>
      <c r="BV118" s="40">
        <f>IFERROR(ABS(SUMIFS('TRA balance'!W$5:W$40,'TRA balance'!$C$5:$C$40,Assumptions!$BB118,'TRA balance'!$D$5:$D$40,Assumptions!$BC118)),"")</f>
        <v>88.7551818948</v>
      </c>
      <c r="BW118" s="40">
        <f>IFERROR(ABS(SUMIFS('TRA balance'!X$5:X$40,'TRA balance'!$C$5:$C$40,Assumptions!$BB118,'TRA balance'!$D$5:$D$40,Assumptions!$BC118)),"")</f>
        <v>16.62421275</v>
      </c>
      <c r="BX118" s="40">
        <f>IFERROR(ABS(SUMIFS('TRA balance'!Y$5:Y$40,'TRA balance'!$C$5:$C$40,Assumptions!$BB118,'TRA balance'!$D$5:$D$40,Assumptions!$BC118)),"")</f>
        <v>0</v>
      </c>
      <c r="BY118" s="40">
        <f>IFERROR(ABS(SUMIFS('TRA balance'!Z$5:Z$40,'TRA balance'!$C$5:$C$40,Assumptions!$BB118,'TRA balance'!$D$5:$D$40,Assumptions!$BC118)),"")</f>
        <v>38.4725638152</v>
      </c>
      <c r="BZ118" s="40">
        <f>IFERROR(ABS(SUMIFS('TRA balance'!AA$5:AA$40,'TRA balance'!$C$5:$C$40,Assumptions!$BB118,'TRA balance'!$D$5:$D$40,Assumptions!$BC118)),"")</f>
        <v>0.1321605288</v>
      </c>
      <c r="CA118" s="40">
        <f>IFERROR(ABS(SUMIFS('TRA balance'!AB$5:AB$40,'TRA balance'!$C$5:$C$40,Assumptions!$BB118,'TRA balance'!$D$5:$D$40,Assumptions!$BC118)),"")</f>
        <v>0</v>
      </c>
      <c r="CB118" s="40">
        <f>IFERROR(ABS(SUMIFS('TRA balance'!AC$5:AC$40,'TRA balance'!$C$5:$C$40,Assumptions!$BB118,'TRA balance'!$D$5:$D$40,Assumptions!$BC118)),"")</f>
        <v>24.9210100908</v>
      </c>
      <c r="CC118" s="40">
        <f>IFERROR(ABS(SUMIFS('TRA balance'!AD$5:AD$40,'TRA balance'!$C$5:$C$40,Assumptions!$BB118,'TRA balance'!$D$5:$D$40,Assumptions!$BC118)),"")</f>
        <v>7.8600010572</v>
      </c>
      <c r="CD118" s="40">
        <f>IFERROR(ABS(SUMIFS('TRA balance'!AE$5:AE$40,'TRA balance'!$C$5:$C$40,Assumptions!$BB118,'TRA balance'!$D$5:$D$40,Assumptions!$BC118)),"")</f>
        <v>0</v>
      </c>
      <c r="CE118" s="40">
        <f>IFERROR(ABS(SUMIFS('TRA balance'!AF$5:AF$40,'TRA balance'!$C$5:$C$40,Assumptions!$BB118,'TRA balance'!$D$5:$D$40,Assumptions!$BC118)),"")</f>
        <v>0</v>
      </c>
      <c r="CF118" s="40">
        <f>IFERROR(ABS(SUMIFS('TRA balance'!AG$5:AG$40,'TRA balance'!$C$5:$C$40,Assumptions!$BB118,'TRA balance'!$D$5:$D$40,Assumptions!$BC118)),"")</f>
        <v>25.9033589748</v>
      </c>
      <c r="CG118" s="40">
        <f>IFERROR(ABS(SUMIFS('TRA balance'!AH$5:AH$40,'TRA balance'!$C$5:$C$40,Assumptions!$BB118,'TRA balance'!$D$5:$D$40,Assumptions!$BC118)),"")</f>
        <v>3.920917266</v>
      </c>
      <c r="CH118" s="40">
        <f>IFERROR(ABS(SUMIFS('TRA balance'!AI$5:AI$40,'TRA balance'!$C$5:$C$40,Assumptions!$BB118,'TRA balance'!$D$5:$D$40,Assumptions!$BC118)),"")</f>
        <v>0</v>
      </c>
      <c r="CI118" s="40">
        <f>IFERROR(ABS(SUMIFS('TRA balance'!AJ$5:AJ$40,'TRA balance'!$C$5:$C$40,Assumptions!$BB118,'TRA balance'!$D$5:$D$40,Assumptions!$BC118)),"")</f>
        <v>1.3999989312</v>
      </c>
      <c r="CJ118" s="40">
        <f>IFERROR(ABS(SUMIFS('TRA balance'!AK$5:AK$40,'TRA balance'!$C$5:$C$40,Assumptions!$BB118,'TRA balance'!$D$5:$D$40,Assumptions!$BC118)),"")</f>
        <v>0.330401322</v>
      </c>
      <c r="CK118" s="40">
        <f>IFERROR(ABS(SUMIFS('TRA balance'!AL$5:AL$40,'TRA balance'!$C$5:$C$40,Assumptions!$BB118,'TRA balance'!$D$5:$D$40,Assumptions!$BC118)),"")</f>
        <v>0</v>
      </c>
      <c r="CL118" s="40">
        <f>IFERROR(ABS(SUMIFS('TRA balance'!AM$5:AM$40,'TRA balance'!$C$5:$C$40,Assumptions!$BB118,'TRA balance'!$D$5:$D$40,Assumptions!$BC118)),"")</f>
        <v>0</v>
      </c>
      <c r="CM118" s="40">
        <f>IFERROR(ABS(SUMIFS('TRA balance'!AN$5:AN$40,'TRA balance'!$C$5:$C$40,Assumptions!$BB118,'TRA balance'!$D$5:$D$40,Assumptions!$BC118)),"")</f>
        <v>0</v>
      </c>
      <c r="CN118" s="40">
        <f>IFERROR(ABS(SUMIFS('TRA balance'!AO$5:AO$40,'TRA balance'!$C$5:$C$40,Assumptions!$BB118,'TRA balance'!$D$5:$D$40,Assumptions!$BC118)),"")</f>
        <v>0</v>
      </c>
      <c r="CO118" s="40">
        <f>IFERROR(ABS(SUMIFS('TRA balance'!AP$5:AP$40,'TRA balance'!$C$5:$C$40,Assumptions!$BB118,'TRA balance'!$D$5:$D$40,Assumptions!$BC118)),"")</f>
        <v>0</v>
      </c>
      <c r="CP118" s="40">
        <f>IFERROR(ABS(SUMIFS('TRA balance'!AQ$5:AQ$40,'TRA balance'!$C$5:$C$40,Assumptions!$BB118,'TRA balance'!$D$5:$D$40,Assumptions!$BC118)),"")</f>
        <v>0</v>
      </c>
      <c r="CQ118" s="40">
        <f>IFERROR(ABS(SUMIFS('TRA balance'!AR$5:AR$40,'TRA balance'!$C$5:$C$40,Assumptions!$BB118,'TRA balance'!$D$5:$D$40,Assumptions!$BC118)),"")</f>
        <v>0</v>
      </c>
      <c r="CR118" s="40">
        <f>IFERROR(ABS(SUMIFS('TRA balance'!AS$5:AS$40,'TRA balance'!$C$5:$C$40,Assumptions!$BB118,'TRA balance'!$D$5:$D$40,Assumptions!$BC118)),"")</f>
        <v>0</v>
      </c>
      <c r="CS118" s="40">
        <f>IFERROR(ABS(SUMIFS('TRA balance'!AT$5:AT$40,'TRA balance'!$C$5:$C$40,Assumptions!$BB118,'TRA balance'!$D$5:$D$40,Assumptions!$BC118)),"")</f>
        <v>0</v>
      </c>
      <c r="CT118" s="40">
        <f>IFERROR(ABS(SUMIFS('TRA balance'!AU$5:AU$40,'TRA balance'!$C$5:$C$40,Assumptions!$BB118,'TRA balance'!$D$5:$D$40,Assumptions!$BC118)),"")</f>
        <v>0</v>
      </c>
      <c r="CU118" s="40">
        <f>IFERROR(ABS(SUMIFS('TRA balance'!AV$5:AV$40,'TRA balance'!$C$5:$C$40,Assumptions!$BB118,'TRA balance'!$D$5:$D$40,Assumptions!$BC118)),"")</f>
        <v>0</v>
      </c>
      <c r="CV118" s="40">
        <f>IFERROR(ABS(SUMIFS('TRA balance'!AW$5:AW$40,'TRA balance'!$C$5:$C$40,Assumptions!$BB118,'TRA balance'!$D$5:$D$40,Assumptions!$BC118)),"")</f>
        <v>0</v>
      </c>
      <c r="CW118" s="40">
        <f>IFERROR(ABS(SUMIFS('TRA balance'!AX$5:AX$40,'TRA balance'!$C$5:$C$40,Assumptions!$BB118,'TRA balance'!$D$5:$D$40,Assumptions!$BC118)),"")</f>
        <v>0</v>
      </c>
      <c r="CX118" s="38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8" t="s">
        <v>87</v>
      </c>
      <c r="BC119" s="38" t="s">
        <v>72</v>
      </c>
      <c r="BD119" s="40">
        <f>IFERROR(ABS(SUMIFS('TRA balance'!E$5:E$40,'TRA balance'!$C$5:$C$40,Assumptions!$BB119,'TRA balance'!$D$5:$D$40,Assumptions!$BC119)),"")</f>
        <v>0</v>
      </c>
      <c r="BE119" s="40">
        <f>IFERROR(ABS(SUMIFS('TRA balance'!F$5:F$40,'TRA balance'!$C$5:$C$40,Assumptions!$BB119,'TRA balance'!$D$5:$D$40,Assumptions!$BC119)),"")</f>
        <v>0</v>
      </c>
      <c r="BF119" s="40">
        <f>IFERROR(ABS(SUMIFS('TRA balance'!G$5:G$40,'TRA balance'!$C$5:$C$40,Assumptions!$BB119,'TRA balance'!$D$5:$D$40,Assumptions!$BC119)),"")</f>
        <v>0</v>
      </c>
      <c r="BG119" s="40">
        <f>IFERROR(ABS(SUMIFS('TRA balance'!H$5:H$40,'TRA balance'!$C$5:$C$40,Assumptions!$BB119,'TRA balance'!$D$5:$D$40,Assumptions!$BC119)),"")</f>
        <v>0</v>
      </c>
      <c r="BH119" s="40">
        <f>IFERROR(ABS(SUMIFS('TRA balance'!I$5:I$40,'TRA balance'!$C$5:$C$40,Assumptions!$BB119,'TRA balance'!$D$5:$D$40,Assumptions!$BC119)),"")</f>
        <v>0</v>
      </c>
      <c r="BI119" s="40">
        <f>IFERROR(ABS(SUMIFS('TRA balance'!J$5:J$40,'TRA balance'!$C$5:$C$40,Assumptions!$BB119,'TRA balance'!$D$5:$D$40,Assumptions!$BC119)),"")</f>
        <v>0</v>
      </c>
      <c r="BJ119" s="40">
        <f>IFERROR(ABS(SUMIFS('TRA balance'!K$5:K$40,'TRA balance'!$C$5:$C$40,Assumptions!$BB119,'TRA balance'!$D$5:$D$40,Assumptions!$BC119)),"")</f>
        <v>0</v>
      </c>
      <c r="BK119" s="40">
        <f>IFERROR(ABS(SUMIFS('TRA balance'!L$5:L$40,'TRA balance'!$C$5:$C$40,Assumptions!$BB119,'TRA balance'!$D$5:$D$40,Assumptions!$BC119)),"")</f>
        <v>0</v>
      </c>
      <c r="BL119" s="40">
        <f>IFERROR(ABS(SUMIFS('TRA balance'!M$5:M$40,'TRA balance'!$C$5:$C$40,Assumptions!$BB119,'TRA balance'!$D$5:$D$40,Assumptions!$BC119)),"")</f>
        <v>0</v>
      </c>
      <c r="BM119" s="40">
        <f>IFERROR(ABS(SUMIFS('TRA balance'!N$5:N$40,'TRA balance'!$C$5:$C$40,Assumptions!$BB119,'TRA balance'!$D$5:$D$40,Assumptions!$BC119)),"")</f>
        <v>0</v>
      </c>
      <c r="BN119" s="40">
        <f>IFERROR(ABS(SUMIFS('TRA balance'!O$5:O$40,'TRA balance'!$C$5:$C$40,Assumptions!$BB119,'TRA balance'!$D$5:$D$40,Assumptions!$BC119)),"")</f>
        <v>0</v>
      </c>
      <c r="BO119" s="40">
        <f>IFERROR(ABS(SUMIFS('TRA balance'!P$5:P$40,'TRA balance'!$C$5:$C$40,Assumptions!$BB119,'TRA balance'!$D$5:$D$40,Assumptions!$BC119)),"")</f>
        <v>0</v>
      </c>
      <c r="BP119" s="40">
        <f>IFERROR(ABS(SUMIFS('TRA balance'!Q$5:Q$40,'TRA balance'!$C$5:$C$40,Assumptions!$BB119,'TRA balance'!$D$5:$D$40,Assumptions!$BC119)),"")</f>
        <v>0</v>
      </c>
      <c r="BQ119" s="40">
        <f>IFERROR(ABS(SUMIFS('TRA balance'!R$5:R$40,'TRA balance'!$C$5:$C$40,Assumptions!$BB119,'TRA balance'!$D$5:$D$40,Assumptions!$BC119)),"")</f>
        <v>0</v>
      </c>
      <c r="BR119" s="40">
        <f>IFERROR(ABS(SUMIFS('TRA balance'!S$5:S$40,'TRA balance'!$C$5:$C$40,Assumptions!$BB119,'TRA balance'!$D$5:$D$40,Assumptions!$BC119)),"")</f>
        <v>0</v>
      </c>
      <c r="BS119" s="40">
        <f>IFERROR(ABS(SUMIFS('TRA balance'!T$5:T$40,'TRA balance'!$C$5:$C$40,Assumptions!$BB119,'TRA balance'!$D$5:$D$40,Assumptions!$BC119)),"")</f>
        <v>0</v>
      </c>
      <c r="BT119" s="40">
        <f>IFERROR(ABS(SUMIFS('TRA balance'!U$5:U$40,'TRA balance'!$C$5:$C$40,Assumptions!$BB119,'TRA balance'!$D$5:$D$40,Assumptions!$BC119)),"")</f>
        <v>0</v>
      </c>
      <c r="BU119" s="40">
        <f>IFERROR(ABS(SUMIFS('TRA balance'!V$5:V$40,'TRA balance'!$C$5:$C$40,Assumptions!$BB119,'TRA balance'!$D$5:$D$40,Assumptions!$BC119)),"")</f>
        <v>0</v>
      </c>
      <c r="BV119" s="40">
        <f>IFERROR(ABS(SUMIFS('TRA balance'!W$5:W$40,'TRA balance'!$C$5:$C$40,Assumptions!$BB119,'TRA balance'!$D$5:$D$40,Assumptions!$BC119)),"")</f>
        <v>0</v>
      </c>
      <c r="BW119" s="40">
        <f>IFERROR(ABS(SUMIFS('TRA balance'!X$5:X$40,'TRA balance'!$C$5:$C$40,Assumptions!$BB119,'TRA balance'!$D$5:$D$40,Assumptions!$BC119)),"")</f>
        <v>0</v>
      </c>
      <c r="BX119" s="40">
        <f>IFERROR(ABS(SUMIFS('TRA balance'!Y$5:Y$40,'TRA balance'!$C$5:$C$40,Assumptions!$BB119,'TRA balance'!$D$5:$D$40,Assumptions!$BC119)),"")</f>
        <v>0</v>
      </c>
      <c r="BY119" s="40">
        <f>IFERROR(ABS(SUMIFS('TRA balance'!Z$5:Z$40,'TRA balance'!$C$5:$C$40,Assumptions!$BB119,'TRA balance'!$D$5:$D$40,Assumptions!$BC119)),"")</f>
        <v>0</v>
      </c>
      <c r="BZ119" s="40">
        <f>IFERROR(ABS(SUMIFS('TRA balance'!AA$5:AA$40,'TRA balance'!$C$5:$C$40,Assumptions!$BB119,'TRA balance'!$D$5:$D$40,Assumptions!$BC119)),"")</f>
        <v>0</v>
      </c>
      <c r="CA119" s="40">
        <f>IFERROR(ABS(SUMIFS('TRA balance'!AB$5:AB$40,'TRA balance'!$C$5:$C$40,Assumptions!$BB119,'TRA balance'!$D$5:$D$40,Assumptions!$BC119)),"")</f>
        <v>0</v>
      </c>
      <c r="CB119" s="40">
        <f>IFERROR(ABS(SUMIFS('TRA balance'!AC$5:AC$40,'TRA balance'!$C$5:$C$40,Assumptions!$BB119,'TRA balance'!$D$5:$D$40,Assumptions!$BC119)),"")</f>
        <v>0</v>
      </c>
      <c r="CC119" s="40">
        <f>IFERROR(ABS(SUMIFS('TRA balance'!AD$5:AD$40,'TRA balance'!$C$5:$C$40,Assumptions!$BB119,'TRA balance'!$D$5:$D$40,Assumptions!$BC119)),"")</f>
        <v>0</v>
      </c>
      <c r="CD119" s="40">
        <f>IFERROR(ABS(SUMIFS('TRA balance'!AE$5:AE$40,'TRA balance'!$C$5:$C$40,Assumptions!$BB119,'TRA balance'!$D$5:$D$40,Assumptions!$BC119)),"")</f>
        <v>0</v>
      </c>
      <c r="CE119" s="40">
        <f>IFERROR(ABS(SUMIFS('TRA balance'!AF$5:AF$40,'TRA balance'!$C$5:$C$40,Assumptions!$BB119,'TRA balance'!$D$5:$D$40,Assumptions!$BC119)),"")</f>
        <v>0</v>
      </c>
      <c r="CF119" s="40">
        <f>IFERROR(ABS(SUMIFS('TRA balance'!AG$5:AG$40,'TRA balance'!$C$5:$C$40,Assumptions!$BB119,'TRA balance'!$D$5:$D$40,Assumptions!$BC119)),"")</f>
        <v>0</v>
      </c>
      <c r="CG119" s="40">
        <f>IFERROR(ABS(SUMIFS('TRA balance'!AH$5:AH$40,'TRA balance'!$C$5:$C$40,Assumptions!$BB119,'TRA balance'!$D$5:$D$40,Assumptions!$BC119)),"")</f>
        <v>0</v>
      </c>
      <c r="CH119" s="40">
        <f>IFERROR(ABS(SUMIFS('TRA balance'!AI$5:AI$40,'TRA balance'!$C$5:$C$40,Assumptions!$BB119,'TRA balance'!$D$5:$D$40,Assumptions!$BC119)),"")</f>
        <v>0</v>
      </c>
      <c r="CI119" s="40">
        <f>IFERROR(ABS(SUMIFS('TRA balance'!AJ$5:AJ$40,'TRA balance'!$C$5:$C$40,Assumptions!$BB119,'TRA balance'!$D$5:$D$40,Assumptions!$BC119)),"")</f>
        <v>0</v>
      </c>
      <c r="CJ119" s="40">
        <f>IFERROR(ABS(SUMIFS('TRA balance'!AK$5:AK$40,'TRA balance'!$C$5:$C$40,Assumptions!$BB119,'TRA balance'!$D$5:$D$40,Assumptions!$BC119)),"")</f>
        <v>0</v>
      </c>
      <c r="CK119" s="40">
        <f>IFERROR(ABS(SUMIFS('TRA balance'!AL$5:AL$40,'TRA balance'!$C$5:$C$40,Assumptions!$BB119,'TRA balance'!$D$5:$D$40,Assumptions!$BC119)),"")</f>
        <v>0</v>
      </c>
      <c r="CL119" s="40">
        <f>IFERROR(ABS(SUMIFS('TRA balance'!AM$5:AM$40,'TRA balance'!$C$5:$C$40,Assumptions!$BB119,'TRA balance'!$D$5:$D$40,Assumptions!$BC119)),"")</f>
        <v>0</v>
      </c>
      <c r="CM119" s="40">
        <f>IFERROR(ABS(SUMIFS('TRA balance'!AN$5:AN$40,'TRA balance'!$C$5:$C$40,Assumptions!$BB119,'TRA balance'!$D$5:$D$40,Assumptions!$BC119)),"")</f>
        <v>0</v>
      </c>
      <c r="CN119" s="40">
        <f>IFERROR(ABS(SUMIFS('TRA balance'!AO$5:AO$40,'TRA balance'!$C$5:$C$40,Assumptions!$BB119,'TRA balance'!$D$5:$D$40,Assumptions!$BC119)),"")</f>
        <v>0</v>
      </c>
      <c r="CO119" s="40">
        <f>IFERROR(ABS(SUMIFS('TRA balance'!AP$5:AP$40,'TRA balance'!$C$5:$C$40,Assumptions!$BB119,'TRA balance'!$D$5:$D$40,Assumptions!$BC119)),"")</f>
        <v>0</v>
      </c>
      <c r="CP119" s="40">
        <f>IFERROR(ABS(SUMIFS('TRA balance'!AQ$5:AQ$40,'TRA balance'!$C$5:$C$40,Assumptions!$BB119,'TRA balance'!$D$5:$D$40,Assumptions!$BC119)),"")</f>
        <v>0</v>
      </c>
      <c r="CQ119" s="40">
        <f>IFERROR(ABS(SUMIFS('TRA balance'!AR$5:AR$40,'TRA balance'!$C$5:$C$40,Assumptions!$BB119,'TRA balance'!$D$5:$D$40,Assumptions!$BC119)),"")</f>
        <v>0</v>
      </c>
      <c r="CR119" s="40">
        <f>IFERROR(ABS(SUMIFS('TRA balance'!AS$5:AS$40,'TRA balance'!$C$5:$C$40,Assumptions!$BB119,'TRA balance'!$D$5:$D$40,Assumptions!$BC119)),"")</f>
        <v>0</v>
      </c>
      <c r="CS119" s="40">
        <f>IFERROR(ABS(SUMIFS('TRA balance'!AT$5:AT$40,'TRA balance'!$C$5:$C$40,Assumptions!$BB119,'TRA balance'!$D$5:$D$40,Assumptions!$BC119)),"")</f>
        <v>0</v>
      </c>
      <c r="CT119" s="40">
        <f>IFERROR(ABS(SUMIFS('TRA balance'!AU$5:AU$40,'TRA balance'!$C$5:$C$40,Assumptions!$BB119,'TRA balance'!$D$5:$D$40,Assumptions!$BC119)),"")</f>
        <v>0</v>
      </c>
      <c r="CU119" s="40">
        <f>IFERROR(ABS(SUMIFS('TRA balance'!AV$5:AV$40,'TRA balance'!$C$5:$C$40,Assumptions!$BB119,'TRA balance'!$D$5:$D$40,Assumptions!$BC119)),"")</f>
        <v>0</v>
      </c>
      <c r="CV119" s="40">
        <f>IFERROR(ABS(SUMIFS('TRA balance'!AW$5:AW$40,'TRA balance'!$C$5:$C$40,Assumptions!$BB119,'TRA balance'!$D$5:$D$40,Assumptions!$BC119)),"")</f>
        <v>0</v>
      </c>
      <c r="CW119" s="40">
        <f>IFERROR(ABS(SUMIFS('TRA balance'!AX$5:AX$40,'TRA balance'!$C$5:$C$40,Assumptions!$BB119,'TRA balance'!$D$5:$D$40,Assumptions!$BC119)),"")</f>
        <v>0</v>
      </c>
      <c r="CX119" s="38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8" t="s">
        <v>87</v>
      </c>
      <c r="BC120" s="38" t="s">
        <v>74</v>
      </c>
      <c r="BD120" s="40">
        <f>IFERROR(ABS(SUMIFS('TRA balance'!E$5:E$40,'TRA balance'!$C$5:$C$40,Assumptions!$BB120,'TRA balance'!$D$5:$D$40,Assumptions!$BC120)),"")</f>
        <v>0</v>
      </c>
      <c r="BE120" s="40">
        <f>IFERROR(ABS(SUMIFS('TRA balance'!F$5:F$40,'TRA balance'!$C$5:$C$40,Assumptions!$BB120,'TRA balance'!$D$5:$D$40,Assumptions!$BC120)),"")</f>
        <v>0</v>
      </c>
      <c r="BF120" s="40">
        <f>IFERROR(ABS(SUMIFS('TRA balance'!G$5:G$40,'TRA balance'!$C$5:$C$40,Assumptions!$BB120,'TRA balance'!$D$5:$D$40,Assumptions!$BC120)),"")</f>
        <v>0</v>
      </c>
      <c r="BG120" s="40">
        <f>IFERROR(ABS(SUMIFS('TRA balance'!H$5:H$40,'TRA balance'!$C$5:$C$40,Assumptions!$BB120,'TRA balance'!$D$5:$D$40,Assumptions!$BC120)),"")</f>
        <v>0</v>
      </c>
      <c r="BH120" s="40">
        <f>IFERROR(ABS(SUMIFS('TRA balance'!I$5:I$40,'TRA balance'!$C$5:$C$40,Assumptions!$BB120,'TRA balance'!$D$5:$D$40,Assumptions!$BC120)),"")</f>
        <v>0</v>
      </c>
      <c r="BI120" s="40">
        <f>IFERROR(ABS(SUMIFS('TRA balance'!J$5:J$40,'TRA balance'!$C$5:$C$40,Assumptions!$BB120,'TRA balance'!$D$5:$D$40,Assumptions!$BC120)),"")</f>
        <v>0</v>
      </c>
      <c r="BJ120" s="40">
        <f>IFERROR(ABS(SUMIFS('TRA balance'!K$5:K$40,'TRA balance'!$C$5:$C$40,Assumptions!$BB120,'TRA balance'!$D$5:$D$40,Assumptions!$BC120)),"")</f>
        <v>0</v>
      </c>
      <c r="BK120" s="40">
        <f>IFERROR(ABS(SUMIFS('TRA balance'!L$5:L$40,'TRA balance'!$C$5:$C$40,Assumptions!$BB120,'TRA balance'!$D$5:$D$40,Assumptions!$BC120)),"")</f>
        <v>0</v>
      </c>
      <c r="BL120" s="40">
        <f>IFERROR(ABS(SUMIFS('TRA balance'!M$5:M$40,'TRA balance'!$C$5:$C$40,Assumptions!$BB120,'TRA balance'!$D$5:$D$40,Assumptions!$BC120)),"")</f>
        <v>0</v>
      </c>
      <c r="BM120" s="40">
        <f>IFERROR(ABS(SUMIFS('TRA balance'!N$5:N$40,'TRA balance'!$C$5:$C$40,Assumptions!$BB120,'TRA balance'!$D$5:$D$40,Assumptions!$BC120)),"")</f>
        <v>0</v>
      </c>
      <c r="BN120" s="40">
        <f>IFERROR(ABS(SUMIFS('TRA balance'!O$5:O$40,'TRA balance'!$C$5:$C$40,Assumptions!$BB120,'TRA balance'!$D$5:$D$40,Assumptions!$BC120)),"")</f>
        <v>0</v>
      </c>
      <c r="BO120" s="40">
        <f>IFERROR(ABS(SUMIFS('TRA balance'!P$5:P$40,'TRA balance'!$C$5:$C$40,Assumptions!$BB120,'TRA balance'!$D$5:$D$40,Assumptions!$BC120)),"")</f>
        <v>0</v>
      </c>
      <c r="BP120" s="40">
        <f>IFERROR(ABS(SUMIFS('TRA balance'!Q$5:Q$40,'TRA balance'!$C$5:$C$40,Assumptions!$BB120,'TRA balance'!$D$5:$D$40,Assumptions!$BC120)),"")</f>
        <v>0</v>
      </c>
      <c r="BQ120" s="40">
        <f>IFERROR(ABS(SUMIFS('TRA balance'!R$5:R$40,'TRA balance'!$C$5:$C$40,Assumptions!$BB120,'TRA balance'!$D$5:$D$40,Assumptions!$BC120)),"")</f>
        <v>0</v>
      </c>
      <c r="BR120" s="40">
        <f>IFERROR(ABS(SUMIFS('TRA balance'!S$5:S$40,'TRA balance'!$C$5:$C$40,Assumptions!$BB120,'TRA balance'!$D$5:$D$40,Assumptions!$BC120)),"")</f>
        <v>0</v>
      </c>
      <c r="BS120" s="40">
        <f>IFERROR(ABS(SUMIFS('TRA balance'!T$5:T$40,'TRA balance'!$C$5:$C$40,Assumptions!$BB120,'TRA balance'!$D$5:$D$40,Assumptions!$BC120)),"")</f>
        <v>0</v>
      </c>
      <c r="BT120" s="40">
        <f>IFERROR(ABS(SUMIFS('TRA balance'!U$5:U$40,'TRA balance'!$C$5:$C$40,Assumptions!$BB120,'TRA balance'!$D$5:$D$40,Assumptions!$BC120)),"")</f>
        <v>0</v>
      </c>
      <c r="BU120" s="40">
        <f>IFERROR(ABS(SUMIFS('TRA balance'!V$5:V$40,'TRA balance'!$C$5:$C$40,Assumptions!$BB120,'TRA balance'!$D$5:$D$40,Assumptions!$BC120)),"")</f>
        <v>0</v>
      </c>
      <c r="BV120" s="40">
        <f>IFERROR(ABS(SUMIFS('TRA balance'!W$5:W$40,'TRA balance'!$C$5:$C$40,Assumptions!$BB120,'TRA balance'!$D$5:$D$40,Assumptions!$BC120)),"")</f>
        <v>0</v>
      </c>
      <c r="BW120" s="40">
        <f>IFERROR(ABS(SUMIFS('TRA balance'!X$5:X$40,'TRA balance'!$C$5:$C$40,Assumptions!$BB120,'TRA balance'!$D$5:$D$40,Assumptions!$BC120)),"")</f>
        <v>0</v>
      </c>
      <c r="BX120" s="40">
        <f>IFERROR(ABS(SUMIFS('TRA balance'!Y$5:Y$40,'TRA balance'!$C$5:$C$40,Assumptions!$BB120,'TRA balance'!$D$5:$D$40,Assumptions!$BC120)),"")</f>
        <v>0</v>
      </c>
      <c r="BY120" s="40">
        <f>IFERROR(ABS(SUMIFS('TRA balance'!Z$5:Z$40,'TRA balance'!$C$5:$C$40,Assumptions!$BB120,'TRA balance'!$D$5:$D$40,Assumptions!$BC120)),"")</f>
        <v>0</v>
      </c>
      <c r="BZ120" s="40">
        <f>IFERROR(ABS(SUMIFS('TRA balance'!AA$5:AA$40,'TRA balance'!$C$5:$C$40,Assumptions!$BB120,'TRA balance'!$D$5:$D$40,Assumptions!$BC120)),"")</f>
        <v>0</v>
      </c>
      <c r="CA120" s="40">
        <f>IFERROR(ABS(SUMIFS('TRA balance'!AB$5:AB$40,'TRA balance'!$C$5:$C$40,Assumptions!$BB120,'TRA balance'!$D$5:$D$40,Assumptions!$BC120)),"")</f>
        <v>0</v>
      </c>
      <c r="CB120" s="40">
        <f>IFERROR(ABS(SUMIFS('TRA balance'!AC$5:AC$40,'TRA balance'!$C$5:$C$40,Assumptions!$BB120,'TRA balance'!$D$5:$D$40,Assumptions!$BC120)),"")</f>
        <v>0</v>
      </c>
      <c r="CC120" s="40">
        <f>IFERROR(ABS(SUMIFS('TRA balance'!AD$5:AD$40,'TRA balance'!$C$5:$C$40,Assumptions!$BB120,'TRA balance'!$D$5:$D$40,Assumptions!$BC120)),"")</f>
        <v>0</v>
      </c>
      <c r="CD120" s="40">
        <f>IFERROR(ABS(SUMIFS('TRA balance'!AE$5:AE$40,'TRA balance'!$C$5:$C$40,Assumptions!$BB120,'TRA balance'!$D$5:$D$40,Assumptions!$BC120)),"")</f>
        <v>0</v>
      </c>
      <c r="CE120" s="40">
        <f>IFERROR(ABS(SUMIFS('TRA balance'!AF$5:AF$40,'TRA balance'!$C$5:$C$40,Assumptions!$BB120,'TRA balance'!$D$5:$D$40,Assumptions!$BC120)),"")</f>
        <v>0</v>
      </c>
      <c r="CF120" s="40">
        <f>IFERROR(ABS(SUMIFS('TRA balance'!AG$5:AG$40,'TRA balance'!$C$5:$C$40,Assumptions!$BB120,'TRA balance'!$D$5:$D$40,Assumptions!$BC120)),"")</f>
        <v>0</v>
      </c>
      <c r="CG120" s="40">
        <f>IFERROR(ABS(SUMIFS('TRA balance'!AH$5:AH$40,'TRA balance'!$C$5:$C$40,Assumptions!$BB120,'TRA balance'!$D$5:$D$40,Assumptions!$BC120)),"")</f>
        <v>0</v>
      </c>
      <c r="CH120" s="40">
        <f>IFERROR(ABS(SUMIFS('TRA balance'!AI$5:AI$40,'TRA balance'!$C$5:$C$40,Assumptions!$BB120,'TRA balance'!$D$5:$D$40,Assumptions!$BC120)),"")</f>
        <v>0</v>
      </c>
      <c r="CI120" s="40">
        <f>IFERROR(ABS(SUMIFS('TRA balance'!AJ$5:AJ$40,'TRA balance'!$C$5:$C$40,Assumptions!$BB120,'TRA balance'!$D$5:$D$40,Assumptions!$BC120)),"")</f>
        <v>0</v>
      </c>
      <c r="CJ120" s="40">
        <f>IFERROR(ABS(SUMIFS('TRA balance'!AK$5:AK$40,'TRA balance'!$C$5:$C$40,Assumptions!$BB120,'TRA balance'!$D$5:$D$40,Assumptions!$BC120)),"")</f>
        <v>0</v>
      </c>
      <c r="CK120" s="40">
        <f>IFERROR(ABS(SUMIFS('TRA balance'!AL$5:AL$40,'TRA balance'!$C$5:$C$40,Assumptions!$BB120,'TRA balance'!$D$5:$D$40,Assumptions!$BC120)),"")</f>
        <v>0</v>
      </c>
      <c r="CL120" s="40">
        <f>IFERROR(ABS(SUMIFS('TRA balance'!AM$5:AM$40,'TRA balance'!$C$5:$C$40,Assumptions!$BB120,'TRA balance'!$D$5:$D$40,Assumptions!$BC120)),"")</f>
        <v>0</v>
      </c>
      <c r="CM120" s="40">
        <f>IFERROR(ABS(SUMIFS('TRA balance'!AN$5:AN$40,'TRA balance'!$C$5:$C$40,Assumptions!$BB120,'TRA balance'!$D$5:$D$40,Assumptions!$BC120)),"")</f>
        <v>0</v>
      </c>
      <c r="CN120" s="40">
        <f>IFERROR(ABS(SUMIFS('TRA balance'!AO$5:AO$40,'TRA balance'!$C$5:$C$40,Assumptions!$BB120,'TRA balance'!$D$5:$D$40,Assumptions!$BC120)),"")</f>
        <v>0</v>
      </c>
      <c r="CO120" s="40">
        <f>IFERROR(ABS(SUMIFS('TRA balance'!AP$5:AP$40,'TRA balance'!$C$5:$C$40,Assumptions!$BB120,'TRA balance'!$D$5:$D$40,Assumptions!$BC120)),"")</f>
        <v>0</v>
      </c>
      <c r="CP120" s="40">
        <f>IFERROR(ABS(SUMIFS('TRA balance'!AQ$5:AQ$40,'TRA balance'!$C$5:$C$40,Assumptions!$BB120,'TRA balance'!$D$5:$D$40,Assumptions!$BC120)),"")</f>
        <v>0</v>
      </c>
      <c r="CQ120" s="40">
        <f>IFERROR(ABS(SUMIFS('TRA balance'!AR$5:AR$40,'TRA balance'!$C$5:$C$40,Assumptions!$BB120,'TRA balance'!$D$5:$D$40,Assumptions!$BC120)),"")</f>
        <v>0</v>
      </c>
      <c r="CR120" s="40">
        <f>IFERROR(ABS(SUMIFS('TRA balance'!AS$5:AS$40,'TRA balance'!$C$5:$C$40,Assumptions!$BB120,'TRA balance'!$D$5:$D$40,Assumptions!$BC120)),"")</f>
        <v>0</v>
      </c>
      <c r="CS120" s="40">
        <f>IFERROR(ABS(SUMIFS('TRA balance'!AT$5:AT$40,'TRA balance'!$C$5:$C$40,Assumptions!$BB120,'TRA balance'!$D$5:$D$40,Assumptions!$BC120)),"")</f>
        <v>0</v>
      </c>
      <c r="CT120" s="40">
        <f>IFERROR(ABS(SUMIFS('TRA balance'!AU$5:AU$40,'TRA balance'!$C$5:$C$40,Assumptions!$BB120,'TRA balance'!$D$5:$D$40,Assumptions!$BC120)),"")</f>
        <v>0</v>
      </c>
      <c r="CU120" s="40">
        <f>IFERROR(ABS(SUMIFS('TRA balance'!AV$5:AV$40,'TRA balance'!$C$5:$C$40,Assumptions!$BB120,'TRA balance'!$D$5:$D$40,Assumptions!$BC120)),"")</f>
        <v>0</v>
      </c>
      <c r="CV120" s="40">
        <f>IFERROR(ABS(SUMIFS('TRA balance'!AW$5:AW$40,'TRA balance'!$C$5:$C$40,Assumptions!$BB120,'TRA balance'!$D$5:$D$40,Assumptions!$BC120)),"")</f>
        <v>0</v>
      </c>
      <c r="CW120" s="40">
        <f>IFERROR(ABS(SUMIFS('TRA balance'!AX$5:AX$40,'TRA balance'!$C$5:$C$40,Assumptions!$BB120,'TRA balance'!$D$5:$D$40,Assumptions!$BC120)),"")</f>
        <v>0</v>
      </c>
      <c r="CX120" s="38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8" t="s">
        <v>87</v>
      </c>
      <c r="BC121" s="38" t="s">
        <v>52</v>
      </c>
      <c r="BD121" s="40">
        <f>IFERROR(ABS(SUMIFS('TRA balance'!E$5:E$40,'TRA balance'!$C$5:$C$40,Assumptions!$BB121,'TRA balance'!$D$5:$D$40,Assumptions!$BC121)),"")</f>
        <v>0</v>
      </c>
      <c r="BE121" s="40">
        <f>IFERROR(ABS(SUMIFS('TRA balance'!F$5:F$40,'TRA balance'!$C$5:$C$40,Assumptions!$BB121,'TRA balance'!$D$5:$D$40,Assumptions!$BC121)),"")</f>
        <v>0</v>
      </c>
      <c r="BF121" s="40">
        <f>IFERROR(ABS(SUMIFS('TRA balance'!G$5:G$40,'TRA balance'!$C$5:$C$40,Assumptions!$BB121,'TRA balance'!$D$5:$D$40,Assumptions!$BC121)),"")</f>
        <v>0</v>
      </c>
      <c r="BG121" s="40">
        <f>IFERROR(ABS(SUMIFS('TRA balance'!H$5:H$40,'TRA balance'!$C$5:$C$40,Assumptions!$BB121,'TRA balance'!$D$5:$D$40,Assumptions!$BC121)),"")</f>
        <v>0</v>
      </c>
      <c r="BH121" s="40">
        <f>IFERROR(ABS(SUMIFS('TRA balance'!I$5:I$40,'TRA balance'!$C$5:$C$40,Assumptions!$BB121,'TRA balance'!$D$5:$D$40,Assumptions!$BC121)),"")</f>
        <v>0</v>
      </c>
      <c r="BI121" s="40">
        <f>IFERROR(ABS(SUMIFS('TRA balance'!J$5:J$40,'TRA balance'!$C$5:$C$40,Assumptions!$BB121,'TRA balance'!$D$5:$D$40,Assumptions!$BC121)),"")</f>
        <v>0</v>
      </c>
      <c r="BJ121" s="40">
        <f>IFERROR(ABS(SUMIFS('TRA balance'!K$5:K$40,'TRA balance'!$C$5:$C$40,Assumptions!$BB121,'TRA balance'!$D$5:$D$40,Assumptions!$BC121)),"")</f>
        <v>0</v>
      </c>
      <c r="BK121" s="40">
        <f>IFERROR(ABS(SUMIFS('TRA balance'!L$5:L$40,'TRA balance'!$C$5:$C$40,Assumptions!$BB121,'TRA balance'!$D$5:$D$40,Assumptions!$BC121)),"")</f>
        <v>0</v>
      </c>
      <c r="BL121" s="40">
        <f>IFERROR(ABS(SUMIFS('TRA balance'!M$5:M$40,'TRA balance'!$C$5:$C$40,Assumptions!$BB121,'TRA balance'!$D$5:$D$40,Assumptions!$BC121)),"")</f>
        <v>0</v>
      </c>
      <c r="BM121" s="40">
        <f>IFERROR(ABS(SUMIFS('TRA balance'!N$5:N$40,'TRA balance'!$C$5:$C$40,Assumptions!$BB121,'TRA balance'!$D$5:$D$40,Assumptions!$BC121)),"")</f>
        <v>0</v>
      </c>
      <c r="BN121" s="40">
        <f>IFERROR(ABS(SUMIFS('TRA balance'!O$5:O$40,'TRA balance'!$C$5:$C$40,Assumptions!$BB121,'TRA balance'!$D$5:$D$40,Assumptions!$BC121)),"")</f>
        <v>0</v>
      </c>
      <c r="BO121" s="40">
        <f>IFERROR(ABS(SUMIFS('TRA balance'!P$5:P$40,'TRA balance'!$C$5:$C$40,Assumptions!$BB121,'TRA balance'!$D$5:$D$40,Assumptions!$BC121)),"")</f>
        <v>0</v>
      </c>
      <c r="BP121" s="40">
        <f>IFERROR(ABS(SUMIFS('TRA balance'!Q$5:Q$40,'TRA balance'!$C$5:$C$40,Assumptions!$BB121,'TRA balance'!$D$5:$D$40,Assumptions!$BC121)),"")</f>
        <v>0</v>
      </c>
      <c r="BQ121" s="40">
        <f>IFERROR(ABS(SUMIFS('TRA balance'!R$5:R$40,'TRA balance'!$C$5:$C$40,Assumptions!$BB121,'TRA balance'!$D$5:$D$40,Assumptions!$BC121)),"")</f>
        <v>0</v>
      </c>
      <c r="BR121" s="40">
        <f>IFERROR(ABS(SUMIFS('TRA balance'!S$5:S$40,'TRA balance'!$C$5:$C$40,Assumptions!$BB121,'TRA balance'!$D$5:$D$40,Assumptions!$BC121)),"")</f>
        <v>0</v>
      </c>
      <c r="BS121" s="40">
        <f>IFERROR(ABS(SUMIFS('TRA balance'!T$5:T$40,'TRA balance'!$C$5:$C$40,Assumptions!$BB121,'TRA balance'!$D$5:$D$40,Assumptions!$BC121)),"")</f>
        <v>0</v>
      </c>
      <c r="BT121" s="40">
        <f>IFERROR(ABS(SUMIFS('TRA balance'!U$5:U$40,'TRA balance'!$C$5:$C$40,Assumptions!$BB121,'TRA balance'!$D$5:$D$40,Assumptions!$BC121)),"")</f>
        <v>0</v>
      </c>
      <c r="BU121" s="40">
        <f>IFERROR(ABS(SUMIFS('TRA balance'!V$5:V$40,'TRA balance'!$C$5:$C$40,Assumptions!$BB121,'TRA balance'!$D$5:$D$40,Assumptions!$BC121)),"")</f>
        <v>0</v>
      </c>
      <c r="BV121" s="40">
        <f>IFERROR(ABS(SUMIFS('TRA balance'!W$5:W$40,'TRA balance'!$C$5:$C$40,Assumptions!$BB121,'TRA balance'!$D$5:$D$40,Assumptions!$BC121)),"")</f>
        <v>0</v>
      </c>
      <c r="BW121" s="40">
        <f>IFERROR(ABS(SUMIFS('TRA balance'!X$5:X$40,'TRA balance'!$C$5:$C$40,Assumptions!$BB121,'TRA balance'!$D$5:$D$40,Assumptions!$BC121)),"")</f>
        <v>0</v>
      </c>
      <c r="BX121" s="40">
        <f>IFERROR(ABS(SUMIFS('TRA balance'!Y$5:Y$40,'TRA balance'!$C$5:$C$40,Assumptions!$BB121,'TRA balance'!$D$5:$D$40,Assumptions!$BC121)),"")</f>
        <v>0</v>
      </c>
      <c r="BY121" s="40">
        <f>IFERROR(ABS(SUMIFS('TRA balance'!Z$5:Z$40,'TRA balance'!$C$5:$C$40,Assumptions!$BB121,'TRA balance'!$D$5:$D$40,Assumptions!$BC121)),"")</f>
        <v>0</v>
      </c>
      <c r="BZ121" s="40">
        <f>IFERROR(ABS(SUMIFS('TRA balance'!AA$5:AA$40,'TRA balance'!$C$5:$C$40,Assumptions!$BB121,'TRA balance'!$D$5:$D$40,Assumptions!$BC121)),"")</f>
        <v>3.1542220764</v>
      </c>
      <c r="CA121" s="40">
        <f>IFERROR(ABS(SUMIFS('TRA balance'!AB$5:AB$40,'TRA balance'!$C$5:$C$40,Assumptions!$BB121,'TRA balance'!$D$5:$D$40,Assumptions!$BC121)),"")</f>
        <v>0</v>
      </c>
      <c r="CB121" s="40">
        <f>IFERROR(ABS(SUMIFS('TRA balance'!AC$5:AC$40,'TRA balance'!$C$5:$C$40,Assumptions!$BB121,'TRA balance'!$D$5:$D$40,Assumptions!$BC121)),"")</f>
        <v>0</v>
      </c>
      <c r="CC121" s="40">
        <f>IFERROR(ABS(SUMIFS('TRA balance'!AD$5:AD$40,'TRA balance'!$C$5:$C$40,Assumptions!$BB121,'TRA balance'!$D$5:$D$40,Assumptions!$BC121)),"")</f>
        <v>0</v>
      </c>
      <c r="CD121" s="40">
        <f>IFERROR(ABS(SUMIFS('TRA balance'!AE$5:AE$40,'TRA balance'!$C$5:$C$40,Assumptions!$BB121,'TRA balance'!$D$5:$D$40,Assumptions!$BC121)),"")</f>
        <v>0</v>
      </c>
      <c r="CE121" s="40">
        <f>IFERROR(ABS(SUMIFS('TRA balance'!AF$5:AF$40,'TRA balance'!$C$5:$C$40,Assumptions!$BB121,'TRA balance'!$D$5:$D$40,Assumptions!$BC121)),"")</f>
        <v>0</v>
      </c>
      <c r="CF121" s="40">
        <f>IFERROR(ABS(SUMIFS('TRA balance'!AG$5:AG$40,'TRA balance'!$C$5:$C$40,Assumptions!$BB121,'TRA balance'!$D$5:$D$40,Assumptions!$BC121)),"")</f>
        <v>0</v>
      </c>
      <c r="CG121" s="40">
        <f>IFERROR(ABS(SUMIFS('TRA balance'!AH$5:AH$40,'TRA balance'!$C$5:$C$40,Assumptions!$BB121,'TRA balance'!$D$5:$D$40,Assumptions!$BC121)),"")</f>
        <v>0</v>
      </c>
      <c r="CH121" s="40">
        <f>IFERROR(ABS(SUMIFS('TRA balance'!AI$5:AI$40,'TRA balance'!$C$5:$C$40,Assumptions!$BB121,'TRA balance'!$D$5:$D$40,Assumptions!$BC121)),"")</f>
        <v>0</v>
      </c>
      <c r="CI121" s="40">
        <f>IFERROR(ABS(SUMIFS('TRA balance'!AJ$5:AJ$40,'TRA balance'!$C$5:$C$40,Assumptions!$BB121,'TRA balance'!$D$5:$D$40,Assumptions!$BC121)),"")</f>
        <v>0</v>
      </c>
      <c r="CJ121" s="40">
        <f>IFERROR(ABS(SUMIFS('TRA balance'!AK$5:AK$40,'TRA balance'!$C$5:$C$40,Assumptions!$BB121,'TRA balance'!$D$5:$D$40,Assumptions!$BC121)),"")</f>
        <v>0</v>
      </c>
      <c r="CK121" s="40">
        <f>IFERROR(ABS(SUMIFS('TRA balance'!AL$5:AL$40,'TRA balance'!$C$5:$C$40,Assumptions!$BB121,'TRA balance'!$D$5:$D$40,Assumptions!$BC121)),"")</f>
        <v>0</v>
      </c>
      <c r="CL121" s="40">
        <f>IFERROR(ABS(SUMIFS('TRA balance'!AM$5:AM$40,'TRA balance'!$C$5:$C$40,Assumptions!$BB121,'TRA balance'!$D$5:$D$40,Assumptions!$BC121)),"")</f>
        <v>0</v>
      </c>
      <c r="CM121" s="40">
        <f>IFERROR(ABS(SUMIFS('TRA balance'!AN$5:AN$40,'TRA balance'!$C$5:$C$40,Assumptions!$BB121,'TRA balance'!$D$5:$D$40,Assumptions!$BC121)),"")</f>
        <v>0</v>
      </c>
      <c r="CN121" s="40">
        <f>IFERROR(ABS(SUMIFS('TRA balance'!AO$5:AO$40,'TRA balance'!$C$5:$C$40,Assumptions!$BB121,'TRA balance'!$D$5:$D$40,Assumptions!$BC121)),"")</f>
        <v>0</v>
      </c>
      <c r="CO121" s="40">
        <f>IFERROR(ABS(SUMIFS('TRA balance'!AP$5:AP$40,'TRA balance'!$C$5:$C$40,Assumptions!$BB121,'TRA balance'!$D$5:$D$40,Assumptions!$BC121)),"")</f>
        <v>0</v>
      </c>
      <c r="CP121" s="40">
        <f>IFERROR(ABS(SUMIFS('TRA balance'!AQ$5:AQ$40,'TRA balance'!$C$5:$C$40,Assumptions!$BB121,'TRA balance'!$D$5:$D$40,Assumptions!$BC121)),"")</f>
        <v>0</v>
      </c>
      <c r="CQ121" s="40">
        <f>IFERROR(ABS(SUMIFS('TRA balance'!AR$5:AR$40,'TRA balance'!$C$5:$C$40,Assumptions!$BB121,'TRA balance'!$D$5:$D$40,Assumptions!$BC121)),"")</f>
        <v>0</v>
      </c>
      <c r="CR121" s="40">
        <f>IFERROR(ABS(SUMIFS('TRA balance'!AS$5:AS$40,'TRA balance'!$C$5:$C$40,Assumptions!$BB121,'TRA balance'!$D$5:$D$40,Assumptions!$BC121)),"")</f>
        <v>0</v>
      </c>
      <c r="CS121" s="40">
        <f>IFERROR(ABS(SUMIFS('TRA balance'!AT$5:AT$40,'TRA balance'!$C$5:$C$40,Assumptions!$BB121,'TRA balance'!$D$5:$D$40,Assumptions!$BC121)),"")</f>
        <v>0</v>
      </c>
      <c r="CT121" s="40">
        <f>IFERROR(ABS(SUMIFS('TRA balance'!AU$5:AU$40,'TRA balance'!$C$5:$C$40,Assumptions!$BB121,'TRA balance'!$D$5:$D$40,Assumptions!$BC121)),"")</f>
        <v>0</v>
      </c>
      <c r="CU121" s="40">
        <f>IFERROR(ABS(SUMIFS('TRA balance'!AV$5:AV$40,'TRA balance'!$C$5:$C$40,Assumptions!$BB121,'TRA balance'!$D$5:$D$40,Assumptions!$BC121)),"")</f>
        <v>0</v>
      </c>
      <c r="CV121" s="40">
        <f>IFERROR(ABS(SUMIFS('TRA balance'!AW$5:AW$40,'TRA balance'!$C$5:$C$40,Assumptions!$BB121,'TRA balance'!$D$5:$D$40,Assumptions!$BC121)),"")</f>
        <v>0</v>
      </c>
      <c r="CW121" s="40">
        <f>IFERROR(ABS(SUMIFS('TRA balance'!AX$5:AX$40,'TRA balance'!$C$5:$C$40,Assumptions!$BB121,'TRA balance'!$D$5:$D$40,Assumptions!$BC121)),"")</f>
        <v>0</v>
      </c>
      <c r="CX121" s="38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8" t="s">
        <v>88</v>
      </c>
      <c r="BC122" s="38" t="s">
        <v>44</v>
      </c>
      <c r="BD122" s="40">
        <f>IFERROR(ABS(SUMIFS('TRA balance'!E$5:E$40,'TRA balance'!$C$5:$C$40,Assumptions!$BB122,'TRA balance'!$D$5:$D$40,Assumptions!$BC122)),"")</f>
        <v>0</v>
      </c>
      <c r="BE122" s="40">
        <f>IFERROR(ABS(SUMIFS('TRA balance'!F$5:F$40,'TRA balance'!$C$5:$C$40,Assumptions!$BB122,'TRA balance'!$D$5:$D$40,Assumptions!$BC122)),"")</f>
        <v>0</v>
      </c>
      <c r="BF122" s="40">
        <f>IFERROR(ABS(SUMIFS('TRA balance'!G$5:G$40,'TRA balance'!$C$5:$C$40,Assumptions!$BB122,'TRA balance'!$D$5:$D$40,Assumptions!$BC122)),"")</f>
        <v>0</v>
      </c>
      <c r="BG122" s="40">
        <f>IFERROR(ABS(SUMIFS('TRA balance'!H$5:H$40,'TRA balance'!$C$5:$C$40,Assumptions!$BB122,'TRA balance'!$D$5:$D$40,Assumptions!$BC122)),"")</f>
        <v>0</v>
      </c>
      <c r="BH122" s="40">
        <f>IFERROR(ABS(SUMIFS('TRA balance'!I$5:I$40,'TRA balance'!$C$5:$C$40,Assumptions!$BB122,'TRA balance'!$D$5:$D$40,Assumptions!$BC122)),"")</f>
        <v>0</v>
      </c>
      <c r="BI122" s="40">
        <f>IFERROR(ABS(SUMIFS('TRA balance'!J$5:J$40,'TRA balance'!$C$5:$C$40,Assumptions!$BB122,'TRA balance'!$D$5:$D$40,Assumptions!$BC122)),"")</f>
        <v>1.9816836156</v>
      </c>
      <c r="BJ122" s="40">
        <f>IFERROR(ABS(SUMIFS('TRA balance'!K$5:K$40,'TRA balance'!$C$5:$C$40,Assumptions!$BB122,'TRA balance'!$D$5:$D$40,Assumptions!$BC122)),"")</f>
        <v>0</v>
      </c>
      <c r="BK122" s="40">
        <f>IFERROR(ABS(SUMIFS('TRA balance'!L$5:L$40,'TRA balance'!$C$5:$C$40,Assumptions!$BB122,'TRA balance'!$D$5:$D$40,Assumptions!$BC122)),"")</f>
        <v>0</v>
      </c>
      <c r="BL122" s="40">
        <f>IFERROR(ABS(SUMIFS('TRA balance'!M$5:M$40,'TRA balance'!$C$5:$C$40,Assumptions!$BB122,'TRA balance'!$D$5:$D$40,Assumptions!$BC122)),"")</f>
        <v>0</v>
      </c>
      <c r="BM122" s="40">
        <f>IFERROR(ABS(SUMIFS('TRA balance'!N$5:N$40,'TRA balance'!$C$5:$C$40,Assumptions!$BB122,'TRA balance'!$D$5:$D$40,Assumptions!$BC122)),"")</f>
        <v>0</v>
      </c>
      <c r="BN122" s="40">
        <f>IFERROR(ABS(SUMIFS('TRA balance'!O$5:O$40,'TRA balance'!$C$5:$C$40,Assumptions!$BB122,'TRA balance'!$D$5:$D$40,Assumptions!$BC122)),"")</f>
        <v>0</v>
      </c>
      <c r="BO122" s="40">
        <f>IFERROR(ABS(SUMIFS('TRA balance'!P$5:P$40,'TRA balance'!$C$5:$C$40,Assumptions!$BB122,'TRA balance'!$D$5:$D$40,Assumptions!$BC122)),"")</f>
        <v>0</v>
      </c>
      <c r="BP122" s="40">
        <f>IFERROR(ABS(SUMIFS('TRA balance'!Q$5:Q$40,'TRA balance'!$C$5:$C$40,Assumptions!$BB122,'TRA balance'!$D$5:$D$40,Assumptions!$BC122)),"")</f>
        <v>0.0015449292</v>
      </c>
      <c r="BQ122" s="40">
        <f>IFERROR(ABS(SUMIFS('TRA balance'!R$5:R$40,'TRA balance'!$C$5:$C$40,Assumptions!$BB122,'TRA balance'!$D$5:$D$40,Assumptions!$BC122)),"")</f>
        <v>0</v>
      </c>
      <c r="BR122" s="40">
        <f>IFERROR(ABS(SUMIFS('TRA balance'!S$5:S$40,'TRA balance'!$C$5:$C$40,Assumptions!$BB122,'TRA balance'!$D$5:$D$40,Assumptions!$BC122)),"")</f>
        <v>0</v>
      </c>
      <c r="BS122" s="40">
        <f>IFERROR(ABS(SUMIFS('TRA balance'!T$5:T$40,'TRA balance'!$C$5:$C$40,Assumptions!$BB122,'TRA balance'!$D$5:$D$40,Assumptions!$BC122)),"")</f>
        <v>0</v>
      </c>
      <c r="BT122" s="40">
        <f>IFERROR(ABS(SUMIFS('TRA balance'!U$5:U$40,'TRA balance'!$C$5:$C$40,Assumptions!$BB122,'TRA balance'!$D$5:$D$40,Assumptions!$BC122)),"")</f>
        <v>0</v>
      </c>
      <c r="BU122" s="40">
        <f>IFERROR(ABS(SUMIFS('TRA balance'!V$5:V$40,'TRA balance'!$C$5:$C$40,Assumptions!$BB122,'TRA balance'!$D$5:$D$40,Assumptions!$BC122)),"")</f>
        <v>0</v>
      </c>
      <c r="BV122" s="40">
        <f>IFERROR(ABS(SUMIFS('TRA balance'!W$5:W$40,'TRA balance'!$C$5:$C$40,Assumptions!$BB122,'TRA balance'!$D$5:$D$40,Assumptions!$BC122)),"")</f>
        <v>0</v>
      </c>
      <c r="BW122" s="40">
        <f>IFERROR(ABS(SUMIFS('TRA balance'!X$5:X$40,'TRA balance'!$C$5:$C$40,Assumptions!$BB122,'TRA balance'!$D$5:$D$40,Assumptions!$BC122)),"")</f>
        <v>0</v>
      </c>
      <c r="BX122" s="40">
        <f>IFERROR(ABS(SUMIFS('TRA balance'!Y$5:Y$40,'TRA balance'!$C$5:$C$40,Assumptions!$BB122,'TRA balance'!$D$5:$D$40,Assumptions!$BC122)),"")</f>
        <v>0</v>
      </c>
      <c r="BY122" s="40">
        <f>IFERROR(ABS(SUMIFS('TRA balance'!Z$5:Z$40,'TRA balance'!$C$5:$C$40,Assumptions!$BB122,'TRA balance'!$D$5:$D$40,Assumptions!$BC122)),"")</f>
        <v>8.568746748</v>
      </c>
      <c r="BZ122" s="40">
        <f>IFERROR(ABS(SUMIFS('TRA balance'!AA$5:AA$40,'TRA balance'!$C$5:$C$40,Assumptions!$BB122,'TRA balance'!$D$5:$D$40,Assumptions!$BC122)),"")</f>
        <v>0</v>
      </c>
      <c r="CA122" s="40">
        <f>IFERROR(ABS(SUMIFS('TRA balance'!AB$5:AB$40,'TRA balance'!$C$5:$C$40,Assumptions!$BB122,'TRA balance'!$D$5:$D$40,Assumptions!$BC122)),"")</f>
        <v>0</v>
      </c>
      <c r="CB122" s="40">
        <f>IFERROR(ABS(SUMIFS('TRA balance'!AC$5:AC$40,'TRA balance'!$C$5:$C$40,Assumptions!$BB122,'TRA balance'!$D$5:$D$40,Assumptions!$BC122)),"")</f>
        <v>0</v>
      </c>
      <c r="CC122" s="40">
        <f>IFERROR(ABS(SUMIFS('TRA balance'!AD$5:AD$40,'TRA balance'!$C$5:$C$40,Assumptions!$BB122,'TRA balance'!$D$5:$D$40,Assumptions!$BC122)),"")</f>
        <v>0</v>
      </c>
      <c r="CD122" s="40">
        <f>IFERROR(ABS(SUMIFS('TRA balance'!AE$5:AE$40,'TRA balance'!$C$5:$C$40,Assumptions!$BB122,'TRA balance'!$D$5:$D$40,Assumptions!$BC122)),"")</f>
        <v>0</v>
      </c>
      <c r="CE122" s="40">
        <f>IFERROR(ABS(SUMIFS('TRA balance'!AF$5:AF$40,'TRA balance'!$C$5:$C$40,Assumptions!$BB122,'TRA balance'!$D$5:$D$40,Assumptions!$BC122)),"")</f>
        <v>0</v>
      </c>
      <c r="CF122" s="40">
        <f>IFERROR(ABS(SUMIFS('TRA balance'!AG$5:AG$40,'TRA balance'!$C$5:$C$40,Assumptions!$BB122,'TRA balance'!$D$5:$D$40,Assumptions!$BC122)),"")</f>
        <v>0</v>
      </c>
      <c r="CG122" s="40">
        <f>IFERROR(ABS(SUMIFS('TRA balance'!AH$5:AH$40,'TRA balance'!$C$5:$C$40,Assumptions!$BB122,'TRA balance'!$D$5:$D$40,Assumptions!$BC122)),"")</f>
        <v>0</v>
      </c>
      <c r="CH122" s="40">
        <f>IFERROR(ABS(SUMIFS('TRA balance'!AI$5:AI$40,'TRA balance'!$C$5:$C$40,Assumptions!$BB122,'TRA balance'!$D$5:$D$40,Assumptions!$BC122)),"")</f>
        <v>0</v>
      </c>
      <c r="CI122" s="40">
        <f>IFERROR(ABS(SUMIFS('TRA balance'!AJ$5:AJ$40,'TRA balance'!$C$5:$C$40,Assumptions!$BB122,'TRA balance'!$D$5:$D$40,Assumptions!$BC122)),"")</f>
        <v>0</v>
      </c>
      <c r="CJ122" s="40">
        <f>IFERROR(ABS(SUMIFS('TRA balance'!AK$5:AK$40,'TRA balance'!$C$5:$C$40,Assumptions!$BB122,'TRA balance'!$D$5:$D$40,Assumptions!$BC122)),"")</f>
        <v>0</v>
      </c>
      <c r="CK122" s="40">
        <f>IFERROR(ABS(SUMIFS('TRA balance'!AL$5:AL$40,'TRA balance'!$C$5:$C$40,Assumptions!$BB122,'TRA balance'!$D$5:$D$40,Assumptions!$BC122)),"")</f>
        <v>0</v>
      </c>
      <c r="CL122" s="40">
        <f>IFERROR(ABS(SUMIFS('TRA balance'!AM$5:AM$40,'TRA balance'!$C$5:$C$40,Assumptions!$BB122,'TRA balance'!$D$5:$D$40,Assumptions!$BC122)),"")</f>
        <v>0</v>
      </c>
      <c r="CM122" s="40">
        <f>IFERROR(ABS(SUMIFS('TRA balance'!AN$5:AN$40,'TRA balance'!$C$5:$C$40,Assumptions!$BB122,'TRA balance'!$D$5:$D$40,Assumptions!$BC122)),"")</f>
        <v>0</v>
      </c>
      <c r="CN122" s="40">
        <f>IFERROR(ABS(SUMIFS('TRA balance'!AO$5:AO$40,'TRA balance'!$C$5:$C$40,Assumptions!$BB122,'TRA balance'!$D$5:$D$40,Assumptions!$BC122)),"")</f>
        <v>0</v>
      </c>
      <c r="CO122" s="40">
        <f>IFERROR(ABS(SUMIFS('TRA balance'!AP$5:AP$40,'TRA balance'!$C$5:$C$40,Assumptions!$BB122,'TRA balance'!$D$5:$D$40,Assumptions!$BC122)),"")</f>
        <v>0</v>
      </c>
      <c r="CP122" s="40">
        <f>IFERROR(ABS(SUMIFS('TRA balance'!AQ$5:AQ$40,'TRA balance'!$C$5:$C$40,Assumptions!$BB122,'TRA balance'!$D$5:$D$40,Assumptions!$BC122)),"")</f>
        <v>0</v>
      </c>
      <c r="CQ122" s="40">
        <f>IFERROR(ABS(SUMIFS('TRA balance'!AR$5:AR$40,'TRA balance'!$C$5:$C$40,Assumptions!$BB122,'TRA balance'!$D$5:$D$40,Assumptions!$BC122)),"")</f>
        <v>0</v>
      </c>
      <c r="CR122" s="40">
        <f>IFERROR(ABS(SUMIFS('TRA balance'!AS$5:AS$40,'TRA balance'!$C$5:$C$40,Assumptions!$BB122,'TRA balance'!$D$5:$D$40,Assumptions!$BC122)),"")</f>
        <v>0</v>
      </c>
      <c r="CS122" s="40">
        <f>IFERROR(ABS(SUMIFS('TRA balance'!AT$5:AT$40,'TRA balance'!$C$5:$C$40,Assumptions!$BB122,'TRA balance'!$D$5:$D$40,Assumptions!$BC122)),"")</f>
        <v>0</v>
      </c>
      <c r="CT122" s="40">
        <f>IFERROR(ABS(SUMIFS('TRA balance'!AU$5:AU$40,'TRA balance'!$C$5:$C$40,Assumptions!$BB122,'TRA balance'!$D$5:$D$40,Assumptions!$BC122)),"")</f>
        <v>0</v>
      </c>
      <c r="CU122" s="40">
        <f>IFERROR(ABS(SUMIFS('TRA balance'!AV$5:AV$40,'TRA balance'!$C$5:$C$40,Assumptions!$BB122,'TRA balance'!$D$5:$D$40,Assumptions!$BC122)),"")</f>
        <v>0</v>
      </c>
      <c r="CV122" s="40">
        <f>IFERROR(ABS(SUMIFS('TRA balance'!AW$5:AW$40,'TRA balance'!$C$5:$C$40,Assumptions!$BB122,'TRA balance'!$D$5:$D$40,Assumptions!$BC122)),"")</f>
        <v>0</v>
      </c>
      <c r="CW122" s="40">
        <f>IFERROR(ABS(SUMIFS('TRA balance'!AX$5:AX$40,'TRA balance'!$C$5:$C$40,Assumptions!$BB122,'TRA balance'!$D$5:$D$40,Assumptions!$BC122)),"")</f>
        <v>0</v>
      </c>
      <c r="CX122" s="38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8" t="s">
        <v>88</v>
      </c>
      <c r="BC123" s="38" t="s">
        <v>60</v>
      </c>
      <c r="BD123" s="40">
        <f>IFERROR(ABS(SUMIFS('TRA balance'!E$5:E$40,'TRA balance'!$C$5:$C$40,Assumptions!$BB123,'TRA balance'!$D$5:$D$40,Assumptions!$BC123)),"")</f>
        <v>9.1431003456</v>
      </c>
      <c r="BE123" s="40">
        <f>IFERROR(ABS(SUMIFS('TRA balance'!F$5:F$40,'TRA balance'!$C$5:$C$40,Assumptions!$BB123,'TRA balance'!$D$5:$D$40,Assumptions!$BC123)),"")</f>
        <v>35.0189646048</v>
      </c>
      <c r="BF123" s="40">
        <f>IFERROR(ABS(SUMIFS('TRA balance'!G$5:G$40,'TRA balance'!$C$5:$C$40,Assumptions!$BB123,'TRA balance'!$D$5:$D$40,Assumptions!$BC123)),"")</f>
        <v>3.261370662</v>
      </c>
      <c r="BG123" s="40">
        <f>IFERROR(ABS(SUMIFS('TRA balance'!H$5:H$40,'TRA balance'!$C$5:$C$40,Assumptions!$BB123,'TRA balance'!$D$5:$D$40,Assumptions!$BC123)),"")</f>
        <v>0.6130145088</v>
      </c>
      <c r="BH123" s="40">
        <f>IFERROR(ABS(SUMIFS('TRA balance'!I$5:I$40,'TRA balance'!$C$5:$C$40,Assumptions!$BB123,'TRA balance'!$D$5:$D$40,Assumptions!$BC123)),"")</f>
        <v>16.5952987092</v>
      </c>
      <c r="BI123" s="40">
        <f>IFERROR(ABS(SUMIFS('TRA balance'!J$5:J$40,'TRA balance'!$C$5:$C$40,Assumptions!$BB123,'TRA balance'!$D$5:$D$40,Assumptions!$BC123)),"")</f>
        <v>133.0551809712</v>
      </c>
      <c r="BJ123" s="40">
        <f>IFERROR(ABS(SUMIFS('TRA balance'!K$5:K$40,'TRA balance'!$C$5:$C$40,Assumptions!$BB123,'TRA balance'!$D$5:$D$40,Assumptions!$BC123)),"")</f>
        <v>19.718090478</v>
      </c>
      <c r="BK123" s="40">
        <f>IFERROR(ABS(SUMIFS('TRA balance'!L$5:L$40,'TRA balance'!$C$5:$C$40,Assumptions!$BB123,'TRA balance'!$D$5:$D$40,Assumptions!$BC123)),"")</f>
        <v>32.5625606712</v>
      </c>
      <c r="BL123" s="40">
        <f>IFERROR(ABS(SUMIFS('TRA balance'!M$5:M$40,'TRA balance'!$C$5:$C$40,Assumptions!$BB123,'TRA balance'!$D$5:$D$40,Assumptions!$BC123)),"")</f>
        <v>2.0533783788</v>
      </c>
      <c r="BM123" s="40">
        <f>IFERROR(ABS(SUMIFS('TRA balance'!N$5:N$40,'TRA balance'!$C$5:$C$40,Assumptions!$BB123,'TRA balance'!$D$5:$D$40,Assumptions!$BC123)),"")</f>
        <v>0</v>
      </c>
      <c r="BN123" s="40">
        <f>IFERROR(ABS(SUMIFS('TRA balance'!O$5:O$40,'TRA balance'!$C$5:$C$40,Assumptions!$BB123,'TRA balance'!$D$5:$D$40,Assumptions!$BC123)),"")</f>
        <v>5.9298778836</v>
      </c>
      <c r="BO123" s="40">
        <f>IFERROR(ABS(SUMIFS('TRA balance'!P$5:P$40,'TRA balance'!$C$5:$C$40,Assumptions!$BB123,'TRA balance'!$D$5:$D$40,Assumptions!$BC123)),"")</f>
        <v>30.0756014712</v>
      </c>
      <c r="BP123" s="40">
        <f>IFERROR(ABS(SUMIFS('TRA balance'!Q$5:Q$40,'TRA balance'!$C$5:$C$40,Assumptions!$BB123,'TRA balance'!$D$5:$D$40,Assumptions!$BC123)),"")</f>
        <v>21.6378806292</v>
      </c>
      <c r="BQ123" s="40">
        <f>IFERROR(ABS(SUMIFS('TRA balance'!R$5:R$40,'TRA balance'!$C$5:$C$40,Assumptions!$BB123,'TRA balance'!$D$5:$D$40,Assumptions!$BC123)),"")</f>
        <v>3.9072557376</v>
      </c>
      <c r="BR123" s="40">
        <f>IFERROR(ABS(SUMIFS('TRA balance'!S$5:S$40,'TRA balance'!$C$5:$C$40,Assumptions!$BB123,'TRA balance'!$D$5:$D$40,Assumptions!$BC123)),"")</f>
        <v>1.9252204308</v>
      </c>
      <c r="BS123" s="40">
        <f>IFERROR(ABS(SUMIFS('TRA balance'!T$5:T$40,'TRA balance'!$C$5:$C$40,Assumptions!$BB123,'TRA balance'!$D$5:$D$40,Assumptions!$BC123)),"")</f>
        <v>2.3815020816</v>
      </c>
      <c r="BT123" s="40">
        <f>IFERROR(ABS(SUMIFS('TRA balance'!U$5:U$40,'TRA balance'!$C$5:$C$40,Assumptions!$BB123,'TRA balance'!$D$5:$D$40,Assumptions!$BC123)),"")</f>
        <v>5.431033224</v>
      </c>
      <c r="BU123" s="40">
        <f>IFERROR(ABS(SUMIFS('TRA balance'!V$5:V$40,'TRA balance'!$C$5:$C$40,Assumptions!$BB123,'TRA balance'!$D$5:$D$40,Assumptions!$BC123)),"")</f>
        <v>38.059728588</v>
      </c>
      <c r="BV123" s="40">
        <f>IFERROR(ABS(SUMIFS('TRA balance'!W$5:W$40,'TRA balance'!$C$5:$C$40,Assumptions!$BB123,'TRA balance'!$D$5:$D$40,Assumptions!$BC123)),"")</f>
        <v>5.2803126108</v>
      </c>
      <c r="BW123" s="40">
        <f>IFERROR(ABS(SUMIFS('TRA balance'!X$5:X$40,'TRA balance'!$C$5:$C$40,Assumptions!$BB123,'TRA balance'!$D$5:$D$40,Assumptions!$BC123)),"")</f>
        <v>69.3036021708</v>
      </c>
      <c r="BX123" s="40">
        <f>IFERROR(ABS(SUMIFS('TRA balance'!Y$5:Y$40,'TRA balance'!$C$5:$C$40,Assumptions!$BB123,'TRA balance'!$D$5:$D$40,Assumptions!$BC123)),"")</f>
        <v>35.6048737704</v>
      </c>
      <c r="BY123" s="40">
        <f>IFERROR(ABS(SUMIFS('TRA balance'!Z$5:Z$40,'TRA balance'!$C$5:$C$40,Assumptions!$BB123,'TRA balance'!$D$5:$D$40,Assumptions!$BC123)),"")</f>
        <v>461.7399526524</v>
      </c>
      <c r="BZ123" s="40">
        <f>IFERROR(ABS(SUMIFS('TRA balance'!AA$5:AA$40,'TRA balance'!$C$5:$C$40,Assumptions!$BB123,'TRA balance'!$D$5:$D$40,Assumptions!$BC123)),"")</f>
        <v>10.1505993372</v>
      </c>
      <c r="CA123" s="40">
        <f>IFERROR(ABS(SUMIFS('TRA balance'!AB$5:AB$40,'TRA balance'!$C$5:$C$40,Assumptions!$BB123,'TRA balance'!$D$5:$D$40,Assumptions!$BC123)),"")</f>
        <v>8.1779215284</v>
      </c>
      <c r="CB123" s="40">
        <f>IFERROR(ABS(SUMIFS('TRA balance'!AC$5:AC$40,'TRA balance'!$C$5:$C$40,Assumptions!$BB123,'TRA balance'!$D$5:$D$40,Assumptions!$BC123)),"")</f>
        <v>407.6181896976</v>
      </c>
      <c r="CC123" s="40">
        <f>IFERROR(ABS(SUMIFS('TRA balance'!AD$5:AD$40,'TRA balance'!$C$5:$C$40,Assumptions!$BB123,'TRA balance'!$D$5:$D$40,Assumptions!$BC123)),"")</f>
        <v>364.0144429008</v>
      </c>
      <c r="CD123" s="40">
        <f>IFERROR(ABS(SUMIFS('TRA balance'!AE$5:AE$40,'TRA balance'!$C$5:$C$40,Assumptions!$BB123,'TRA balance'!$D$5:$D$40,Assumptions!$BC123)),"")</f>
        <v>0</v>
      </c>
      <c r="CE123" s="40">
        <f>IFERROR(ABS(SUMIFS('TRA balance'!AF$5:AF$40,'TRA balance'!$C$5:$C$40,Assumptions!$BB123,'TRA balance'!$D$5:$D$40,Assumptions!$BC123)),"")</f>
        <v>68.6750295132</v>
      </c>
      <c r="CF123" s="40">
        <f>IFERROR(ABS(SUMIFS('TRA balance'!AG$5:AG$40,'TRA balance'!$C$5:$C$40,Assumptions!$BB123,'TRA balance'!$D$5:$D$40,Assumptions!$BC123)),"")</f>
        <v>74.4356183256</v>
      </c>
      <c r="CG123" s="40">
        <f>IFERROR(ABS(SUMIFS('TRA balance'!AH$5:AH$40,'TRA balance'!$C$5:$C$40,Assumptions!$BB123,'TRA balance'!$D$5:$D$40,Assumptions!$BC123)),"")</f>
        <v>38.8497903084</v>
      </c>
      <c r="CH123" s="40">
        <f>IFERROR(ABS(SUMIFS('TRA balance'!AI$5:AI$40,'TRA balance'!$C$5:$C$40,Assumptions!$BB123,'TRA balance'!$D$5:$D$40,Assumptions!$BC123)),"")</f>
        <v>0.1114861104</v>
      </c>
      <c r="CI123" s="40">
        <f>IFERROR(ABS(SUMIFS('TRA balance'!AJ$5:AJ$40,'TRA balance'!$C$5:$C$40,Assumptions!$BB123,'TRA balance'!$D$5:$D$40,Assumptions!$BC123)),"")</f>
        <v>6.1769995668</v>
      </c>
      <c r="CJ123" s="40">
        <f>IFERROR(ABS(SUMIFS('TRA balance'!AK$5:AK$40,'TRA balance'!$C$5:$C$40,Assumptions!$BB123,'TRA balance'!$D$5:$D$40,Assumptions!$BC123)),"")</f>
        <v>67.5705014316</v>
      </c>
      <c r="CK123" s="40">
        <f>IFERROR(ABS(SUMIFS('TRA balance'!AL$5:AL$40,'TRA balance'!$C$5:$C$40,Assumptions!$BB123,'TRA balance'!$D$5:$D$40,Assumptions!$BC123)),"")</f>
        <v>0</v>
      </c>
      <c r="CL123" s="40">
        <f>IFERROR(ABS(SUMIFS('TRA balance'!AM$5:AM$40,'TRA balance'!$C$5:$C$40,Assumptions!$BB123,'TRA balance'!$D$5:$D$40,Assumptions!$BC123)),"")</f>
        <v>2.0118118284</v>
      </c>
      <c r="CM123" s="40">
        <f>IFERROR(ABS(SUMIFS('TRA balance'!AN$5:AN$40,'TRA balance'!$C$5:$C$40,Assumptions!$BB123,'TRA balance'!$D$5:$D$40,Assumptions!$BC123)),"")</f>
        <v>0</v>
      </c>
      <c r="CN123" s="40">
        <f>IFERROR(ABS(SUMIFS('TRA balance'!AO$5:AO$40,'TRA balance'!$C$5:$C$40,Assumptions!$BB123,'TRA balance'!$D$5:$D$40,Assumptions!$BC123)),"")</f>
        <v>0</v>
      </c>
      <c r="CO123" s="40">
        <f>IFERROR(ABS(SUMIFS('TRA balance'!AP$5:AP$40,'TRA balance'!$C$5:$C$40,Assumptions!$BB123,'TRA balance'!$D$5:$D$40,Assumptions!$BC123)),"")</f>
        <v>0</v>
      </c>
      <c r="CP123" s="40">
        <f>IFERROR(ABS(SUMIFS('TRA balance'!AQ$5:AQ$40,'TRA balance'!$C$5:$C$40,Assumptions!$BB123,'TRA balance'!$D$5:$D$40,Assumptions!$BC123)),"")</f>
        <v>0</v>
      </c>
      <c r="CQ123" s="40">
        <f>IFERROR(ABS(SUMIFS('TRA balance'!AR$5:AR$40,'TRA balance'!$C$5:$C$40,Assumptions!$BB123,'TRA balance'!$D$5:$D$40,Assumptions!$BC123)),"")</f>
        <v>0</v>
      </c>
      <c r="CR123" s="40">
        <f>IFERROR(ABS(SUMIFS('TRA balance'!AS$5:AS$40,'TRA balance'!$C$5:$C$40,Assumptions!$BB123,'TRA balance'!$D$5:$D$40,Assumptions!$BC123)),"")</f>
        <v>0</v>
      </c>
      <c r="CS123" s="40">
        <f>IFERROR(ABS(SUMIFS('TRA balance'!AT$5:AT$40,'TRA balance'!$C$5:$C$40,Assumptions!$BB123,'TRA balance'!$D$5:$D$40,Assumptions!$BC123)),"")</f>
        <v>0</v>
      </c>
      <c r="CT123" s="40">
        <f>IFERROR(ABS(SUMIFS('TRA balance'!AU$5:AU$40,'TRA balance'!$C$5:$C$40,Assumptions!$BB123,'TRA balance'!$D$5:$D$40,Assumptions!$BC123)),"")</f>
        <v>0</v>
      </c>
      <c r="CU123" s="40">
        <f>IFERROR(ABS(SUMIFS('TRA balance'!AV$5:AV$40,'TRA balance'!$C$5:$C$40,Assumptions!$BB123,'TRA balance'!$D$5:$D$40,Assumptions!$BC123)),"")</f>
        <v>0</v>
      </c>
      <c r="CV123" s="40">
        <f>IFERROR(ABS(SUMIFS('TRA balance'!AW$5:AW$40,'TRA balance'!$C$5:$C$40,Assumptions!$BB123,'TRA balance'!$D$5:$D$40,Assumptions!$BC123)),"")</f>
        <v>0</v>
      </c>
      <c r="CW123" s="40">
        <f>IFERROR(ABS(SUMIFS('TRA balance'!AX$5:AX$40,'TRA balance'!$C$5:$C$40,Assumptions!$BB123,'TRA balance'!$D$5:$D$40,Assumptions!$BC123)),"")</f>
        <v>0</v>
      </c>
      <c r="CX123" s="38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8" t="s">
        <v>88</v>
      </c>
      <c r="BC124" s="38" t="s">
        <v>66</v>
      </c>
      <c r="BD124" s="40">
        <f>IFERROR(ABS(SUMIFS('TRA balance'!E$5:E$40,'TRA balance'!$C$5:$C$40,Assumptions!$BB124,'TRA balance'!$D$5:$D$40,Assumptions!$BC124)),"")</f>
        <v>0</v>
      </c>
      <c r="BE124" s="40">
        <f>IFERROR(ABS(SUMIFS('TRA balance'!F$5:F$40,'TRA balance'!$C$5:$C$40,Assumptions!$BB124,'TRA balance'!$D$5:$D$40,Assumptions!$BC124)),"")</f>
        <v>0</v>
      </c>
      <c r="BF124" s="40">
        <f>IFERROR(ABS(SUMIFS('TRA balance'!G$5:G$40,'TRA balance'!$C$5:$C$40,Assumptions!$BB124,'TRA balance'!$D$5:$D$40,Assumptions!$BC124)),"")</f>
        <v>0</v>
      </c>
      <c r="BG124" s="40">
        <f>IFERROR(ABS(SUMIFS('TRA balance'!H$5:H$40,'TRA balance'!$C$5:$C$40,Assumptions!$BB124,'TRA balance'!$D$5:$D$40,Assumptions!$BC124)),"")</f>
        <v>0</v>
      </c>
      <c r="BH124" s="40">
        <f>IFERROR(ABS(SUMIFS('TRA balance'!I$5:I$40,'TRA balance'!$C$5:$C$40,Assumptions!$BB124,'TRA balance'!$D$5:$D$40,Assumptions!$BC124)),"")</f>
        <v>0</v>
      </c>
      <c r="BI124" s="40">
        <f>IFERROR(ABS(SUMIFS('TRA balance'!J$5:J$40,'TRA balance'!$C$5:$C$40,Assumptions!$BB124,'TRA balance'!$D$5:$D$40,Assumptions!$BC124)),"")</f>
        <v>0</v>
      </c>
      <c r="BJ124" s="40">
        <f>IFERROR(ABS(SUMIFS('TRA balance'!K$5:K$40,'TRA balance'!$C$5:$C$40,Assumptions!$BB124,'TRA balance'!$D$5:$D$40,Assumptions!$BC124)),"")</f>
        <v>0</v>
      </c>
      <c r="BK124" s="40">
        <f>IFERROR(ABS(SUMIFS('TRA balance'!L$5:L$40,'TRA balance'!$C$5:$C$40,Assumptions!$BB124,'TRA balance'!$D$5:$D$40,Assumptions!$BC124)),"")</f>
        <v>0</v>
      </c>
      <c r="BL124" s="40">
        <f>IFERROR(ABS(SUMIFS('TRA balance'!M$5:M$40,'TRA balance'!$C$5:$C$40,Assumptions!$BB124,'TRA balance'!$D$5:$D$40,Assumptions!$BC124)),"")</f>
        <v>0</v>
      </c>
      <c r="BM124" s="40">
        <f>IFERROR(ABS(SUMIFS('TRA balance'!N$5:N$40,'TRA balance'!$C$5:$C$40,Assumptions!$BB124,'TRA balance'!$D$5:$D$40,Assumptions!$BC124)),"")</f>
        <v>0</v>
      </c>
      <c r="BN124" s="40">
        <f>IFERROR(ABS(SUMIFS('TRA balance'!O$5:O$40,'TRA balance'!$C$5:$C$40,Assumptions!$BB124,'TRA balance'!$D$5:$D$40,Assumptions!$BC124)),"")</f>
        <v>0</v>
      </c>
      <c r="BO124" s="40">
        <f>IFERROR(ABS(SUMIFS('TRA balance'!P$5:P$40,'TRA balance'!$C$5:$C$40,Assumptions!$BB124,'TRA balance'!$D$5:$D$40,Assumptions!$BC124)),"")</f>
        <v>0</v>
      </c>
      <c r="BP124" s="40">
        <f>IFERROR(ABS(SUMIFS('TRA balance'!Q$5:Q$40,'TRA balance'!$C$5:$C$40,Assumptions!$BB124,'TRA balance'!$D$5:$D$40,Assumptions!$BC124)),"")</f>
        <v>0</v>
      </c>
      <c r="BQ124" s="40">
        <f>IFERROR(ABS(SUMIFS('TRA balance'!R$5:R$40,'TRA balance'!$C$5:$C$40,Assumptions!$BB124,'TRA balance'!$D$5:$D$40,Assumptions!$BC124)),"")</f>
        <v>0</v>
      </c>
      <c r="BR124" s="40">
        <f>IFERROR(ABS(SUMIFS('TRA balance'!S$5:S$40,'TRA balance'!$C$5:$C$40,Assumptions!$BB124,'TRA balance'!$D$5:$D$40,Assumptions!$BC124)),"")</f>
        <v>0</v>
      </c>
      <c r="BS124" s="40">
        <f>IFERROR(ABS(SUMIFS('TRA balance'!T$5:T$40,'TRA balance'!$C$5:$C$40,Assumptions!$BB124,'TRA balance'!$D$5:$D$40,Assumptions!$BC124)),"")</f>
        <v>0</v>
      </c>
      <c r="BT124" s="40">
        <f>IFERROR(ABS(SUMIFS('TRA balance'!U$5:U$40,'TRA balance'!$C$5:$C$40,Assumptions!$BB124,'TRA balance'!$D$5:$D$40,Assumptions!$BC124)),"")</f>
        <v>0</v>
      </c>
      <c r="BU124" s="40">
        <f>IFERROR(ABS(SUMIFS('TRA balance'!V$5:V$40,'TRA balance'!$C$5:$C$40,Assumptions!$BB124,'TRA balance'!$D$5:$D$40,Assumptions!$BC124)),"")</f>
        <v>0</v>
      </c>
      <c r="BV124" s="40">
        <f>IFERROR(ABS(SUMIFS('TRA balance'!W$5:W$40,'TRA balance'!$C$5:$C$40,Assumptions!$BB124,'TRA balance'!$D$5:$D$40,Assumptions!$BC124)),"")</f>
        <v>0</v>
      </c>
      <c r="BW124" s="40">
        <f>IFERROR(ABS(SUMIFS('TRA balance'!X$5:X$40,'TRA balance'!$C$5:$C$40,Assumptions!$BB124,'TRA balance'!$D$5:$D$40,Assumptions!$BC124)),"")</f>
        <v>0</v>
      </c>
      <c r="BX124" s="40">
        <f>IFERROR(ABS(SUMIFS('TRA balance'!Y$5:Y$40,'TRA balance'!$C$5:$C$40,Assumptions!$BB124,'TRA balance'!$D$5:$D$40,Assumptions!$BC124)),"")</f>
        <v>0</v>
      </c>
      <c r="BY124" s="40">
        <f>IFERROR(ABS(SUMIFS('TRA balance'!Z$5:Z$40,'TRA balance'!$C$5:$C$40,Assumptions!$BB124,'TRA balance'!$D$5:$D$40,Assumptions!$BC124)),"")</f>
        <v>0</v>
      </c>
      <c r="BZ124" s="40">
        <f>IFERROR(ABS(SUMIFS('TRA balance'!AA$5:AA$40,'TRA balance'!$C$5:$C$40,Assumptions!$BB124,'TRA balance'!$D$5:$D$40,Assumptions!$BC124)),"")</f>
        <v>0</v>
      </c>
      <c r="CA124" s="40">
        <f>IFERROR(ABS(SUMIFS('TRA balance'!AB$5:AB$40,'TRA balance'!$C$5:$C$40,Assumptions!$BB124,'TRA balance'!$D$5:$D$40,Assumptions!$BC124)),"")</f>
        <v>0</v>
      </c>
      <c r="CB124" s="40">
        <f>IFERROR(ABS(SUMIFS('TRA balance'!AC$5:AC$40,'TRA balance'!$C$5:$C$40,Assumptions!$BB124,'TRA balance'!$D$5:$D$40,Assumptions!$BC124)),"")</f>
        <v>0</v>
      </c>
      <c r="CC124" s="40">
        <f>IFERROR(ABS(SUMIFS('TRA balance'!AD$5:AD$40,'TRA balance'!$C$5:$C$40,Assumptions!$BB124,'TRA balance'!$D$5:$D$40,Assumptions!$BC124)),"")</f>
        <v>0</v>
      </c>
      <c r="CD124" s="40">
        <f>IFERROR(ABS(SUMIFS('TRA balance'!AE$5:AE$40,'TRA balance'!$C$5:$C$40,Assumptions!$BB124,'TRA balance'!$D$5:$D$40,Assumptions!$BC124)),"")</f>
        <v>0</v>
      </c>
      <c r="CE124" s="40">
        <f>IFERROR(ABS(SUMIFS('TRA balance'!AF$5:AF$40,'TRA balance'!$C$5:$C$40,Assumptions!$BB124,'TRA balance'!$D$5:$D$40,Assumptions!$BC124)),"")</f>
        <v>0</v>
      </c>
      <c r="CF124" s="40">
        <f>IFERROR(ABS(SUMIFS('TRA balance'!AG$5:AG$40,'TRA balance'!$C$5:$C$40,Assumptions!$BB124,'TRA balance'!$D$5:$D$40,Assumptions!$BC124)),"")</f>
        <v>0</v>
      </c>
      <c r="CG124" s="40">
        <f>IFERROR(ABS(SUMIFS('TRA balance'!AH$5:AH$40,'TRA balance'!$C$5:$C$40,Assumptions!$BB124,'TRA balance'!$D$5:$D$40,Assumptions!$BC124)),"")</f>
        <v>0</v>
      </c>
      <c r="CH124" s="40">
        <f>IFERROR(ABS(SUMIFS('TRA balance'!AI$5:AI$40,'TRA balance'!$C$5:$C$40,Assumptions!$BB124,'TRA balance'!$D$5:$D$40,Assumptions!$BC124)),"")</f>
        <v>0</v>
      </c>
      <c r="CI124" s="40">
        <f>IFERROR(ABS(SUMIFS('TRA balance'!AJ$5:AJ$40,'TRA balance'!$C$5:$C$40,Assumptions!$BB124,'TRA balance'!$D$5:$D$40,Assumptions!$BC124)),"")</f>
        <v>0</v>
      </c>
      <c r="CJ124" s="40">
        <f>IFERROR(ABS(SUMIFS('TRA balance'!AK$5:AK$40,'TRA balance'!$C$5:$C$40,Assumptions!$BB124,'TRA balance'!$D$5:$D$40,Assumptions!$BC124)),"")</f>
        <v>0</v>
      </c>
      <c r="CK124" s="40">
        <f>IFERROR(ABS(SUMIFS('TRA balance'!AL$5:AL$40,'TRA balance'!$C$5:$C$40,Assumptions!$BB124,'TRA balance'!$D$5:$D$40,Assumptions!$BC124)),"")</f>
        <v>0</v>
      </c>
      <c r="CL124" s="40">
        <f>IFERROR(ABS(SUMIFS('TRA balance'!AM$5:AM$40,'TRA balance'!$C$5:$C$40,Assumptions!$BB124,'TRA balance'!$D$5:$D$40,Assumptions!$BC124)),"")</f>
        <v>0</v>
      </c>
      <c r="CM124" s="40">
        <f>IFERROR(ABS(SUMIFS('TRA balance'!AN$5:AN$40,'TRA balance'!$C$5:$C$40,Assumptions!$BB124,'TRA balance'!$D$5:$D$40,Assumptions!$BC124)),"")</f>
        <v>0</v>
      </c>
      <c r="CN124" s="40">
        <f>IFERROR(ABS(SUMIFS('TRA balance'!AO$5:AO$40,'TRA balance'!$C$5:$C$40,Assumptions!$BB124,'TRA balance'!$D$5:$D$40,Assumptions!$BC124)),"")</f>
        <v>0</v>
      </c>
      <c r="CO124" s="40">
        <f>IFERROR(ABS(SUMIFS('TRA balance'!AP$5:AP$40,'TRA balance'!$C$5:$C$40,Assumptions!$BB124,'TRA balance'!$D$5:$D$40,Assumptions!$BC124)),"")</f>
        <v>0</v>
      </c>
      <c r="CP124" s="40">
        <f>IFERROR(ABS(SUMIFS('TRA balance'!AQ$5:AQ$40,'TRA balance'!$C$5:$C$40,Assumptions!$BB124,'TRA balance'!$D$5:$D$40,Assumptions!$BC124)),"")</f>
        <v>0</v>
      </c>
      <c r="CQ124" s="40">
        <f>IFERROR(ABS(SUMIFS('TRA balance'!AR$5:AR$40,'TRA balance'!$C$5:$C$40,Assumptions!$BB124,'TRA balance'!$D$5:$D$40,Assumptions!$BC124)),"")</f>
        <v>0</v>
      </c>
      <c r="CR124" s="40">
        <f>IFERROR(ABS(SUMIFS('TRA balance'!AS$5:AS$40,'TRA balance'!$C$5:$C$40,Assumptions!$BB124,'TRA balance'!$D$5:$D$40,Assumptions!$BC124)),"")</f>
        <v>0</v>
      </c>
      <c r="CS124" s="40">
        <f>IFERROR(ABS(SUMIFS('TRA balance'!AT$5:AT$40,'TRA balance'!$C$5:$C$40,Assumptions!$BB124,'TRA balance'!$D$5:$D$40,Assumptions!$BC124)),"")</f>
        <v>0</v>
      </c>
      <c r="CT124" s="40">
        <f>IFERROR(ABS(SUMIFS('TRA balance'!AU$5:AU$40,'TRA balance'!$C$5:$C$40,Assumptions!$BB124,'TRA balance'!$D$5:$D$40,Assumptions!$BC124)),"")</f>
        <v>0</v>
      </c>
      <c r="CU124" s="40">
        <f>IFERROR(ABS(SUMIFS('TRA balance'!AV$5:AV$40,'TRA balance'!$C$5:$C$40,Assumptions!$BB124,'TRA balance'!$D$5:$D$40,Assumptions!$BC124)),"")</f>
        <v>0</v>
      </c>
      <c r="CV124" s="40">
        <f>IFERROR(ABS(SUMIFS('TRA balance'!AW$5:AW$40,'TRA balance'!$C$5:$C$40,Assumptions!$BB124,'TRA balance'!$D$5:$D$40,Assumptions!$BC124)),"")</f>
        <v>0</v>
      </c>
      <c r="CW124" s="40">
        <f>IFERROR(ABS(SUMIFS('TRA balance'!AX$5:AX$40,'TRA balance'!$C$5:$C$40,Assumptions!$BB124,'TRA balance'!$D$5:$D$40,Assumptions!$BC124)),"")</f>
        <v>0</v>
      </c>
      <c r="CX124" s="38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8" t="s">
        <v>88</v>
      </c>
      <c r="BC125" s="38" t="s">
        <v>69</v>
      </c>
      <c r="BD125" s="40">
        <f>IFERROR(ABS(SUMIFS('TRA balance'!E$5:E$40,'TRA balance'!$C$5:$C$40,Assumptions!$BB125,'TRA balance'!$D$5:$D$40,Assumptions!$BC125)),"")</f>
        <v>26.7034690152</v>
      </c>
      <c r="BE125" s="40">
        <f>IFERROR(ABS(SUMIFS('TRA balance'!F$5:F$40,'TRA balance'!$C$5:$C$40,Assumptions!$BB125,'TRA balance'!$D$5:$D$40,Assumptions!$BC125)),"")</f>
        <v>53.4079177416</v>
      </c>
      <c r="BF125" s="40">
        <f>IFERROR(ABS(SUMIFS('TRA balance'!G$5:G$40,'TRA balance'!$C$5:$C$40,Assumptions!$BB125,'TRA balance'!$D$5:$D$40,Assumptions!$BC125)),"")</f>
        <v>28.8359402328</v>
      </c>
      <c r="BG125" s="40">
        <f>IFERROR(ABS(SUMIFS('TRA balance'!H$5:H$40,'TRA balance'!$C$5:$C$40,Assumptions!$BB125,'TRA balance'!$D$5:$D$40,Assumptions!$BC125)),"")</f>
        <v>0</v>
      </c>
      <c r="BH125" s="40">
        <f>IFERROR(ABS(SUMIFS('TRA balance'!I$5:I$40,'TRA balance'!$C$5:$C$40,Assumptions!$BB125,'TRA balance'!$D$5:$D$40,Assumptions!$BC125)),"")</f>
        <v>10.7372411928</v>
      </c>
      <c r="BI125" s="40">
        <f>IFERROR(ABS(SUMIFS('TRA balance'!J$5:J$40,'TRA balance'!$C$5:$C$40,Assumptions!$BB125,'TRA balance'!$D$5:$D$40,Assumptions!$BC125)),"")</f>
        <v>673.11487143</v>
      </c>
      <c r="BJ125" s="40">
        <f>IFERROR(ABS(SUMIFS('TRA balance'!K$5:K$40,'TRA balance'!$C$5:$C$40,Assumptions!$BB125,'TRA balance'!$D$5:$D$40,Assumptions!$BC125)),"")</f>
        <v>119.4358555152</v>
      </c>
      <c r="BK125" s="40">
        <f>IFERROR(ABS(SUMIFS('TRA balance'!L$5:L$40,'TRA balance'!$C$5:$C$40,Assumptions!$BB125,'TRA balance'!$D$5:$D$40,Assumptions!$BC125)),"")</f>
        <v>443.043952164</v>
      </c>
      <c r="BL125" s="40">
        <f>IFERROR(ABS(SUMIFS('TRA balance'!M$5:M$40,'TRA balance'!$C$5:$C$40,Assumptions!$BB125,'TRA balance'!$D$5:$D$40,Assumptions!$BC125)),"")</f>
        <v>6.7915506312</v>
      </c>
      <c r="BM125" s="40">
        <f>IFERROR(ABS(SUMIFS('TRA balance'!N$5:N$40,'TRA balance'!$C$5:$C$40,Assumptions!$BB125,'TRA balance'!$D$5:$D$40,Assumptions!$BC125)),"")</f>
        <v>0</v>
      </c>
      <c r="BN125" s="40">
        <f>IFERROR(ABS(SUMIFS('TRA balance'!O$5:O$40,'TRA balance'!$C$5:$C$40,Assumptions!$BB125,'TRA balance'!$D$5:$D$40,Assumptions!$BC125)),"")</f>
        <v>65.1582389304</v>
      </c>
      <c r="BO125" s="40">
        <f>IFERROR(ABS(SUMIFS('TRA balance'!P$5:P$40,'TRA balance'!$C$5:$C$40,Assumptions!$BB125,'TRA balance'!$D$5:$D$40,Assumptions!$BC125)),"")</f>
        <v>26.7199985016</v>
      </c>
      <c r="BP125" s="40">
        <f>IFERROR(ABS(SUMIFS('TRA balance'!Q$5:Q$40,'TRA balance'!$C$5:$C$40,Assumptions!$BB125,'TRA balance'!$D$5:$D$40,Assumptions!$BC125)),"")</f>
        <v>95.4450184068</v>
      </c>
      <c r="BQ125" s="40">
        <f>IFERROR(ABS(SUMIFS('TRA balance'!R$5:R$40,'TRA balance'!$C$5:$C$40,Assumptions!$BB125,'TRA balance'!$D$5:$D$40,Assumptions!$BC125)),"")</f>
        <v>0.7002171792</v>
      </c>
      <c r="BR125" s="40">
        <f>IFERROR(ABS(SUMIFS('TRA balance'!S$5:S$40,'TRA balance'!$C$5:$C$40,Assumptions!$BB125,'TRA balance'!$D$5:$D$40,Assumptions!$BC125)),"")</f>
        <v>0.7731596088</v>
      </c>
      <c r="BS125" s="40">
        <f>IFERROR(ABS(SUMIFS('TRA balance'!T$5:T$40,'TRA balance'!$C$5:$C$40,Assumptions!$BB125,'TRA balance'!$D$5:$D$40,Assumptions!$BC125)),"")</f>
        <v>65.7674392644</v>
      </c>
      <c r="BT125" s="40">
        <f>IFERROR(ABS(SUMIFS('TRA balance'!U$5:U$40,'TRA balance'!$C$5:$C$40,Assumptions!$BB125,'TRA balance'!$D$5:$D$40,Assumptions!$BC125)),"")</f>
        <v>0.4159208988</v>
      </c>
      <c r="BU125" s="40">
        <f>IFERROR(ABS(SUMIFS('TRA balance'!V$5:V$40,'TRA balance'!$C$5:$C$40,Assumptions!$BB125,'TRA balance'!$D$5:$D$40,Assumptions!$BC125)),"")</f>
        <v>167.7687896916</v>
      </c>
      <c r="BV125" s="40">
        <f>IFERROR(ABS(SUMIFS('TRA balance'!W$5:W$40,'TRA balance'!$C$5:$C$40,Assumptions!$BB125,'TRA balance'!$D$5:$D$40,Assumptions!$BC125)),"")</f>
        <v>182.8881785988</v>
      </c>
      <c r="BW125" s="40">
        <f>IFERROR(ABS(SUMIFS('TRA balance'!X$5:X$40,'TRA balance'!$C$5:$C$40,Assumptions!$BB125,'TRA balance'!$D$5:$D$40,Assumptions!$BC125)),"")</f>
        <v>291.7926034488</v>
      </c>
      <c r="BX125" s="40">
        <f>IFERROR(ABS(SUMIFS('TRA balance'!Y$5:Y$40,'TRA balance'!$C$5:$C$40,Assumptions!$BB125,'TRA balance'!$D$5:$D$40,Assumptions!$BC125)),"")</f>
        <v>833.7040485588</v>
      </c>
      <c r="BY125" s="40">
        <f>IFERROR(ABS(SUMIFS('TRA balance'!Z$5:Z$40,'TRA balance'!$C$5:$C$40,Assumptions!$BB125,'TRA balance'!$D$5:$D$40,Assumptions!$BC125)),"")</f>
        <v>544.7975487012</v>
      </c>
      <c r="BZ125" s="40">
        <f>IFERROR(ABS(SUMIFS('TRA balance'!AA$5:AA$40,'TRA balance'!$C$5:$C$40,Assumptions!$BB125,'TRA balance'!$D$5:$D$40,Assumptions!$BC125)),"")</f>
        <v>1.4256012132</v>
      </c>
      <c r="CA125" s="40">
        <f>IFERROR(ABS(SUMIFS('TRA balance'!AB$5:AB$40,'TRA balance'!$C$5:$C$40,Assumptions!$BB125,'TRA balance'!$D$5:$D$40,Assumptions!$BC125)),"")</f>
        <v>3.2242002516</v>
      </c>
      <c r="CB125" s="40">
        <f>IFERROR(ABS(SUMIFS('TRA balance'!AC$5:AC$40,'TRA balance'!$C$5:$C$40,Assumptions!$BB125,'TRA balance'!$D$5:$D$40,Assumptions!$BC125)),"")</f>
        <v>2460.6435793896</v>
      </c>
      <c r="CC125" s="40">
        <f>IFERROR(ABS(SUMIFS('TRA balance'!AD$5:AD$40,'TRA balance'!$C$5:$C$40,Assumptions!$BB125,'TRA balance'!$D$5:$D$40,Assumptions!$BC125)),"")</f>
        <v>88.480000278</v>
      </c>
      <c r="CD125" s="40">
        <f>IFERROR(ABS(SUMIFS('TRA balance'!AE$5:AE$40,'TRA balance'!$C$5:$C$40,Assumptions!$BB125,'TRA balance'!$D$5:$D$40,Assumptions!$BC125)),"")</f>
        <v>135.0102909672</v>
      </c>
      <c r="CE125" s="40">
        <f>IFERROR(ABS(SUMIFS('TRA balance'!AF$5:AF$40,'TRA balance'!$C$5:$C$40,Assumptions!$BB125,'TRA balance'!$D$5:$D$40,Assumptions!$BC125)),"")</f>
        <v>57.6899339472</v>
      </c>
      <c r="CF125" s="40">
        <f>IFERROR(ABS(SUMIFS('TRA balance'!AG$5:AG$40,'TRA balance'!$C$5:$C$40,Assumptions!$BB125,'TRA balance'!$D$5:$D$40,Assumptions!$BC125)),"")</f>
        <v>261.79840593</v>
      </c>
      <c r="CG125" s="40">
        <f>IFERROR(ABS(SUMIFS('TRA balance'!AH$5:AH$40,'TRA balance'!$C$5:$C$40,Assumptions!$BB125,'TRA balance'!$D$5:$D$40,Assumptions!$BC125)),"")</f>
        <v>88.967678742</v>
      </c>
      <c r="CH125" s="40">
        <f>IFERROR(ABS(SUMIFS('TRA balance'!AI$5:AI$40,'TRA balance'!$C$5:$C$40,Assumptions!$BB125,'TRA balance'!$D$5:$D$40,Assumptions!$BC125)),"")</f>
        <v>0</v>
      </c>
      <c r="CI125" s="40">
        <f>IFERROR(ABS(SUMIFS('TRA balance'!AJ$5:AJ$40,'TRA balance'!$C$5:$C$40,Assumptions!$BB125,'TRA balance'!$D$5:$D$40,Assumptions!$BC125)),"")</f>
        <v>30.7200002328</v>
      </c>
      <c r="CJ125" s="40">
        <f>IFERROR(ABS(SUMIFS('TRA balance'!AK$5:AK$40,'TRA balance'!$C$5:$C$40,Assumptions!$BB125,'TRA balance'!$D$5:$D$40,Assumptions!$BC125)),"")</f>
        <v>27.6513186672</v>
      </c>
      <c r="CK125" s="40">
        <f>IFERROR(ABS(SUMIFS('TRA balance'!AL$5:AL$40,'TRA balance'!$C$5:$C$40,Assumptions!$BB125,'TRA balance'!$D$5:$D$40,Assumptions!$BC125)),"")</f>
        <v>0</v>
      </c>
      <c r="CL125" s="40">
        <f>IFERROR(ABS(SUMIFS('TRA balance'!AM$5:AM$40,'TRA balance'!$C$5:$C$40,Assumptions!$BB125,'TRA balance'!$D$5:$D$40,Assumptions!$BC125)),"")</f>
        <v>0</v>
      </c>
      <c r="CM125" s="40">
        <f>IFERROR(ABS(SUMIFS('TRA balance'!AN$5:AN$40,'TRA balance'!$C$5:$C$40,Assumptions!$BB125,'TRA balance'!$D$5:$D$40,Assumptions!$BC125)),"")</f>
        <v>0</v>
      </c>
      <c r="CN125" s="40">
        <f>IFERROR(ABS(SUMIFS('TRA balance'!AO$5:AO$40,'TRA balance'!$C$5:$C$40,Assumptions!$BB125,'TRA balance'!$D$5:$D$40,Assumptions!$BC125)),"")</f>
        <v>0</v>
      </c>
      <c r="CO125" s="40">
        <f>IFERROR(ABS(SUMIFS('TRA balance'!AP$5:AP$40,'TRA balance'!$C$5:$C$40,Assumptions!$BB125,'TRA balance'!$D$5:$D$40,Assumptions!$BC125)),"")</f>
        <v>0</v>
      </c>
      <c r="CP125" s="40">
        <f>IFERROR(ABS(SUMIFS('TRA balance'!AQ$5:AQ$40,'TRA balance'!$C$5:$C$40,Assumptions!$BB125,'TRA balance'!$D$5:$D$40,Assumptions!$BC125)),"")</f>
        <v>0</v>
      </c>
      <c r="CQ125" s="40">
        <f>IFERROR(ABS(SUMIFS('TRA balance'!AR$5:AR$40,'TRA balance'!$C$5:$C$40,Assumptions!$BB125,'TRA balance'!$D$5:$D$40,Assumptions!$BC125)),"")</f>
        <v>0</v>
      </c>
      <c r="CR125" s="40">
        <f>IFERROR(ABS(SUMIFS('TRA balance'!AS$5:AS$40,'TRA balance'!$C$5:$C$40,Assumptions!$BB125,'TRA balance'!$D$5:$D$40,Assumptions!$BC125)),"")</f>
        <v>0</v>
      </c>
      <c r="CS125" s="40">
        <f>IFERROR(ABS(SUMIFS('TRA balance'!AT$5:AT$40,'TRA balance'!$C$5:$C$40,Assumptions!$BB125,'TRA balance'!$D$5:$D$40,Assumptions!$BC125)),"")</f>
        <v>0</v>
      </c>
      <c r="CT125" s="40">
        <f>IFERROR(ABS(SUMIFS('TRA balance'!AU$5:AU$40,'TRA balance'!$C$5:$C$40,Assumptions!$BB125,'TRA balance'!$D$5:$D$40,Assumptions!$BC125)),"")</f>
        <v>0</v>
      </c>
      <c r="CU125" s="40">
        <f>IFERROR(ABS(SUMIFS('TRA balance'!AV$5:AV$40,'TRA balance'!$C$5:$C$40,Assumptions!$BB125,'TRA balance'!$D$5:$D$40,Assumptions!$BC125)),"")</f>
        <v>0</v>
      </c>
      <c r="CV125" s="40">
        <f>IFERROR(ABS(SUMIFS('TRA balance'!AW$5:AW$40,'TRA balance'!$C$5:$C$40,Assumptions!$BB125,'TRA balance'!$D$5:$D$40,Assumptions!$BC125)),"")</f>
        <v>0</v>
      </c>
      <c r="CW125" s="40">
        <f>IFERROR(ABS(SUMIFS('TRA balance'!AX$5:AX$40,'TRA balance'!$C$5:$C$40,Assumptions!$BB125,'TRA balance'!$D$5:$D$40,Assumptions!$BC125)),"")</f>
        <v>0</v>
      </c>
      <c r="CX125" s="38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8" t="s">
        <v>88</v>
      </c>
      <c r="BC126" s="38" t="s">
        <v>72</v>
      </c>
      <c r="BD126" s="40">
        <f>IFERROR(ABS(SUMIFS('TRA balance'!E$5:E$40,'TRA balance'!$C$5:$C$40,Assumptions!$BB126,'TRA balance'!$D$5:$D$40,Assumptions!$BC126)),"")</f>
        <v>0</v>
      </c>
      <c r="BE126" s="40">
        <f>IFERROR(ABS(SUMIFS('TRA balance'!F$5:F$40,'TRA balance'!$C$5:$C$40,Assumptions!$BB126,'TRA balance'!$D$5:$D$40,Assumptions!$BC126)),"")</f>
        <v>0</v>
      </c>
      <c r="BF126" s="40">
        <f>IFERROR(ABS(SUMIFS('TRA balance'!G$5:G$40,'TRA balance'!$C$5:$C$40,Assumptions!$BB126,'TRA balance'!$D$5:$D$40,Assumptions!$BC126)),"")</f>
        <v>0</v>
      </c>
      <c r="BG126" s="40">
        <f>IFERROR(ABS(SUMIFS('TRA balance'!H$5:H$40,'TRA balance'!$C$5:$C$40,Assumptions!$BB126,'TRA balance'!$D$5:$D$40,Assumptions!$BC126)),"")</f>
        <v>0</v>
      </c>
      <c r="BH126" s="40">
        <f>IFERROR(ABS(SUMIFS('TRA balance'!I$5:I$40,'TRA balance'!$C$5:$C$40,Assumptions!$BB126,'TRA balance'!$D$5:$D$40,Assumptions!$BC126)),"")</f>
        <v>0</v>
      </c>
      <c r="BI126" s="40">
        <f>IFERROR(ABS(SUMIFS('TRA balance'!J$5:J$40,'TRA balance'!$C$5:$C$40,Assumptions!$BB126,'TRA balance'!$D$5:$D$40,Assumptions!$BC126)),"")</f>
        <v>0</v>
      </c>
      <c r="BJ126" s="40">
        <f>IFERROR(ABS(SUMIFS('TRA balance'!K$5:K$40,'TRA balance'!$C$5:$C$40,Assumptions!$BB126,'TRA balance'!$D$5:$D$40,Assumptions!$BC126)),"")</f>
        <v>0</v>
      </c>
      <c r="BK126" s="40">
        <f>IFERROR(ABS(SUMIFS('TRA balance'!L$5:L$40,'TRA balance'!$C$5:$C$40,Assumptions!$BB126,'TRA balance'!$D$5:$D$40,Assumptions!$BC126)),"")</f>
        <v>0</v>
      </c>
      <c r="BL126" s="40">
        <f>IFERROR(ABS(SUMIFS('TRA balance'!M$5:M$40,'TRA balance'!$C$5:$C$40,Assumptions!$BB126,'TRA balance'!$D$5:$D$40,Assumptions!$BC126)),"")</f>
        <v>0</v>
      </c>
      <c r="BM126" s="40">
        <f>IFERROR(ABS(SUMIFS('TRA balance'!N$5:N$40,'TRA balance'!$C$5:$C$40,Assumptions!$BB126,'TRA balance'!$D$5:$D$40,Assumptions!$BC126)),"")</f>
        <v>0</v>
      </c>
      <c r="BN126" s="40">
        <f>IFERROR(ABS(SUMIFS('TRA balance'!O$5:O$40,'TRA balance'!$C$5:$C$40,Assumptions!$BB126,'TRA balance'!$D$5:$D$40,Assumptions!$BC126)),"")</f>
        <v>0</v>
      </c>
      <c r="BO126" s="40">
        <f>IFERROR(ABS(SUMIFS('TRA balance'!P$5:P$40,'TRA balance'!$C$5:$C$40,Assumptions!$BB126,'TRA balance'!$D$5:$D$40,Assumptions!$BC126)),"")</f>
        <v>0</v>
      </c>
      <c r="BP126" s="40">
        <f>IFERROR(ABS(SUMIFS('TRA balance'!Q$5:Q$40,'TRA balance'!$C$5:$C$40,Assumptions!$BB126,'TRA balance'!$D$5:$D$40,Assumptions!$BC126)),"")</f>
        <v>0</v>
      </c>
      <c r="BQ126" s="40">
        <f>IFERROR(ABS(SUMIFS('TRA balance'!R$5:R$40,'TRA balance'!$C$5:$C$40,Assumptions!$BB126,'TRA balance'!$D$5:$D$40,Assumptions!$BC126)),"")</f>
        <v>0</v>
      </c>
      <c r="BR126" s="40">
        <f>IFERROR(ABS(SUMIFS('TRA balance'!S$5:S$40,'TRA balance'!$C$5:$C$40,Assumptions!$BB126,'TRA balance'!$D$5:$D$40,Assumptions!$BC126)),"")</f>
        <v>0</v>
      </c>
      <c r="BS126" s="40">
        <f>IFERROR(ABS(SUMIFS('TRA balance'!T$5:T$40,'TRA balance'!$C$5:$C$40,Assumptions!$BB126,'TRA balance'!$D$5:$D$40,Assumptions!$BC126)),"")</f>
        <v>0</v>
      </c>
      <c r="BT126" s="40">
        <f>IFERROR(ABS(SUMIFS('TRA balance'!U$5:U$40,'TRA balance'!$C$5:$C$40,Assumptions!$BB126,'TRA balance'!$D$5:$D$40,Assumptions!$BC126)),"")</f>
        <v>0</v>
      </c>
      <c r="BU126" s="40">
        <f>IFERROR(ABS(SUMIFS('TRA balance'!V$5:V$40,'TRA balance'!$C$5:$C$40,Assumptions!$BB126,'TRA balance'!$D$5:$D$40,Assumptions!$BC126)),"")</f>
        <v>0</v>
      </c>
      <c r="BV126" s="40">
        <f>IFERROR(ABS(SUMIFS('TRA balance'!W$5:W$40,'TRA balance'!$C$5:$C$40,Assumptions!$BB126,'TRA balance'!$D$5:$D$40,Assumptions!$BC126)),"")</f>
        <v>0</v>
      </c>
      <c r="BW126" s="40">
        <f>IFERROR(ABS(SUMIFS('TRA balance'!X$5:X$40,'TRA balance'!$C$5:$C$40,Assumptions!$BB126,'TRA balance'!$D$5:$D$40,Assumptions!$BC126)),"")</f>
        <v>0</v>
      </c>
      <c r="BX126" s="40">
        <f>IFERROR(ABS(SUMIFS('TRA balance'!Y$5:Y$40,'TRA balance'!$C$5:$C$40,Assumptions!$BB126,'TRA balance'!$D$5:$D$40,Assumptions!$BC126)),"")</f>
        <v>0</v>
      </c>
      <c r="BY126" s="40">
        <f>IFERROR(ABS(SUMIFS('TRA balance'!Z$5:Z$40,'TRA balance'!$C$5:$C$40,Assumptions!$BB126,'TRA balance'!$D$5:$D$40,Assumptions!$BC126)),"")</f>
        <v>0</v>
      </c>
      <c r="BZ126" s="40">
        <f>IFERROR(ABS(SUMIFS('TRA balance'!AA$5:AA$40,'TRA balance'!$C$5:$C$40,Assumptions!$BB126,'TRA balance'!$D$5:$D$40,Assumptions!$BC126)),"")</f>
        <v>0</v>
      </c>
      <c r="CA126" s="40">
        <f>IFERROR(ABS(SUMIFS('TRA balance'!AB$5:AB$40,'TRA balance'!$C$5:$C$40,Assumptions!$BB126,'TRA balance'!$D$5:$D$40,Assumptions!$BC126)),"")</f>
        <v>0</v>
      </c>
      <c r="CB126" s="40">
        <f>IFERROR(ABS(SUMIFS('TRA balance'!AC$5:AC$40,'TRA balance'!$C$5:$C$40,Assumptions!$BB126,'TRA balance'!$D$5:$D$40,Assumptions!$BC126)),"")</f>
        <v>6.9025133916</v>
      </c>
      <c r="CC126" s="40">
        <f>IFERROR(ABS(SUMIFS('TRA balance'!AD$5:AD$40,'TRA balance'!$C$5:$C$40,Assumptions!$BB126,'TRA balance'!$D$5:$D$40,Assumptions!$BC126)),"")</f>
        <v>0</v>
      </c>
      <c r="CD126" s="40">
        <f>IFERROR(ABS(SUMIFS('TRA balance'!AE$5:AE$40,'TRA balance'!$C$5:$C$40,Assumptions!$BB126,'TRA balance'!$D$5:$D$40,Assumptions!$BC126)),"")</f>
        <v>0</v>
      </c>
      <c r="CE126" s="40">
        <f>IFERROR(ABS(SUMIFS('TRA balance'!AF$5:AF$40,'TRA balance'!$C$5:$C$40,Assumptions!$BB126,'TRA balance'!$D$5:$D$40,Assumptions!$BC126)),"")</f>
        <v>0</v>
      </c>
      <c r="CF126" s="40">
        <f>IFERROR(ABS(SUMIFS('TRA balance'!AG$5:AG$40,'TRA balance'!$C$5:$C$40,Assumptions!$BB126,'TRA balance'!$D$5:$D$40,Assumptions!$BC126)),"")</f>
        <v>0</v>
      </c>
      <c r="CG126" s="40">
        <f>IFERROR(ABS(SUMIFS('TRA balance'!AH$5:AH$40,'TRA balance'!$C$5:$C$40,Assumptions!$BB126,'TRA balance'!$D$5:$D$40,Assumptions!$BC126)),"")</f>
        <v>0</v>
      </c>
      <c r="CH126" s="40">
        <f>IFERROR(ABS(SUMIFS('TRA balance'!AI$5:AI$40,'TRA balance'!$C$5:$C$40,Assumptions!$BB126,'TRA balance'!$D$5:$D$40,Assumptions!$BC126)),"")</f>
        <v>0</v>
      </c>
      <c r="CI126" s="40">
        <f>IFERROR(ABS(SUMIFS('TRA balance'!AJ$5:AJ$40,'TRA balance'!$C$5:$C$40,Assumptions!$BB126,'TRA balance'!$D$5:$D$40,Assumptions!$BC126)),"")</f>
        <v>0</v>
      </c>
      <c r="CJ126" s="40">
        <f>IFERROR(ABS(SUMIFS('TRA balance'!AK$5:AK$40,'TRA balance'!$C$5:$C$40,Assumptions!$BB126,'TRA balance'!$D$5:$D$40,Assumptions!$BC126)),"")</f>
        <v>0</v>
      </c>
      <c r="CK126" s="40">
        <f>IFERROR(ABS(SUMIFS('TRA balance'!AL$5:AL$40,'TRA balance'!$C$5:$C$40,Assumptions!$BB126,'TRA balance'!$D$5:$D$40,Assumptions!$BC126)),"")</f>
        <v>0</v>
      </c>
      <c r="CL126" s="40">
        <f>IFERROR(ABS(SUMIFS('TRA balance'!AM$5:AM$40,'TRA balance'!$C$5:$C$40,Assumptions!$BB126,'TRA balance'!$D$5:$D$40,Assumptions!$BC126)),"")</f>
        <v>0</v>
      </c>
      <c r="CM126" s="40">
        <f>IFERROR(ABS(SUMIFS('TRA balance'!AN$5:AN$40,'TRA balance'!$C$5:$C$40,Assumptions!$BB126,'TRA balance'!$D$5:$D$40,Assumptions!$BC126)),"")</f>
        <v>0</v>
      </c>
      <c r="CN126" s="40">
        <f>IFERROR(ABS(SUMIFS('TRA balance'!AO$5:AO$40,'TRA balance'!$C$5:$C$40,Assumptions!$BB126,'TRA balance'!$D$5:$D$40,Assumptions!$BC126)),"")</f>
        <v>0</v>
      </c>
      <c r="CO126" s="40">
        <f>IFERROR(ABS(SUMIFS('TRA balance'!AP$5:AP$40,'TRA balance'!$C$5:$C$40,Assumptions!$BB126,'TRA balance'!$D$5:$D$40,Assumptions!$BC126)),"")</f>
        <v>0</v>
      </c>
      <c r="CP126" s="40">
        <f>IFERROR(ABS(SUMIFS('TRA balance'!AQ$5:AQ$40,'TRA balance'!$C$5:$C$40,Assumptions!$BB126,'TRA balance'!$D$5:$D$40,Assumptions!$BC126)),"")</f>
        <v>0</v>
      </c>
      <c r="CQ126" s="40">
        <f>IFERROR(ABS(SUMIFS('TRA balance'!AR$5:AR$40,'TRA balance'!$C$5:$C$40,Assumptions!$BB126,'TRA balance'!$D$5:$D$40,Assumptions!$BC126)),"")</f>
        <v>0</v>
      </c>
      <c r="CR126" s="40">
        <f>IFERROR(ABS(SUMIFS('TRA balance'!AS$5:AS$40,'TRA balance'!$C$5:$C$40,Assumptions!$BB126,'TRA balance'!$D$5:$D$40,Assumptions!$BC126)),"")</f>
        <v>0</v>
      </c>
      <c r="CS126" s="40">
        <f>IFERROR(ABS(SUMIFS('TRA balance'!AT$5:AT$40,'TRA balance'!$C$5:$C$40,Assumptions!$BB126,'TRA balance'!$D$5:$D$40,Assumptions!$BC126)),"")</f>
        <v>0</v>
      </c>
      <c r="CT126" s="40">
        <f>IFERROR(ABS(SUMIFS('TRA balance'!AU$5:AU$40,'TRA balance'!$C$5:$C$40,Assumptions!$BB126,'TRA balance'!$D$5:$D$40,Assumptions!$BC126)),"")</f>
        <v>0</v>
      </c>
      <c r="CU126" s="40">
        <f>IFERROR(ABS(SUMIFS('TRA balance'!AV$5:AV$40,'TRA balance'!$C$5:$C$40,Assumptions!$BB126,'TRA balance'!$D$5:$D$40,Assumptions!$BC126)),"")</f>
        <v>0</v>
      </c>
      <c r="CV126" s="40">
        <f>IFERROR(ABS(SUMIFS('TRA balance'!AW$5:AW$40,'TRA balance'!$C$5:$C$40,Assumptions!$BB126,'TRA balance'!$D$5:$D$40,Assumptions!$BC126)),"")</f>
        <v>0</v>
      </c>
      <c r="CW126" s="40">
        <f>IFERROR(ABS(SUMIFS('TRA balance'!AX$5:AX$40,'TRA balance'!$C$5:$C$40,Assumptions!$BB126,'TRA balance'!$D$5:$D$40,Assumptions!$BC126)),"")</f>
        <v>0</v>
      </c>
      <c r="CX126" s="38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8" t="s">
        <v>88</v>
      </c>
      <c r="BC127" s="38" t="s">
        <v>52</v>
      </c>
      <c r="BD127" s="40">
        <f>IFERROR(ABS(SUMIFS('TRA balance'!E$5:E$40,'TRA balance'!$C$5:$C$40,Assumptions!$BB127,'TRA balance'!$D$5:$D$40,Assumptions!$BC127)),"")</f>
        <v>0</v>
      </c>
      <c r="BE127" s="40">
        <f>IFERROR(ABS(SUMIFS('TRA balance'!F$5:F$40,'TRA balance'!$C$5:$C$40,Assumptions!$BB127,'TRA balance'!$D$5:$D$40,Assumptions!$BC127)),"")</f>
        <v>0</v>
      </c>
      <c r="BF127" s="40">
        <f>IFERROR(ABS(SUMIFS('TRA balance'!G$5:G$40,'TRA balance'!$C$5:$C$40,Assumptions!$BB127,'TRA balance'!$D$5:$D$40,Assumptions!$BC127)),"")</f>
        <v>0</v>
      </c>
      <c r="BG127" s="40">
        <f>IFERROR(ABS(SUMIFS('TRA balance'!H$5:H$40,'TRA balance'!$C$5:$C$40,Assumptions!$BB127,'TRA balance'!$D$5:$D$40,Assumptions!$BC127)),"")</f>
        <v>0</v>
      </c>
      <c r="BH127" s="40">
        <f>IFERROR(ABS(SUMIFS('TRA balance'!I$5:I$40,'TRA balance'!$C$5:$C$40,Assumptions!$BB127,'TRA balance'!$D$5:$D$40,Assumptions!$BC127)),"")</f>
        <v>0.8522985024</v>
      </c>
      <c r="BI127" s="40">
        <f>IFERROR(ABS(SUMIFS('TRA balance'!J$5:J$40,'TRA balance'!$C$5:$C$40,Assumptions!$BB127,'TRA balance'!$D$5:$D$40,Assumptions!$BC127)),"")</f>
        <v>2.8695364236</v>
      </c>
      <c r="BJ127" s="40">
        <f>IFERROR(ABS(SUMIFS('TRA balance'!K$5:K$40,'TRA balance'!$C$5:$C$40,Assumptions!$BB127,'TRA balance'!$D$5:$D$40,Assumptions!$BC127)),"")</f>
        <v>0</v>
      </c>
      <c r="BK127" s="40">
        <f>IFERROR(ABS(SUMIFS('TRA balance'!L$5:L$40,'TRA balance'!$C$5:$C$40,Assumptions!$BB127,'TRA balance'!$D$5:$D$40,Assumptions!$BC127)),"")</f>
        <v>0</v>
      </c>
      <c r="BL127" s="40">
        <f>IFERROR(ABS(SUMIFS('TRA balance'!M$5:M$40,'TRA balance'!$C$5:$C$40,Assumptions!$BB127,'TRA balance'!$D$5:$D$40,Assumptions!$BC127)),"")</f>
        <v>0</v>
      </c>
      <c r="BM127" s="40">
        <f>IFERROR(ABS(SUMIFS('TRA balance'!N$5:N$40,'TRA balance'!$C$5:$C$40,Assumptions!$BB127,'TRA balance'!$D$5:$D$40,Assumptions!$BC127)),"")</f>
        <v>0</v>
      </c>
      <c r="BN127" s="40">
        <f>IFERROR(ABS(SUMIFS('TRA balance'!O$5:O$40,'TRA balance'!$C$5:$C$40,Assumptions!$BB127,'TRA balance'!$D$5:$D$40,Assumptions!$BC127)),"")</f>
        <v>0</v>
      </c>
      <c r="BO127" s="40">
        <f>IFERROR(ABS(SUMIFS('TRA balance'!P$5:P$40,'TRA balance'!$C$5:$C$40,Assumptions!$BB127,'TRA balance'!$D$5:$D$40,Assumptions!$BC127)),"")</f>
        <v>0</v>
      </c>
      <c r="BP127" s="40">
        <f>IFERROR(ABS(SUMIFS('TRA balance'!Q$5:Q$40,'TRA balance'!$C$5:$C$40,Assumptions!$BB127,'TRA balance'!$D$5:$D$40,Assumptions!$BC127)),"")</f>
        <v>0</v>
      </c>
      <c r="BQ127" s="40">
        <f>IFERROR(ABS(SUMIFS('TRA balance'!R$5:R$40,'TRA balance'!$C$5:$C$40,Assumptions!$BB127,'TRA balance'!$D$5:$D$40,Assumptions!$BC127)),"")</f>
        <v>0</v>
      </c>
      <c r="BR127" s="40">
        <f>IFERROR(ABS(SUMIFS('TRA balance'!S$5:S$40,'TRA balance'!$C$5:$C$40,Assumptions!$BB127,'TRA balance'!$D$5:$D$40,Assumptions!$BC127)),"")</f>
        <v>0</v>
      </c>
      <c r="BS127" s="40">
        <f>IFERROR(ABS(SUMIFS('TRA balance'!T$5:T$40,'TRA balance'!$C$5:$C$40,Assumptions!$BB127,'TRA balance'!$D$5:$D$40,Assumptions!$BC127)),"")</f>
        <v>0</v>
      </c>
      <c r="BT127" s="40">
        <f>IFERROR(ABS(SUMIFS('TRA balance'!U$5:U$40,'TRA balance'!$C$5:$C$40,Assumptions!$BB127,'TRA balance'!$D$5:$D$40,Assumptions!$BC127)),"")</f>
        <v>0</v>
      </c>
      <c r="BU127" s="40">
        <f>IFERROR(ABS(SUMIFS('TRA balance'!V$5:V$40,'TRA balance'!$C$5:$C$40,Assumptions!$BB127,'TRA balance'!$D$5:$D$40,Assumptions!$BC127)),"")</f>
        <v>0</v>
      </c>
      <c r="BV127" s="40">
        <f>IFERROR(ABS(SUMIFS('TRA balance'!W$5:W$40,'TRA balance'!$C$5:$C$40,Assumptions!$BB127,'TRA balance'!$D$5:$D$40,Assumptions!$BC127)),"")</f>
        <v>0</v>
      </c>
      <c r="BW127" s="40">
        <f>IFERROR(ABS(SUMIFS('TRA balance'!X$5:X$40,'TRA balance'!$C$5:$C$40,Assumptions!$BB127,'TRA balance'!$D$5:$D$40,Assumptions!$BC127)),"")</f>
        <v>0</v>
      </c>
      <c r="BX127" s="40">
        <f>IFERROR(ABS(SUMIFS('TRA balance'!Y$5:Y$40,'TRA balance'!$C$5:$C$40,Assumptions!$BB127,'TRA balance'!$D$5:$D$40,Assumptions!$BC127)),"")</f>
        <v>0</v>
      </c>
      <c r="BY127" s="40">
        <f>IFERROR(ABS(SUMIFS('TRA balance'!Z$5:Z$40,'TRA balance'!$C$5:$C$40,Assumptions!$BB127,'TRA balance'!$D$5:$D$40,Assumptions!$BC127)),"")</f>
        <v>0</v>
      </c>
      <c r="BZ127" s="40">
        <f>IFERROR(ABS(SUMIFS('TRA balance'!AA$5:AA$40,'TRA balance'!$C$5:$C$40,Assumptions!$BB127,'TRA balance'!$D$5:$D$40,Assumptions!$BC127)),"")</f>
        <v>2.2015199232</v>
      </c>
      <c r="CA127" s="40">
        <f>IFERROR(ABS(SUMIFS('TRA balance'!AB$5:AB$40,'TRA balance'!$C$5:$C$40,Assumptions!$BB127,'TRA balance'!$D$5:$D$40,Assumptions!$BC127)),"")</f>
        <v>0</v>
      </c>
      <c r="CB127" s="40">
        <f>IFERROR(ABS(SUMIFS('TRA balance'!AC$5:AC$40,'TRA balance'!$C$5:$C$40,Assumptions!$BB127,'TRA balance'!$D$5:$D$40,Assumptions!$BC127)),"")</f>
        <v>0</v>
      </c>
      <c r="CC127" s="40">
        <f>IFERROR(ABS(SUMIFS('TRA balance'!AD$5:AD$40,'TRA balance'!$C$5:$C$40,Assumptions!$BB127,'TRA balance'!$D$5:$D$40,Assumptions!$BC127)),"")</f>
        <v>0</v>
      </c>
      <c r="CD127" s="40">
        <f>IFERROR(ABS(SUMIFS('TRA balance'!AE$5:AE$40,'TRA balance'!$C$5:$C$40,Assumptions!$BB127,'TRA balance'!$D$5:$D$40,Assumptions!$BC127)),"")</f>
        <v>0</v>
      </c>
      <c r="CE127" s="40">
        <f>IFERROR(ABS(SUMIFS('TRA balance'!AF$5:AF$40,'TRA balance'!$C$5:$C$40,Assumptions!$BB127,'TRA balance'!$D$5:$D$40,Assumptions!$BC127)),"")</f>
        <v>0</v>
      </c>
      <c r="CF127" s="40">
        <f>IFERROR(ABS(SUMIFS('TRA balance'!AG$5:AG$40,'TRA balance'!$C$5:$C$40,Assumptions!$BB127,'TRA balance'!$D$5:$D$40,Assumptions!$BC127)),"")</f>
        <v>1.4913004788</v>
      </c>
      <c r="CG127" s="40">
        <f>IFERROR(ABS(SUMIFS('TRA balance'!AH$5:AH$40,'TRA balance'!$C$5:$C$40,Assumptions!$BB127,'TRA balance'!$D$5:$D$40,Assumptions!$BC127)),"")</f>
        <v>0.74190096</v>
      </c>
      <c r="CH127" s="40">
        <f>IFERROR(ABS(SUMIFS('TRA balance'!AI$5:AI$40,'TRA balance'!$C$5:$C$40,Assumptions!$BB127,'TRA balance'!$D$5:$D$40,Assumptions!$BC127)),"")</f>
        <v>0</v>
      </c>
      <c r="CI127" s="40">
        <f>IFERROR(ABS(SUMIFS('TRA balance'!AJ$5:AJ$40,'TRA balance'!$C$5:$C$40,Assumptions!$BB127,'TRA balance'!$D$5:$D$40,Assumptions!$BC127)),"")</f>
        <v>0</v>
      </c>
      <c r="CJ127" s="40">
        <f>IFERROR(ABS(SUMIFS('TRA balance'!AK$5:AK$40,'TRA balance'!$C$5:$C$40,Assumptions!$BB127,'TRA balance'!$D$5:$D$40,Assumptions!$BC127)),"")</f>
        <v>0</v>
      </c>
      <c r="CK127" s="40">
        <f>IFERROR(ABS(SUMIFS('TRA balance'!AL$5:AL$40,'TRA balance'!$C$5:$C$40,Assumptions!$BB127,'TRA balance'!$D$5:$D$40,Assumptions!$BC127)),"")</f>
        <v>0</v>
      </c>
      <c r="CL127" s="40">
        <f>IFERROR(ABS(SUMIFS('TRA balance'!AM$5:AM$40,'TRA balance'!$C$5:$C$40,Assumptions!$BB127,'TRA balance'!$D$5:$D$40,Assumptions!$BC127)),"")</f>
        <v>0</v>
      </c>
      <c r="CM127" s="40">
        <f>IFERROR(ABS(SUMIFS('TRA balance'!AN$5:AN$40,'TRA balance'!$C$5:$C$40,Assumptions!$BB127,'TRA balance'!$D$5:$D$40,Assumptions!$BC127)),"")</f>
        <v>0</v>
      </c>
      <c r="CN127" s="40">
        <f>IFERROR(ABS(SUMIFS('TRA balance'!AO$5:AO$40,'TRA balance'!$C$5:$C$40,Assumptions!$BB127,'TRA balance'!$D$5:$D$40,Assumptions!$BC127)),"")</f>
        <v>0</v>
      </c>
      <c r="CO127" s="40">
        <f>IFERROR(ABS(SUMIFS('TRA balance'!AP$5:AP$40,'TRA balance'!$C$5:$C$40,Assumptions!$BB127,'TRA balance'!$D$5:$D$40,Assumptions!$BC127)),"")</f>
        <v>0</v>
      </c>
      <c r="CP127" s="40">
        <f>IFERROR(ABS(SUMIFS('TRA balance'!AQ$5:AQ$40,'TRA balance'!$C$5:$C$40,Assumptions!$BB127,'TRA balance'!$D$5:$D$40,Assumptions!$BC127)),"")</f>
        <v>0</v>
      </c>
      <c r="CQ127" s="40">
        <f>IFERROR(ABS(SUMIFS('TRA balance'!AR$5:AR$40,'TRA balance'!$C$5:$C$40,Assumptions!$BB127,'TRA balance'!$D$5:$D$40,Assumptions!$BC127)),"")</f>
        <v>0</v>
      </c>
      <c r="CR127" s="40">
        <f>IFERROR(ABS(SUMIFS('TRA balance'!AS$5:AS$40,'TRA balance'!$C$5:$C$40,Assumptions!$BB127,'TRA balance'!$D$5:$D$40,Assumptions!$BC127)),"")</f>
        <v>0</v>
      </c>
      <c r="CS127" s="40">
        <f>IFERROR(ABS(SUMIFS('TRA balance'!AT$5:AT$40,'TRA balance'!$C$5:$C$40,Assumptions!$BB127,'TRA balance'!$D$5:$D$40,Assumptions!$BC127)),"")</f>
        <v>0</v>
      </c>
      <c r="CT127" s="40">
        <f>IFERROR(ABS(SUMIFS('TRA balance'!AU$5:AU$40,'TRA balance'!$C$5:$C$40,Assumptions!$BB127,'TRA balance'!$D$5:$D$40,Assumptions!$BC127)),"")</f>
        <v>0</v>
      </c>
      <c r="CU127" s="40">
        <f>IFERROR(ABS(SUMIFS('TRA balance'!AV$5:AV$40,'TRA balance'!$C$5:$C$40,Assumptions!$BB127,'TRA balance'!$D$5:$D$40,Assumptions!$BC127)),"")</f>
        <v>0</v>
      </c>
      <c r="CV127" s="40">
        <f>IFERROR(ABS(SUMIFS('TRA balance'!AW$5:AW$40,'TRA balance'!$C$5:$C$40,Assumptions!$BB127,'TRA balance'!$D$5:$D$40,Assumptions!$BC127)),"")</f>
        <v>0</v>
      </c>
      <c r="CW127" s="40">
        <f>IFERROR(ABS(SUMIFS('TRA balance'!AX$5:AX$40,'TRA balance'!$C$5:$C$40,Assumptions!$BB127,'TRA balance'!$D$5:$D$40,Assumptions!$BC127)),"")</f>
        <v>0</v>
      </c>
      <c r="CX127" s="38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8" t="s">
        <v>41</v>
      </c>
      <c r="BC128" s="38" t="s">
        <v>42</v>
      </c>
      <c r="BD128" s="40">
        <f>IFERROR(ABS(SUMIFS('TRA balance'!E$5:E$40,'TRA balance'!$C$5:$C$40,Assumptions!$BB128,'TRA balance'!$D$5:$D$40,Assumptions!$BC128)),"")</f>
        <v>0</v>
      </c>
      <c r="BE128" s="40">
        <f>IFERROR(ABS(SUMIFS('TRA balance'!F$5:F$40,'TRA balance'!$C$5:$C$40,Assumptions!$BB128,'TRA balance'!$D$5:$D$40,Assumptions!$BC128)),"")</f>
        <v>0</v>
      </c>
      <c r="BF128" s="40">
        <f>IFERROR(ABS(SUMIFS('TRA balance'!G$5:G$40,'TRA balance'!$C$5:$C$40,Assumptions!$BB128,'TRA balance'!$D$5:$D$40,Assumptions!$BC128)),"")</f>
        <v>0</v>
      </c>
      <c r="BG128" s="40">
        <f>IFERROR(ABS(SUMIFS('TRA balance'!H$5:H$40,'TRA balance'!$C$5:$C$40,Assumptions!$BB128,'TRA balance'!$D$5:$D$40,Assumptions!$BC128)),"")</f>
        <v>0</v>
      </c>
      <c r="BH128" s="40">
        <f>IFERROR(ABS(SUMIFS('TRA balance'!I$5:I$40,'TRA balance'!$C$5:$C$40,Assumptions!$BB128,'TRA balance'!$D$5:$D$40,Assumptions!$BC128)),"")</f>
        <v>0</v>
      </c>
      <c r="BI128" s="40">
        <f>IFERROR(ABS(SUMIFS('TRA balance'!J$5:J$40,'TRA balance'!$C$5:$C$40,Assumptions!$BB128,'TRA balance'!$D$5:$D$40,Assumptions!$BC128)),"")</f>
        <v>0</v>
      </c>
      <c r="BJ128" s="40">
        <f>IFERROR(ABS(SUMIFS('TRA balance'!K$5:K$40,'TRA balance'!$C$5:$C$40,Assumptions!$BB128,'TRA balance'!$D$5:$D$40,Assumptions!$BC128)),"")</f>
        <v>6.1607003544</v>
      </c>
      <c r="BK128" s="40">
        <f>IFERROR(ABS(SUMIFS('TRA balance'!L$5:L$40,'TRA balance'!$C$5:$C$40,Assumptions!$BB128,'TRA balance'!$D$5:$D$40,Assumptions!$BC128)),"")</f>
        <v>0</v>
      </c>
      <c r="BL128" s="40">
        <f>IFERROR(ABS(SUMIFS('TRA balance'!M$5:M$40,'TRA balance'!$C$5:$C$40,Assumptions!$BB128,'TRA balance'!$D$5:$D$40,Assumptions!$BC128)),"")</f>
        <v>0</v>
      </c>
      <c r="BM128" s="40">
        <f>IFERROR(ABS(SUMIFS('TRA balance'!N$5:N$40,'TRA balance'!$C$5:$C$40,Assumptions!$BB128,'TRA balance'!$D$5:$D$40,Assumptions!$BC128)),"")</f>
        <v>0</v>
      </c>
      <c r="BN128" s="40">
        <f>IFERROR(ABS(SUMIFS('TRA balance'!O$5:O$40,'TRA balance'!$C$5:$C$40,Assumptions!$BB128,'TRA balance'!$D$5:$D$40,Assumptions!$BC128)),"")</f>
        <v>0</v>
      </c>
      <c r="BO128" s="40">
        <f>IFERROR(ABS(SUMIFS('TRA balance'!P$5:P$40,'TRA balance'!$C$5:$C$40,Assumptions!$BB128,'TRA balance'!$D$5:$D$40,Assumptions!$BC128)),"")</f>
        <v>0</v>
      </c>
      <c r="BP128" s="40">
        <f>IFERROR(ABS(SUMIFS('TRA balance'!Q$5:Q$40,'TRA balance'!$C$5:$C$40,Assumptions!$BB128,'TRA balance'!$D$5:$D$40,Assumptions!$BC128)),"")</f>
        <v>0</v>
      </c>
      <c r="BQ128" s="40">
        <f>IFERROR(ABS(SUMIFS('TRA balance'!R$5:R$40,'TRA balance'!$C$5:$C$40,Assumptions!$BB128,'TRA balance'!$D$5:$D$40,Assumptions!$BC128)),"")</f>
        <v>0</v>
      </c>
      <c r="BR128" s="40">
        <f>IFERROR(ABS(SUMIFS('TRA balance'!S$5:S$40,'TRA balance'!$C$5:$C$40,Assumptions!$BB128,'TRA balance'!$D$5:$D$40,Assumptions!$BC128)),"")</f>
        <v>0</v>
      </c>
      <c r="BS128" s="40">
        <f>IFERROR(ABS(SUMIFS('TRA balance'!T$5:T$40,'TRA balance'!$C$5:$C$40,Assumptions!$BB128,'TRA balance'!$D$5:$D$40,Assumptions!$BC128)),"")</f>
        <v>0</v>
      </c>
      <c r="BT128" s="40">
        <f>IFERROR(ABS(SUMIFS('TRA balance'!U$5:U$40,'TRA balance'!$C$5:$C$40,Assumptions!$BB128,'TRA balance'!$D$5:$D$40,Assumptions!$BC128)),"")</f>
        <v>0</v>
      </c>
      <c r="BU128" s="40">
        <f>IFERROR(ABS(SUMIFS('TRA balance'!V$5:V$40,'TRA balance'!$C$5:$C$40,Assumptions!$BB128,'TRA balance'!$D$5:$D$40,Assumptions!$BC128)),"")</f>
        <v>0</v>
      </c>
      <c r="BV128" s="40">
        <f>IFERROR(ABS(SUMIFS('TRA balance'!W$5:W$40,'TRA balance'!$C$5:$C$40,Assumptions!$BB128,'TRA balance'!$D$5:$D$40,Assumptions!$BC128)),"")</f>
        <v>0</v>
      </c>
      <c r="BW128" s="40">
        <f>IFERROR(ABS(SUMIFS('TRA balance'!X$5:X$40,'TRA balance'!$C$5:$C$40,Assumptions!$BB128,'TRA balance'!$D$5:$D$40,Assumptions!$BC128)),"")</f>
        <v>0</v>
      </c>
      <c r="BX128" s="40">
        <f>IFERROR(ABS(SUMIFS('TRA balance'!Y$5:Y$40,'TRA balance'!$C$5:$C$40,Assumptions!$BB128,'TRA balance'!$D$5:$D$40,Assumptions!$BC128)),"")</f>
        <v>0</v>
      </c>
      <c r="BY128" s="40">
        <f>IFERROR(ABS(SUMIFS('TRA balance'!Z$5:Z$40,'TRA balance'!$C$5:$C$40,Assumptions!$BB128,'TRA balance'!$D$5:$D$40,Assumptions!$BC128)),"")</f>
        <v>2.5819618788</v>
      </c>
      <c r="BZ128" s="40">
        <f>IFERROR(ABS(SUMIFS('TRA balance'!AA$5:AA$40,'TRA balance'!$C$5:$C$40,Assumptions!$BB128,'TRA balance'!$D$5:$D$40,Assumptions!$BC128)),"")</f>
        <v>0</v>
      </c>
      <c r="CA128" s="40">
        <f>IFERROR(ABS(SUMIFS('TRA balance'!AB$5:AB$40,'TRA balance'!$C$5:$C$40,Assumptions!$BB128,'TRA balance'!$D$5:$D$40,Assumptions!$BC128)),"")</f>
        <v>0.023990364</v>
      </c>
      <c r="CB128" s="40">
        <f>IFERROR(ABS(SUMIFS('TRA balance'!AC$5:AC$40,'TRA balance'!$C$5:$C$40,Assumptions!$BB128,'TRA balance'!$D$5:$D$40,Assumptions!$BC128)),"")</f>
        <v>0</v>
      </c>
      <c r="CC128" s="40">
        <f>IFERROR(ABS(SUMIFS('TRA balance'!AD$5:AD$40,'TRA balance'!$C$5:$C$40,Assumptions!$BB128,'TRA balance'!$D$5:$D$40,Assumptions!$BC128)),"")</f>
        <v>0</v>
      </c>
      <c r="CD128" s="40">
        <f>IFERROR(ABS(SUMIFS('TRA balance'!AE$5:AE$40,'TRA balance'!$C$5:$C$40,Assumptions!$BB128,'TRA balance'!$D$5:$D$40,Assumptions!$BC128)),"")</f>
        <v>0</v>
      </c>
      <c r="CE128" s="40">
        <f>IFERROR(ABS(SUMIFS('TRA balance'!AF$5:AF$40,'TRA balance'!$C$5:$C$40,Assumptions!$BB128,'TRA balance'!$D$5:$D$40,Assumptions!$BC128)),"")</f>
        <v>0</v>
      </c>
      <c r="CF128" s="40">
        <f>IFERROR(ABS(SUMIFS('TRA balance'!AG$5:AG$40,'TRA balance'!$C$5:$C$40,Assumptions!$BB128,'TRA balance'!$D$5:$D$40,Assumptions!$BC128)),"")</f>
        <v>0</v>
      </c>
      <c r="CG128" s="40">
        <f>IFERROR(ABS(SUMIFS('TRA balance'!AH$5:AH$40,'TRA balance'!$C$5:$C$40,Assumptions!$BB128,'TRA balance'!$D$5:$D$40,Assumptions!$BC128)),"")</f>
        <v>0</v>
      </c>
      <c r="CH128" s="40">
        <f>IFERROR(ABS(SUMIFS('TRA balance'!AI$5:AI$40,'TRA balance'!$C$5:$C$40,Assumptions!$BB128,'TRA balance'!$D$5:$D$40,Assumptions!$BC128)),"")</f>
        <v>0</v>
      </c>
      <c r="CI128" s="40">
        <f>IFERROR(ABS(SUMIFS('TRA balance'!AJ$5:AJ$40,'TRA balance'!$C$5:$C$40,Assumptions!$BB128,'TRA balance'!$D$5:$D$40,Assumptions!$BC128)),"")</f>
        <v>0</v>
      </c>
      <c r="CJ128" s="40">
        <f>IFERROR(ABS(SUMIFS('TRA balance'!AK$5:AK$40,'TRA balance'!$C$5:$C$40,Assumptions!$BB128,'TRA balance'!$D$5:$D$40,Assumptions!$BC128)),"")</f>
        <v>0</v>
      </c>
      <c r="CK128" s="40">
        <f>IFERROR(ABS(SUMIFS('TRA balance'!AL$5:AL$40,'TRA balance'!$C$5:$C$40,Assumptions!$BB128,'TRA balance'!$D$5:$D$40,Assumptions!$BC128)),"")</f>
        <v>0</v>
      </c>
      <c r="CL128" s="40">
        <f>IFERROR(ABS(SUMIFS('TRA balance'!AM$5:AM$40,'TRA balance'!$C$5:$C$40,Assumptions!$BB128,'TRA balance'!$D$5:$D$40,Assumptions!$BC128)),"")</f>
        <v>0</v>
      </c>
      <c r="CM128" s="40">
        <f>IFERROR(ABS(SUMIFS('TRA balance'!AN$5:AN$40,'TRA balance'!$C$5:$C$40,Assumptions!$BB128,'TRA balance'!$D$5:$D$40,Assumptions!$BC128)),"")</f>
        <v>0</v>
      </c>
      <c r="CN128" s="40">
        <f>IFERROR(ABS(SUMIFS('TRA balance'!AO$5:AO$40,'TRA balance'!$C$5:$C$40,Assumptions!$BB128,'TRA balance'!$D$5:$D$40,Assumptions!$BC128)),"")</f>
        <v>0</v>
      </c>
      <c r="CO128" s="40">
        <f>IFERROR(ABS(SUMIFS('TRA balance'!AP$5:AP$40,'TRA balance'!$C$5:$C$40,Assumptions!$BB128,'TRA balance'!$D$5:$D$40,Assumptions!$BC128)),"")</f>
        <v>0</v>
      </c>
      <c r="CP128" s="40">
        <f>IFERROR(ABS(SUMIFS('TRA balance'!AQ$5:AQ$40,'TRA balance'!$C$5:$C$40,Assumptions!$BB128,'TRA balance'!$D$5:$D$40,Assumptions!$BC128)),"")</f>
        <v>0</v>
      </c>
      <c r="CQ128" s="40">
        <f>IFERROR(ABS(SUMIFS('TRA balance'!AR$5:AR$40,'TRA balance'!$C$5:$C$40,Assumptions!$BB128,'TRA balance'!$D$5:$D$40,Assumptions!$BC128)),"")</f>
        <v>0</v>
      </c>
      <c r="CR128" s="40">
        <f>IFERROR(ABS(SUMIFS('TRA balance'!AS$5:AS$40,'TRA balance'!$C$5:$C$40,Assumptions!$BB128,'TRA balance'!$D$5:$D$40,Assumptions!$BC128)),"")</f>
        <v>0</v>
      </c>
      <c r="CS128" s="40">
        <f>IFERROR(ABS(SUMIFS('TRA balance'!AT$5:AT$40,'TRA balance'!$C$5:$C$40,Assumptions!$BB128,'TRA balance'!$D$5:$D$40,Assumptions!$BC128)),"")</f>
        <v>0</v>
      </c>
      <c r="CT128" s="40">
        <f>IFERROR(ABS(SUMIFS('TRA balance'!AU$5:AU$40,'TRA balance'!$C$5:$C$40,Assumptions!$BB128,'TRA balance'!$D$5:$D$40,Assumptions!$BC128)),"")</f>
        <v>0</v>
      </c>
      <c r="CU128" s="40">
        <f>IFERROR(ABS(SUMIFS('TRA balance'!AV$5:AV$40,'TRA balance'!$C$5:$C$40,Assumptions!$BB128,'TRA balance'!$D$5:$D$40,Assumptions!$BC128)),"")</f>
        <v>0</v>
      </c>
      <c r="CV128" s="40">
        <f>IFERROR(ABS(SUMIFS('TRA balance'!AW$5:AW$40,'TRA balance'!$C$5:$C$40,Assumptions!$BB128,'TRA balance'!$D$5:$D$40,Assumptions!$BC128)),"")</f>
        <v>0</v>
      </c>
      <c r="CW128" s="40">
        <f>IFERROR(ABS(SUMIFS('TRA balance'!AX$5:AX$40,'TRA balance'!$C$5:$C$40,Assumptions!$BB128,'TRA balance'!$D$5:$D$40,Assumptions!$BC128)),"")</f>
        <v>0</v>
      </c>
      <c r="CX128" s="38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8" t="s">
        <v>41</v>
      </c>
      <c r="BC129" s="38" t="s">
        <v>260</v>
      </c>
      <c r="BD129" s="40">
        <f>IFERROR(ABS(SUMIFS('TRA balance'!E$5:E$40,'TRA balance'!$C$5:$C$40,Assumptions!$BB129,'TRA balance'!$D$5:$D$40,Assumptions!$BC129)),"")</f>
        <v>0</v>
      </c>
      <c r="BE129" s="40">
        <f>IFERROR(ABS(SUMIFS('TRA balance'!F$5:F$40,'TRA balance'!$C$5:$C$40,Assumptions!$BB129,'TRA balance'!$D$5:$D$40,Assumptions!$BC129)),"")</f>
        <v>0</v>
      </c>
      <c r="BF129" s="40">
        <f>IFERROR(ABS(SUMIFS('TRA balance'!G$5:G$40,'TRA balance'!$C$5:$C$40,Assumptions!$BB129,'TRA balance'!$D$5:$D$40,Assumptions!$BC129)),"")</f>
        <v>0</v>
      </c>
      <c r="BG129" s="40">
        <f>IFERROR(ABS(SUMIFS('TRA balance'!H$5:H$40,'TRA balance'!$C$5:$C$40,Assumptions!$BB129,'TRA balance'!$D$5:$D$40,Assumptions!$BC129)),"")</f>
        <v>0</v>
      </c>
      <c r="BH129" s="40">
        <f>IFERROR(ABS(SUMIFS('TRA balance'!I$5:I$40,'TRA balance'!$C$5:$C$40,Assumptions!$BB129,'TRA balance'!$D$5:$D$40,Assumptions!$BC129)),"")</f>
        <v>0</v>
      </c>
      <c r="BI129" s="40">
        <f>IFERROR(ABS(SUMIFS('TRA balance'!J$5:J$40,'TRA balance'!$C$5:$C$40,Assumptions!$BB129,'TRA balance'!$D$5:$D$40,Assumptions!$BC129)),"")</f>
        <v>0</v>
      </c>
      <c r="BJ129" s="40">
        <f>IFERROR(ABS(SUMIFS('TRA balance'!K$5:K$40,'TRA balance'!$C$5:$C$40,Assumptions!$BB129,'TRA balance'!$D$5:$D$40,Assumptions!$BC129)),"")</f>
        <v>0</v>
      </c>
      <c r="BK129" s="40">
        <f>IFERROR(ABS(SUMIFS('TRA balance'!L$5:L$40,'TRA balance'!$C$5:$C$40,Assumptions!$BB129,'TRA balance'!$D$5:$D$40,Assumptions!$BC129)),"")</f>
        <v>0</v>
      </c>
      <c r="BL129" s="40">
        <f>IFERROR(ABS(SUMIFS('TRA balance'!M$5:M$40,'TRA balance'!$C$5:$C$40,Assumptions!$BB129,'TRA balance'!$D$5:$D$40,Assumptions!$BC129)),"")</f>
        <v>0</v>
      </c>
      <c r="BM129" s="40">
        <f>IFERROR(ABS(SUMIFS('TRA balance'!N$5:N$40,'TRA balance'!$C$5:$C$40,Assumptions!$BB129,'TRA balance'!$D$5:$D$40,Assumptions!$BC129)),"")</f>
        <v>0</v>
      </c>
      <c r="BN129" s="40">
        <f>IFERROR(ABS(SUMIFS('TRA balance'!O$5:O$40,'TRA balance'!$C$5:$C$40,Assumptions!$BB129,'TRA balance'!$D$5:$D$40,Assumptions!$BC129)),"")</f>
        <v>0</v>
      </c>
      <c r="BO129" s="40">
        <f>IFERROR(ABS(SUMIFS('TRA balance'!P$5:P$40,'TRA balance'!$C$5:$C$40,Assumptions!$BB129,'TRA balance'!$D$5:$D$40,Assumptions!$BC129)),"")</f>
        <v>0</v>
      </c>
      <c r="BP129" s="40">
        <f>IFERROR(ABS(SUMIFS('TRA balance'!Q$5:Q$40,'TRA balance'!$C$5:$C$40,Assumptions!$BB129,'TRA balance'!$D$5:$D$40,Assumptions!$BC129)),"")</f>
        <v>0</v>
      </c>
      <c r="BQ129" s="40">
        <f>IFERROR(ABS(SUMIFS('TRA balance'!R$5:R$40,'TRA balance'!$C$5:$C$40,Assumptions!$BB129,'TRA balance'!$D$5:$D$40,Assumptions!$BC129)),"")</f>
        <v>0</v>
      </c>
      <c r="BR129" s="40">
        <f>IFERROR(ABS(SUMIFS('TRA balance'!S$5:S$40,'TRA balance'!$C$5:$C$40,Assumptions!$BB129,'TRA balance'!$D$5:$D$40,Assumptions!$BC129)),"")</f>
        <v>0</v>
      </c>
      <c r="BS129" s="40">
        <f>IFERROR(ABS(SUMIFS('TRA balance'!T$5:T$40,'TRA balance'!$C$5:$C$40,Assumptions!$BB129,'TRA balance'!$D$5:$D$40,Assumptions!$BC129)),"")</f>
        <v>0</v>
      </c>
      <c r="BT129" s="40">
        <f>IFERROR(ABS(SUMIFS('TRA balance'!U$5:U$40,'TRA balance'!$C$5:$C$40,Assumptions!$BB129,'TRA balance'!$D$5:$D$40,Assumptions!$BC129)),"")</f>
        <v>0</v>
      </c>
      <c r="BU129" s="40">
        <f>IFERROR(ABS(SUMIFS('TRA balance'!V$5:V$40,'TRA balance'!$C$5:$C$40,Assumptions!$BB129,'TRA balance'!$D$5:$D$40,Assumptions!$BC129)),"")</f>
        <v>0</v>
      </c>
      <c r="BV129" s="40">
        <f>IFERROR(ABS(SUMIFS('TRA balance'!W$5:W$40,'TRA balance'!$C$5:$C$40,Assumptions!$BB129,'TRA balance'!$D$5:$D$40,Assumptions!$BC129)),"")</f>
        <v>0</v>
      </c>
      <c r="BW129" s="40">
        <f>IFERROR(ABS(SUMIFS('TRA balance'!X$5:X$40,'TRA balance'!$C$5:$C$40,Assumptions!$BB129,'TRA balance'!$D$5:$D$40,Assumptions!$BC129)),"")</f>
        <v>0</v>
      </c>
      <c r="BX129" s="40">
        <f>IFERROR(ABS(SUMIFS('TRA balance'!Y$5:Y$40,'TRA balance'!$C$5:$C$40,Assumptions!$BB129,'TRA balance'!$D$5:$D$40,Assumptions!$BC129)),"")</f>
        <v>0</v>
      </c>
      <c r="BY129" s="40">
        <f>IFERROR(ABS(SUMIFS('TRA balance'!Z$5:Z$40,'TRA balance'!$C$5:$C$40,Assumptions!$BB129,'TRA balance'!$D$5:$D$40,Assumptions!$BC129)),"")</f>
        <v>0</v>
      </c>
      <c r="BZ129" s="40">
        <f>IFERROR(ABS(SUMIFS('TRA balance'!AA$5:AA$40,'TRA balance'!$C$5:$C$40,Assumptions!$BB129,'TRA balance'!$D$5:$D$40,Assumptions!$BC129)),"")</f>
        <v>0</v>
      </c>
      <c r="CA129" s="40">
        <f>IFERROR(ABS(SUMIFS('TRA balance'!AB$5:AB$40,'TRA balance'!$C$5:$C$40,Assumptions!$BB129,'TRA balance'!$D$5:$D$40,Assumptions!$BC129)),"")</f>
        <v>0</v>
      </c>
      <c r="CB129" s="40">
        <f>IFERROR(ABS(SUMIFS('TRA balance'!AC$5:AC$40,'TRA balance'!$C$5:$C$40,Assumptions!$BB129,'TRA balance'!$D$5:$D$40,Assumptions!$BC129)),"")</f>
        <v>0</v>
      </c>
      <c r="CC129" s="40">
        <f>IFERROR(ABS(SUMIFS('TRA balance'!AD$5:AD$40,'TRA balance'!$C$5:$C$40,Assumptions!$BB129,'TRA balance'!$D$5:$D$40,Assumptions!$BC129)),"")</f>
        <v>0</v>
      </c>
      <c r="CD129" s="40">
        <f>IFERROR(ABS(SUMIFS('TRA balance'!AE$5:AE$40,'TRA balance'!$C$5:$C$40,Assumptions!$BB129,'TRA balance'!$D$5:$D$40,Assumptions!$BC129)),"")</f>
        <v>0</v>
      </c>
      <c r="CE129" s="40">
        <f>IFERROR(ABS(SUMIFS('TRA balance'!AF$5:AF$40,'TRA balance'!$C$5:$C$40,Assumptions!$BB129,'TRA balance'!$D$5:$D$40,Assumptions!$BC129)),"")</f>
        <v>0</v>
      </c>
      <c r="CF129" s="40">
        <f>IFERROR(ABS(SUMIFS('TRA balance'!AG$5:AG$40,'TRA balance'!$C$5:$C$40,Assumptions!$BB129,'TRA balance'!$D$5:$D$40,Assumptions!$BC129)),"")</f>
        <v>0</v>
      </c>
      <c r="CG129" s="40">
        <f>IFERROR(ABS(SUMIFS('TRA balance'!AH$5:AH$40,'TRA balance'!$C$5:$C$40,Assumptions!$BB129,'TRA balance'!$D$5:$D$40,Assumptions!$BC129)),"")</f>
        <v>0</v>
      </c>
      <c r="CH129" s="40">
        <f>IFERROR(ABS(SUMIFS('TRA balance'!AI$5:AI$40,'TRA balance'!$C$5:$C$40,Assumptions!$BB129,'TRA balance'!$D$5:$D$40,Assumptions!$BC129)),"")</f>
        <v>0</v>
      </c>
      <c r="CI129" s="40">
        <f>IFERROR(ABS(SUMIFS('TRA balance'!AJ$5:AJ$40,'TRA balance'!$C$5:$C$40,Assumptions!$BB129,'TRA balance'!$D$5:$D$40,Assumptions!$BC129)),"")</f>
        <v>0</v>
      </c>
      <c r="CJ129" s="40">
        <f>IFERROR(ABS(SUMIFS('TRA balance'!AK$5:AK$40,'TRA balance'!$C$5:$C$40,Assumptions!$BB129,'TRA balance'!$D$5:$D$40,Assumptions!$BC129)),"")</f>
        <v>0</v>
      </c>
      <c r="CK129" s="40">
        <f>IFERROR(ABS(SUMIFS('TRA balance'!AL$5:AL$40,'TRA balance'!$C$5:$C$40,Assumptions!$BB129,'TRA balance'!$D$5:$D$40,Assumptions!$BC129)),"")</f>
        <v>0</v>
      </c>
      <c r="CL129" s="40">
        <f>IFERROR(ABS(SUMIFS('TRA balance'!AM$5:AM$40,'TRA balance'!$C$5:$C$40,Assumptions!$BB129,'TRA balance'!$D$5:$D$40,Assumptions!$BC129)),"")</f>
        <v>0</v>
      </c>
      <c r="CM129" s="40">
        <f>IFERROR(ABS(SUMIFS('TRA balance'!AN$5:AN$40,'TRA balance'!$C$5:$C$40,Assumptions!$BB129,'TRA balance'!$D$5:$D$40,Assumptions!$BC129)),"")</f>
        <v>0</v>
      </c>
      <c r="CN129" s="40">
        <f>IFERROR(ABS(SUMIFS('TRA balance'!AO$5:AO$40,'TRA balance'!$C$5:$C$40,Assumptions!$BB129,'TRA balance'!$D$5:$D$40,Assumptions!$BC129)),"")</f>
        <v>0</v>
      </c>
      <c r="CO129" s="40">
        <f>IFERROR(ABS(SUMIFS('TRA balance'!AP$5:AP$40,'TRA balance'!$C$5:$C$40,Assumptions!$BB129,'TRA balance'!$D$5:$D$40,Assumptions!$BC129)),"")</f>
        <v>0</v>
      </c>
      <c r="CP129" s="40">
        <f>IFERROR(ABS(SUMIFS('TRA balance'!AQ$5:AQ$40,'TRA balance'!$C$5:$C$40,Assumptions!$BB129,'TRA balance'!$D$5:$D$40,Assumptions!$BC129)),"")</f>
        <v>0</v>
      </c>
      <c r="CQ129" s="40">
        <f>IFERROR(ABS(SUMIFS('TRA balance'!AR$5:AR$40,'TRA balance'!$C$5:$C$40,Assumptions!$BB129,'TRA balance'!$D$5:$D$40,Assumptions!$BC129)),"")</f>
        <v>0</v>
      </c>
      <c r="CR129" s="40">
        <f>IFERROR(ABS(SUMIFS('TRA balance'!AS$5:AS$40,'TRA balance'!$C$5:$C$40,Assumptions!$BB129,'TRA balance'!$D$5:$D$40,Assumptions!$BC129)),"")</f>
        <v>0</v>
      </c>
      <c r="CS129" s="40">
        <f>IFERROR(ABS(SUMIFS('TRA balance'!AT$5:AT$40,'TRA balance'!$C$5:$C$40,Assumptions!$BB129,'TRA balance'!$D$5:$D$40,Assumptions!$BC129)),"")</f>
        <v>0</v>
      </c>
      <c r="CT129" s="40">
        <f>IFERROR(ABS(SUMIFS('TRA balance'!AU$5:AU$40,'TRA balance'!$C$5:$C$40,Assumptions!$BB129,'TRA balance'!$D$5:$D$40,Assumptions!$BC129)),"")</f>
        <v>0</v>
      </c>
      <c r="CU129" s="40">
        <f>IFERROR(ABS(SUMIFS('TRA balance'!AV$5:AV$40,'TRA balance'!$C$5:$C$40,Assumptions!$BB129,'TRA balance'!$D$5:$D$40,Assumptions!$BC129)),"")</f>
        <v>0</v>
      </c>
      <c r="CV129" s="40">
        <f>IFERROR(ABS(SUMIFS('TRA balance'!AW$5:AW$40,'TRA balance'!$C$5:$C$40,Assumptions!$BB129,'TRA balance'!$D$5:$D$40,Assumptions!$BC129)),"")</f>
        <v>0</v>
      </c>
      <c r="CW129" s="40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8" t="s">
        <v>41</v>
      </c>
      <c r="BC130" s="38" t="s">
        <v>46</v>
      </c>
      <c r="BD130" s="40">
        <f>IFERROR(ABS(SUMIFS('TRA balance'!E$5:E$40,'TRA balance'!$C$5:$C$40,Assumptions!$BB130,'TRA balance'!$D$5:$D$40,Assumptions!$BC130)),"")</f>
        <v>0</v>
      </c>
      <c r="BE130" s="40">
        <f>IFERROR(ABS(SUMIFS('TRA balance'!F$5:F$40,'TRA balance'!$C$5:$C$40,Assumptions!$BB130,'TRA balance'!$D$5:$D$40,Assumptions!$BC130)),"")</f>
        <v>2.370189348</v>
      </c>
      <c r="BF130" s="40">
        <f>IFERROR(ABS(SUMIFS('TRA balance'!G$5:G$40,'TRA balance'!$C$5:$C$40,Assumptions!$BB130,'TRA balance'!$D$5:$D$40,Assumptions!$BC130)),"")</f>
        <v>0</v>
      </c>
      <c r="BG130" s="40">
        <f>IFERROR(ABS(SUMIFS('TRA balance'!H$5:H$40,'TRA balance'!$C$5:$C$40,Assumptions!$BB130,'TRA balance'!$D$5:$D$40,Assumptions!$BC130)),"")</f>
        <v>0</v>
      </c>
      <c r="BH130" s="40">
        <f>IFERROR(ABS(SUMIFS('TRA balance'!I$5:I$40,'TRA balance'!$C$5:$C$40,Assumptions!$BB130,'TRA balance'!$D$5:$D$40,Assumptions!$BC130)),"")</f>
        <v>0</v>
      </c>
      <c r="BI130" s="40">
        <f>IFERROR(ABS(SUMIFS('TRA balance'!J$5:J$40,'TRA balance'!$C$5:$C$40,Assumptions!$BB130,'TRA balance'!$D$5:$D$40,Assumptions!$BC130)),"")</f>
        <v>0</v>
      </c>
      <c r="BJ130" s="40">
        <f>IFERROR(ABS(SUMIFS('TRA balance'!K$5:K$40,'TRA balance'!$C$5:$C$40,Assumptions!$BB130,'TRA balance'!$D$5:$D$40,Assumptions!$BC130)),"")</f>
        <v>0</v>
      </c>
      <c r="BK130" s="40">
        <f>IFERROR(ABS(SUMIFS('TRA balance'!L$5:L$40,'TRA balance'!$C$5:$C$40,Assumptions!$BB130,'TRA balance'!$D$5:$D$40,Assumptions!$BC130)),"")</f>
        <v>1314.7580152476</v>
      </c>
      <c r="BL130" s="40">
        <f>IFERROR(ABS(SUMIFS('TRA balance'!M$5:M$40,'TRA balance'!$C$5:$C$40,Assumptions!$BB130,'TRA balance'!$D$5:$D$40,Assumptions!$BC130)),"")</f>
        <v>0</v>
      </c>
      <c r="BM130" s="40">
        <f>IFERROR(ABS(SUMIFS('TRA balance'!N$5:N$40,'TRA balance'!$C$5:$C$40,Assumptions!$BB130,'TRA balance'!$D$5:$D$40,Assumptions!$BC130)),"")</f>
        <v>0</v>
      </c>
      <c r="BN130" s="40">
        <f>IFERROR(ABS(SUMIFS('TRA balance'!O$5:O$40,'TRA balance'!$C$5:$C$40,Assumptions!$BB130,'TRA balance'!$D$5:$D$40,Assumptions!$BC130)),"")</f>
        <v>0</v>
      </c>
      <c r="BO130" s="40">
        <f>IFERROR(ABS(SUMIFS('TRA balance'!P$5:P$40,'TRA balance'!$C$5:$C$40,Assumptions!$BB130,'TRA balance'!$D$5:$D$40,Assumptions!$BC130)),"")</f>
        <v>0</v>
      </c>
      <c r="BP130" s="40">
        <f>IFERROR(ABS(SUMIFS('TRA balance'!Q$5:Q$40,'TRA balance'!$C$5:$C$40,Assumptions!$BB130,'TRA balance'!$D$5:$D$40,Assumptions!$BC130)),"")</f>
        <v>0.011388096</v>
      </c>
      <c r="BQ130" s="40">
        <f>IFERROR(ABS(SUMIFS('TRA balance'!R$5:R$40,'TRA balance'!$C$5:$C$40,Assumptions!$BB130,'TRA balance'!$D$5:$D$40,Assumptions!$BC130)),"")</f>
        <v>0.0471140604</v>
      </c>
      <c r="BR130" s="40">
        <f>IFERROR(ABS(SUMIFS('TRA balance'!S$5:S$40,'TRA balance'!$C$5:$C$40,Assumptions!$BB130,'TRA balance'!$D$5:$D$40,Assumptions!$BC130)),"")</f>
        <v>0</v>
      </c>
      <c r="BS130" s="40">
        <f>IFERROR(ABS(SUMIFS('TRA balance'!T$5:T$40,'TRA balance'!$C$5:$C$40,Assumptions!$BB130,'TRA balance'!$D$5:$D$40,Assumptions!$BC130)),"")</f>
        <v>0</v>
      </c>
      <c r="BT130" s="40">
        <f>IFERROR(ABS(SUMIFS('TRA balance'!U$5:U$40,'TRA balance'!$C$5:$C$40,Assumptions!$BB130,'TRA balance'!$D$5:$D$40,Assumptions!$BC130)),"")</f>
        <v>0</v>
      </c>
      <c r="BU130" s="40">
        <f>IFERROR(ABS(SUMIFS('TRA balance'!V$5:V$40,'TRA balance'!$C$5:$C$40,Assumptions!$BB130,'TRA balance'!$D$5:$D$40,Assumptions!$BC130)),"")</f>
        <v>0</v>
      </c>
      <c r="BV130" s="40">
        <f>IFERROR(ABS(SUMIFS('TRA balance'!W$5:W$40,'TRA balance'!$C$5:$C$40,Assumptions!$BB130,'TRA balance'!$D$5:$D$40,Assumptions!$BC130)),"")</f>
        <v>0</v>
      </c>
      <c r="BW130" s="40">
        <f>IFERROR(ABS(SUMIFS('TRA balance'!X$5:X$40,'TRA balance'!$C$5:$C$40,Assumptions!$BB130,'TRA balance'!$D$5:$D$40,Assumptions!$BC130)),"")</f>
        <v>0.3742454916</v>
      </c>
      <c r="BX130" s="40">
        <f>IFERROR(ABS(SUMIFS('TRA balance'!Y$5:Y$40,'TRA balance'!$C$5:$C$40,Assumptions!$BB130,'TRA balance'!$D$5:$D$40,Assumptions!$BC130)),"")</f>
        <v>1.7316018648</v>
      </c>
      <c r="BY130" s="40">
        <f>IFERROR(ABS(SUMIFS('TRA balance'!Z$5:Z$40,'TRA balance'!$C$5:$C$40,Assumptions!$BB130,'TRA balance'!$D$5:$D$40,Assumptions!$BC130)),"")</f>
        <v>22.4800010208</v>
      </c>
      <c r="BZ130" s="40">
        <f>IFERROR(ABS(SUMIFS('TRA balance'!AA$5:AA$40,'TRA balance'!$C$5:$C$40,Assumptions!$BB130,'TRA balance'!$D$5:$D$40,Assumptions!$BC130)),"")</f>
        <v>0.0794403432</v>
      </c>
      <c r="CA130" s="40">
        <f>IFERROR(ABS(SUMIFS('TRA balance'!AB$5:AB$40,'TRA balance'!$C$5:$C$40,Assumptions!$BB130,'TRA balance'!$D$5:$D$40,Assumptions!$BC130)),"")</f>
        <v>0.0110364048</v>
      </c>
      <c r="CB130" s="40">
        <f>IFERROR(ABS(SUMIFS('TRA balance'!AC$5:AC$40,'TRA balance'!$C$5:$C$40,Assumptions!$BB130,'TRA balance'!$D$5:$D$40,Assumptions!$BC130)),"")</f>
        <v>0.5005277532</v>
      </c>
      <c r="CC130" s="40">
        <f>IFERROR(ABS(SUMIFS('TRA balance'!AD$5:AD$40,'TRA balance'!$C$5:$C$40,Assumptions!$BB130,'TRA balance'!$D$5:$D$40,Assumptions!$BC130)),"")</f>
        <v>0</v>
      </c>
      <c r="CD130" s="40">
        <f>IFERROR(ABS(SUMIFS('TRA balance'!AE$5:AE$40,'TRA balance'!$C$5:$C$40,Assumptions!$BB130,'TRA balance'!$D$5:$D$40,Assumptions!$BC130)),"")</f>
        <v>0</v>
      </c>
      <c r="CE130" s="40">
        <f>IFERROR(ABS(SUMIFS('TRA balance'!AF$5:AF$40,'TRA balance'!$C$5:$C$40,Assumptions!$BB130,'TRA balance'!$D$5:$D$40,Assumptions!$BC130)),"")</f>
        <v>3.601924974</v>
      </c>
      <c r="CF130" s="40">
        <f>IFERROR(ABS(SUMIFS('TRA balance'!AG$5:AG$40,'TRA balance'!$C$5:$C$40,Assumptions!$BB130,'TRA balance'!$D$5:$D$40,Assumptions!$BC130)),"")</f>
        <v>0</v>
      </c>
      <c r="CG130" s="40">
        <f>IFERROR(ABS(SUMIFS('TRA balance'!AH$5:AH$40,'TRA balance'!$C$5:$C$40,Assumptions!$BB130,'TRA balance'!$D$5:$D$40,Assumptions!$BC130)),"")</f>
        <v>0</v>
      </c>
      <c r="CH130" s="40">
        <f>IFERROR(ABS(SUMIFS('TRA balance'!AI$5:AI$40,'TRA balance'!$C$5:$C$40,Assumptions!$BB130,'TRA balance'!$D$5:$D$40,Assumptions!$BC130)),"")</f>
        <v>0</v>
      </c>
      <c r="CI130" s="40">
        <f>IFERROR(ABS(SUMIFS('TRA balance'!AJ$5:AJ$40,'TRA balance'!$C$5:$C$40,Assumptions!$BB130,'TRA balance'!$D$5:$D$40,Assumptions!$BC130)),"")</f>
        <v>0</v>
      </c>
      <c r="CJ130" s="40">
        <f>IFERROR(ABS(SUMIFS('TRA balance'!AK$5:AK$40,'TRA balance'!$C$5:$C$40,Assumptions!$BB130,'TRA balance'!$D$5:$D$40,Assumptions!$BC130)),"")</f>
        <v>0</v>
      </c>
      <c r="CK130" s="40">
        <f>IFERROR(ABS(SUMIFS('TRA balance'!AL$5:AL$40,'TRA balance'!$C$5:$C$40,Assumptions!$BB130,'TRA balance'!$D$5:$D$40,Assumptions!$BC130)),"")</f>
        <v>15.3699018984</v>
      </c>
      <c r="CL130" s="40">
        <f>IFERROR(ABS(SUMIFS('TRA balance'!AM$5:AM$40,'TRA balance'!$C$5:$C$40,Assumptions!$BB130,'TRA balance'!$D$5:$D$40,Assumptions!$BC130)),"")</f>
        <v>0</v>
      </c>
      <c r="CM130" s="40">
        <f>IFERROR(ABS(SUMIFS('TRA balance'!AN$5:AN$40,'TRA balance'!$C$5:$C$40,Assumptions!$BB130,'TRA balance'!$D$5:$D$40,Assumptions!$BC130)),"")</f>
        <v>0</v>
      </c>
      <c r="CN130" s="40">
        <f>IFERROR(ABS(SUMIFS('TRA balance'!AO$5:AO$40,'TRA balance'!$C$5:$C$40,Assumptions!$BB130,'TRA balance'!$D$5:$D$40,Assumptions!$BC130)),"")</f>
        <v>0</v>
      </c>
      <c r="CO130" s="40">
        <f>IFERROR(ABS(SUMIFS('TRA balance'!AP$5:AP$40,'TRA balance'!$C$5:$C$40,Assumptions!$BB130,'TRA balance'!$D$5:$D$40,Assumptions!$BC130)),"")</f>
        <v>0</v>
      </c>
      <c r="CP130" s="40">
        <f>IFERROR(ABS(SUMIFS('TRA balance'!AQ$5:AQ$40,'TRA balance'!$C$5:$C$40,Assumptions!$BB130,'TRA balance'!$D$5:$D$40,Assumptions!$BC130)),"")</f>
        <v>0</v>
      </c>
      <c r="CQ130" s="40">
        <f>IFERROR(ABS(SUMIFS('TRA balance'!AR$5:AR$40,'TRA balance'!$C$5:$C$40,Assumptions!$BB130,'TRA balance'!$D$5:$D$40,Assumptions!$BC130)),"")</f>
        <v>0</v>
      </c>
      <c r="CR130" s="40">
        <f>IFERROR(ABS(SUMIFS('TRA balance'!AS$5:AS$40,'TRA balance'!$C$5:$C$40,Assumptions!$BB130,'TRA balance'!$D$5:$D$40,Assumptions!$BC130)),"")</f>
        <v>0</v>
      </c>
      <c r="CS130" s="40">
        <f>IFERROR(ABS(SUMIFS('TRA balance'!AT$5:AT$40,'TRA balance'!$C$5:$C$40,Assumptions!$BB130,'TRA balance'!$D$5:$D$40,Assumptions!$BC130)),"")</f>
        <v>0</v>
      </c>
      <c r="CT130" s="40">
        <f>IFERROR(ABS(SUMIFS('TRA balance'!AU$5:AU$40,'TRA balance'!$C$5:$C$40,Assumptions!$BB130,'TRA balance'!$D$5:$D$40,Assumptions!$BC130)),"")</f>
        <v>0</v>
      </c>
      <c r="CU130" s="40">
        <f>IFERROR(ABS(SUMIFS('TRA balance'!AV$5:AV$40,'TRA balance'!$C$5:$C$40,Assumptions!$BB130,'TRA balance'!$D$5:$D$40,Assumptions!$BC130)),"")</f>
        <v>0</v>
      </c>
      <c r="CV130" s="40">
        <f>IFERROR(ABS(SUMIFS('TRA balance'!AW$5:AW$40,'TRA balance'!$C$5:$C$40,Assumptions!$BB130,'TRA balance'!$D$5:$D$40,Assumptions!$BC130)),"")</f>
        <v>0</v>
      </c>
      <c r="CW130" s="40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8" t="s">
        <v>41</v>
      </c>
      <c r="BC131" s="38" t="s">
        <v>263</v>
      </c>
      <c r="BD131" s="40">
        <f>IFERROR(ABS(SUMIFS('TRA balance'!E$5:E$40,'TRA balance'!$C$5:$C$40,Assumptions!$BB131,'TRA balance'!$D$5:$D$40,Assumptions!$BC131)),"")</f>
        <v>0</v>
      </c>
      <c r="BE131" s="40">
        <f>IFERROR(ABS(SUMIFS('TRA balance'!F$5:F$40,'TRA balance'!$C$5:$C$40,Assumptions!$BB131,'TRA balance'!$D$5:$D$40,Assumptions!$BC131)),"")</f>
        <v>0</v>
      </c>
      <c r="BF131" s="40">
        <f>IFERROR(ABS(SUMIFS('TRA balance'!G$5:G$40,'TRA balance'!$C$5:$C$40,Assumptions!$BB131,'TRA balance'!$D$5:$D$40,Assumptions!$BC131)),"")</f>
        <v>0</v>
      </c>
      <c r="BG131" s="40">
        <f>IFERROR(ABS(SUMIFS('TRA balance'!H$5:H$40,'TRA balance'!$C$5:$C$40,Assumptions!$BB131,'TRA balance'!$D$5:$D$40,Assumptions!$BC131)),"")</f>
        <v>0</v>
      </c>
      <c r="BH131" s="40">
        <f>IFERROR(ABS(SUMIFS('TRA balance'!I$5:I$40,'TRA balance'!$C$5:$C$40,Assumptions!$BB131,'TRA balance'!$D$5:$D$40,Assumptions!$BC131)),"")</f>
        <v>0</v>
      </c>
      <c r="BI131" s="40">
        <f>IFERROR(ABS(SUMIFS('TRA balance'!J$5:J$40,'TRA balance'!$C$5:$C$40,Assumptions!$BB131,'TRA balance'!$D$5:$D$40,Assumptions!$BC131)),"")</f>
        <v>0</v>
      </c>
      <c r="BJ131" s="40">
        <f>IFERROR(ABS(SUMIFS('TRA balance'!K$5:K$40,'TRA balance'!$C$5:$C$40,Assumptions!$BB131,'TRA balance'!$D$5:$D$40,Assumptions!$BC131)),"")</f>
        <v>0</v>
      </c>
      <c r="BK131" s="40">
        <f>IFERROR(ABS(SUMIFS('TRA balance'!L$5:L$40,'TRA balance'!$C$5:$C$40,Assumptions!$BB131,'TRA balance'!$D$5:$D$40,Assumptions!$BC131)),"")</f>
        <v>0</v>
      </c>
      <c r="BL131" s="40">
        <f>IFERROR(ABS(SUMIFS('TRA balance'!M$5:M$40,'TRA balance'!$C$5:$C$40,Assumptions!$BB131,'TRA balance'!$D$5:$D$40,Assumptions!$BC131)),"")</f>
        <v>0</v>
      </c>
      <c r="BM131" s="40">
        <f>IFERROR(ABS(SUMIFS('TRA balance'!N$5:N$40,'TRA balance'!$C$5:$C$40,Assumptions!$BB131,'TRA balance'!$D$5:$D$40,Assumptions!$BC131)),"")</f>
        <v>0</v>
      </c>
      <c r="BN131" s="40">
        <f>IFERROR(ABS(SUMIFS('TRA balance'!O$5:O$40,'TRA balance'!$C$5:$C$40,Assumptions!$BB131,'TRA balance'!$D$5:$D$40,Assumptions!$BC131)),"")</f>
        <v>0</v>
      </c>
      <c r="BO131" s="40">
        <f>IFERROR(ABS(SUMIFS('TRA balance'!P$5:P$40,'TRA balance'!$C$5:$C$40,Assumptions!$BB131,'TRA balance'!$D$5:$D$40,Assumptions!$BC131)),"")</f>
        <v>0</v>
      </c>
      <c r="BP131" s="40">
        <f>IFERROR(ABS(SUMIFS('TRA balance'!Q$5:Q$40,'TRA balance'!$C$5:$C$40,Assumptions!$BB131,'TRA balance'!$D$5:$D$40,Assumptions!$BC131)),"")</f>
        <v>0</v>
      </c>
      <c r="BQ131" s="40">
        <f>IFERROR(ABS(SUMIFS('TRA balance'!R$5:R$40,'TRA balance'!$C$5:$C$40,Assumptions!$BB131,'TRA balance'!$D$5:$D$40,Assumptions!$BC131)),"")</f>
        <v>0</v>
      </c>
      <c r="BR131" s="40">
        <f>IFERROR(ABS(SUMIFS('TRA balance'!S$5:S$40,'TRA balance'!$C$5:$C$40,Assumptions!$BB131,'TRA balance'!$D$5:$D$40,Assumptions!$BC131)),"")</f>
        <v>0</v>
      </c>
      <c r="BS131" s="40">
        <f>IFERROR(ABS(SUMIFS('TRA balance'!T$5:T$40,'TRA balance'!$C$5:$C$40,Assumptions!$BB131,'TRA balance'!$D$5:$D$40,Assumptions!$BC131)),"")</f>
        <v>0</v>
      </c>
      <c r="BT131" s="40">
        <f>IFERROR(ABS(SUMIFS('TRA balance'!U$5:U$40,'TRA balance'!$C$5:$C$40,Assumptions!$BB131,'TRA balance'!$D$5:$D$40,Assumptions!$BC131)),"")</f>
        <v>0</v>
      </c>
      <c r="BU131" s="40">
        <f>IFERROR(ABS(SUMIFS('TRA balance'!V$5:V$40,'TRA balance'!$C$5:$C$40,Assumptions!$BB131,'TRA balance'!$D$5:$D$40,Assumptions!$BC131)),"")</f>
        <v>0</v>
      </c>
      <c r="BV131" s="40">
        <f>IFERROR(ABS(SUMIFS('TRA balance'!W$5:W$40,'TRA balance'!$C$5:$C$40,Assumptions!$BB131,'TRA balance'!$D$5:$D$40,Assumptions!$BC131)),"")</f>
        <v>0</v>
      </c>
      <c r="BW131" s="40">
        <f>IFERROR(ABS(SUMIFS('TRA balance'!X$5:X$40,'TRA balance'!$C$5:$C$40,Assumptions!$BB131,'TRA balance'!$D$5:$D$40,Assumptions!$BC131)),"")</f>
        <v>0</v>
      </c>
      <c r="BX131" s="40">
        <f>IFERROR(ABS(SUMIFS('TRA balance'!Y$5:Y$40,'TRA balance'!$C$5:$C$40,Assumptions!$BB131,'TRA balance'!$D$5:$D$40,Assumptions!$BC131)),"")</f>
        <v>0</v>
      </c>
      <c r="BY131" s="40">
        <f>IFERROR(ABS(SUMIFS('TRA balance'!Z$5:Z$40,'TRA balance'!$C$5:$C$40,Assumptions!$BB131,'TRA balance'!$D$5:$D$40,Assumptions!$BC131)),"")</f>
        <v>0</v>
      </c>
      <c r="BZ131" s="40">
        <f>IFERROR(ABS(SUMIFS('TRA balance'!AA$5:AA$40,'TRA balance'!$C$5:$C$40,Assumptions!$BB131,'TRA balance'!$D$5:$D$40,Assumptions!$BC131)),"")</f>
        <v>0</v>
      </c>
      <c r="CA131" s="40">
        <f>IFERROR(ABS(SUMIFS('TRA balance'!AB$5:AB$40,'TRA balance'!$C$5:$C$40,Assumptions!$BB131,'TRA balance'!$D$5:$D$40,Assumptions!$BC131)),"")</f>
        <v>0</v>
      </c>
      <c r="CB131" s="40">
        <f>IFERROR(ABS(SUMIFS('TRA balance'!AC$5:AC$40,'TRA balance'!$C$5:$C$40,Assumptions!$BB131,'TRA balance'!$D$5:$D$40,Assumptions!$BC131)),"")</f>
        <v>0</v>
      </c>
      <c r="CC131" s="40">
        <f>IFERROR(ABS(SUMIFS('TRA balance'!AD$5:AD$40,'TRA balance'!$C$5:$C$40,Assumptions!$BB131,'TRA balance'!$D$5:$D$40,Assumptions!$BC131)),"")</f>
        <v>0</v>
      </c>
      <c r="CD131" s="40">
        <f>IFERROR(ABS(SUMIFS('TRA balance'!AE$5:AE$40,'TRA balance'!$C$5:$C$40,Assumptions!$BB131,'TRA balance'!$D$5:$D$40,Assumptions!$BC131)),"")</f>
        <v>0</v>
      </c>
      <c r="CE131" s="40">
        <f>IFERROR(ABS(SUMIFS('TRA balance'!AF$5:AF$40,'TRA balance'!$C$5:$C$40,Assumptions!$BB131,'TRA balance'!$D$5:$D$40,Assumptions!$BC131)),"")</f>
        <v>0</v>
      </c>
      <c r="CF131" s="40">
        <f>IFERROR(ABS(SUMIFS('TRA balance'!AG$5:AG$40,'TRA balance'!$C$5:$C$40,Assumptions!$BB131,'TRA balance'!$D$5:$D$40,Assumptions!$BC131)),"")</f>
        <v>0</v>
      </c>
      <c r="CG131" s="40">
        <f>IFERROR(ABS(SUMIFS('TRA balance'!AH$5:AH$40,'TRA balance'!$C$5:$C$40,Assumptions!$BB131,'TRA balance'!$D$5:$D$40,Assumptions!$BC131)),"")</f>
        <v>0</v>
      </c>
      <c r="CH131" s="40">
        <f>IFERROR(ABS(SUMIFS('TRA balance'!AI$5:AI$40,'TRA balance'!$C$5:$C$40,Assumptions!$BB131,'TRA balance'!$D$5:$D$40,Assumptions!$BC131)),"")</f>
        <v>0</v>
      </c>
      <c r="CI131" s="40">
        <f>IFERROR(ABS(SUMIFS('TRA balance'!AJ$5:AJ$40,'TRA balance'!$C$5:$C$40,Assumptions!$BB131,'TRA balance'!$D$5:$D$40,Assumptions!$BC131)),"")</f>
        <v>0</v>
      </c>
      <c r="CJ131" s="40">
        <f>IFERROR(ABS(SUMIFS('TRA balance'!AK$5:AK$40,'TRA balance'!$C$5:$C$40,Assumptions!$BB131,'TRA balance'!$D$5:$D$40,Assumptions!$BC131)),"")</f>
        <v>0</v>
      </c>
      <c r="CK131" s="40">
        <f>IFERROR(ABS(SUMIFS('TRA balance'!AL$5:AL$40,'TRA balance'!$C$5:$C$40,Assumptions!$BB131,'TRA balance'!$D$5:$D$40,Assumptions!$BC131)),"")</f>
        <v>0</v>
      </c>
      <c r="CL131" s="40">
        <f>IFERROR(ABS(SUMIFS('TRA balance'!AM$5:AM$40,'TRA balance'!$C$5:$C$40,Assumptions!$BB131,'TRA balance'!$D$5:$D$40,Assumptions!$BC131)),"")</f>
        <v>0</v>
      </c>
      <c r="CM131" s="40">
        <f>IFERROR(ABS(SUMIFS('TRA balance'!AN$5:AN$40,'TRA balance'!$C$5:$C$40,Assumptions!$BB131,'TRA balance'!$D$5:$D$40,Assumptions!$BC131)),"")</f>
        <v>0</v>
      </c>
      <c r="CN131" s="40">
        <f>IFERROR(ABS(SUMIFS('TRA balance'!AO$5:AO$40,'TRA balance'!$C$5:$C$40,Assumptions!$BB131,'TRA balance'!$D$5:$D$40,Assumptions!$BC131)),"")</f>
        <v>0</v>
      </c>
      <c r="CO131" s="40">
        <f>IFERROR(ABS(SUMIFS('TRA balance'!AP$5:AP$40,'TRA balance'!$C$5:$C$40,Assumptions!$BB131,'TRA balance'!$D$5:$D$40,Assumptions!$BC131)),"")</f>
        <v>0</v>
      </c>
      <c r="CP131" s="40">
        <f>IFERROR(ABS(SUMIFS('TRA balance'!AQ$5:AQ$40,'TRA balance'!$C$5:$C$40,Assumptions!$BB131,'TRA balance'!$D$5:$D$40,Assumptions!$BC131)),"")</f>
        <v>0</v>
      </c>
      <c r="CQ131" s="40">
        <f>IFERROR(ABS(SUMIFS('TRA balance'!AR$5:AR$40,'TRA balance'!$C$5:$C$40,Assumptions!$BB131,'TRA balance'!$D$5:$D$40,Assumptions!$BC131)),"")</f>
        <v>0</v>
      </c>
      <c r="CR131" s="40">
        <f>IFERROR(ABS(SUMIFS('TRA balance'!AS$5:AS$40,'TRA balance'!$C$5:$C$40,Assumptions!$BB131,'TRA balance'!$D$5:$D$40,Assumptions!$BC131)),"")</f>
        <v>0</v>
      </c>
      <c r="CS131" s="40">
        <f>IFERROR(ABS(SUMIFS('TRA balance'!AT$5:AT$40,'TRA balance'!$C$5:$C$40,Assumptions!$BB131,'TRA balance'!$D$5:$D$40,Assumptions!$BC131)),"")</f>
        <v>0</v>
      </c>
      <c r="CT131" s="40">
        <f>IFERROR(ABS(SUMIFS('TRA balance'!AU$5:AU$40,'TRA balance'!$C$5:$C$40,Assumptions!$BB131,'TRA balance'!$D$5:$D$40,Assumptions!$BC131)),"")</f>
        <v>0</v>
      </c>
      <c r="CU131" s="40">
        <f>IFERROR(ABS(SUMIFS('TRA balance'!AV$5:AV$40,'TRA balance'!$C$5:$C$40,Assumptions!$BB131,'TRA balance'!$D$5:$D$40,Assumptions!$BC131)),"")</f>
        <v>0</v>
      </c>
      <c r="CV131" s="40">
        <f>IFERROR(ABS(SUMIFS('TRA balance'!AW$5:AW$40,'TRA balance'!$C$5:$C$40,Assumptions!$BB131,'TRA balance'!$D$5:$D$40,Assumptions!$BC131)),"")</f>
        <v>0</v>
      </c>
      <c r="CW131" s="40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8" t="s">
        <v>41</v>
      </c>
      <c r="BC132" s="38" t="s">
        <v>50</v>
      </c>
      <c r="BD132" s="40">
        <f>IFERROR(ABS(SUMIFS('TRA balance'!E$5:E$40,'TRA balance'!$C$5:$C$40,Assumptions!$BB132,'TRA balance'!$D$5:$D$40,Assumptions!$BC132)),"")</f>
        <v>0.2772205884</v>
      </c>
      <c r="BE132" s="40">
        <f>IFERROR(ABS(SUMIFS('TRA balance'!F$5:F$40,'TRA balance'!$C$5:$C$40,Assumptions!$BB132,'TRA balance'!$D$5:$D$40,Assumptions!$BC132)),"")</f>
        <v>0</v>
      </c>
      <c r="BF132" s="40">
        <f>IFERROR(ABS(SUMIFS('TRA balance'!G$5:G$40,'TRA balance'!$C$5:$C$40,Assumptions!$BB132,'TRA balance'!$D$5:$D$40,Assumptions!$BC132)),"")</f>
        <v>0</v>
      </c>
      <c r="BG132" s="40">
        <f>IFERROR(ABS(SUMIFS('TRA balance'!H$5:H$40,'TRA balance'!$C$5:$C$40,Assumptions!$BB132,'TRA balance'!$D$5:$D$40,Assumptions!$BC132)),"")</f>
        <v>0</v>
      </c>
      <c r="BH132" s="40">
        <f>IFERROR(ABS(SUMIFS('TRA balance'!I$5:I$40,'TRA balance'!$C$5:$C$40,Assumptions!$BB132,'TRA balance'!$D$5:$D$40,Assumptions!$BC132)),"")</f>
        <v>0</v>
      </c>
      <c r="BI132" s="40">
        <f>IFERROR(ABS(SUMIFS('TRA balance'!J$5:J$40,'TRA balance'!$C$5:$C$40,Assumptions!$BB132,'TRA balance'!$D$5:$D$40,Assumptions!$BC132)),"")</f>
        <v>0.0753791472</v>
      </c>
      <c r="BJ132" s="40">
        <f>IFERROR(ABS(SUMIFS('TRA balance'!K$5:K$40,'TRA balance'!$C$5:$C$40,Assumptions!$BB132,'TRA balance'!$D$5:$D$40,Assumptions!$BC132)),"")</f>
        <v>0</v>
      </c>
      <c r="BK132" s="40">
        <f>IFERROR(ABS(SUMIFS('TRA balance'!L$5:L$40,'TRA balance'!$C$5:$C$40,Assumptions!$BB132,'TRA balance'!$D$5:$D$40,Assumptions!$BC132)),"")</f>
        <v>0</v>
      </c>
      <c r="BL132" s="40">
        <f>IFERROR(ABS(SUMIFS('TRA balance'!M$5:M$40,'TRA balance'!$C$5:$C$40,Assumptions!$BB132,'TRA balance'!$D$5:$D$40,Assumptions!$BC132)),"")</f>
        <v>0</v>
      </c>
      <c r="BM132" s="40">
        <f>IFERROR(ABS(SUMIFS('TRA balance'!N$5:N$40,'TRA balance'!$C$5:$C$40,Assumptions!$BB132,'TRA balance'!$D$5:$D$40,Assumptions!$BC132)),"")</f>
        <v>0</v>
      </c>
      <c r="BN132" s="40">
        <f>IFERROR(ABS(SUMIFS('TRA balance'!O$5:O$40,'TRA balance'!$C$5:$C$40,Assumptions!$BB132,'TRA balance'!$D$5:$D$40,Assumptions!$BC132)),"")</f>
        <v>0</v>
      </c>
      <c r="BO132" s="40">
        <f>IFERROR(ABS(SUMIFS('TRA balance'!P$5:P$40,'TRA balance'!$C$5:$C$40,Assumptions!$BB132,'TRA balance'!$D$5:$D$40,Assumptions!$BC132)),"")</f>
        <v>0</v>
      </c>
      <c r="BP132" s="40">
        <f>IFERROR(ABS(SUMIFS('TRA balance'!Q$5:Q$40,'TRA balance'!$C$5:$C$40,Assumptions!$BB132,'TRA balance'!$D$5:$D$40,Assumptions!$BC132)),"")</f>
        <v>0</v>
      </c>
      <c r="BQ132" s="40">
        <f>IFERROR(ABS(SUMIFS('TRA balance'!R$5:R$40,'TRA balance'!$C$5:$C$40,Assumptions!$BB132,'TRA balance'!$D$5:$D$40,Assumptions!$BC132)),"")</f>
        <v>0.0033159456</v>
      </c>
      <c r="BR132" s="40">
        <f>IFERROR(ABS(SUMIFS('TRA balance'!S$5:S$40,'TRA balance'!$C$5:$C$40,Assumptions!$BB132,'TRA balance'!$D$5:$D$40,Assumptions!$BC132)),"")</f>
        <v>0</v>
      </c>
      <c r="BS132" s="40">
        <f>IFERROR(ABS(SUMIFS('TRA balance'!T$5:T$40,'TRA balance'!$C$5:$C$40,Assumptions!$BB132,'TRA balance'!$D$5:$D$40,Assumptions!$BC132)),"")</f>
        <v>0</v>
      </c>
      <c r="BT132" s="40">
        <f>IFERROR(ABS(SUMIFS('TRA balance'!U$5:U$40,'TRA balance'!$C$5:$C$40,Assumptions!$BB132,'TRA balance'!$D$5:$D$40,Assumptions!$BC132)),"")</f>
        <v>0</v>
      </c>
      <c r="BU132" s="40">
        <f>IFERROR(ABS(SUMIFS('TRA balance'!V$5:V$40,'TRA balance'!$C$5:$C$40,Assumptions!$BB132,'TRA balance'!$D$5:$D$40,Assumptions!$BC132)),"")</f>
        <v>0</v>
      </c>
      <c r="BV132" s="40">
        <f>IFERROR(ABS(SUMIFS('TRA balance'!W$5:W$40,'TRA balance'!$C$5:$C$40,Assumptions!$BB132,'TRA balance'!$D$5:$D$40,Assumptions!$BC132)),"")</f>
        <v>0</v>
      </c>
      <c r="BW132" s="40">
        <f>IFERROR(ABS(SUMIFS('TRA balance'!X$5:X$40,'TRA balance'!$C$5:$C$40,Assumptions!$BB132,'TRA balance'!$D$5:$D$40,Assumptions!$BC132)),"")</f>
        <v>0.2399496948</v>
      </c>
      <c r="BX132" s="40">
        <f>IFERROR(ABS(SUMIFS('TRA balance'!Y$5:Y$40,'TRA balance'!$C$5:$C$40,Assumptions!$BB132,'TRA balance'!$D$5:$D$40,Assumptions!$BC132)),"")</f>
        <v>0</v>
      </c>
      <c r="BY132" s="40">
        <f>IFERROR(ABS(SUMIFS('TRA balance'!Z$5:Z$40,'TRA balance'!$C$5:$C$40,Assumptions!$BB132,'TRA balance'!$D$5:$D$40,Assumptions!$BC132)),"")</f>
        <v>0</v>
      </c>
      <c r="BZ132" s="40">
        <f>IFERROR(ABS(SUMIFS('TRA balance'!AA$5:AA$40,'TRA balance'!$C$5:$C$40,Assumptions!$BB132,'TRA balance'!$D$5:$D$40,Assumptions!$BC132)),"")</f>
        <v>0</v>
      </c>
      <c r="CA132" s="40">
        <f>IFERROR(ABS(SUMIFS('TRA balance'!AB$5:AB$40,'TRA balance'!$C$5:$C$40,Assumptions!$BB132,'TRA balance'!$D$5:$D$40,Assumptions!$BC132)),"")</f>
        <v>0</v>
      </c>
      <c r="CB132" s="40">
        <f>IFERROR(ABS(SUMIFS('TRA balance'!AC$5:AC$40,'TRA balance'!$C$5:$C$40,Assumptions!$BB132,'TRA balance'!$D$5:$D$40,Assumptions!$BC132)),"")</f>
        <v>0.691198812</v>
      </c>
      <c r="CC132" s="40">
        <f>IFERROR(ABS(SUMIFS('TRA balance'!AD$5:AD$40,'TRA balance'!$C$5:$C$40,Assumptions!$BB132,'TRA balance'!$D$5:$D$40,Assumptions!$BC132)),"")</f>
        <v>0</v>
      </c>
      <c r="CD132" s="40">
        <f>IFERROR(ABS(SUMIFS('TRA balance'!AE$5:AE$40,'TRA balance'!$C$5:$C$40,Assumptions!$BB132,'TRA balance'!$D$5:$D$40,Assumptions!$BC132)),"")</f>
        <v>0</v>
      </c>
      <c r="CE132" s="40">
        <f>IFERROR(ABS(SUMIFS('TRA balance'!AF$5:AF$40,'TRA balance'!$C$5:$C$40,Assumptions!$BB132,'TRA balance'!$D$5:$D$40,Assumptions!$BC132)),"")</f>
        <v>0</v>
      </c>
      <c r="CF132" s="40">
        <f>IFERROR(ABS(SUMIFS('TRA balance'!AG$5:AG$40,'TRA balance'!$C$5:$C$40,Assumptions!$BB132,'TRA balance'!$D$5:$D$40,Assumptions!$BC132)),"")</f>
        <v>0</v>
      </c>
      <c r="CG132" s="40">
        <f>IFERROR(ABS(SUMIFS('TRA balance'!AH$5:AH$40,'TRA balance'!$C$5:$C$40,Assumptions!$BB132,'TRA balance'!$D$5:$D$40,Assumptions!$BC132)),"")</f>
        <v>0</v>
      </c>
      <c r="CH132" s="40">
        <f>IFERROR(ABS(SUMIFS('TRA balance'!AI$5:AI$40,'TRA balance'!$C$5:$C$40,Assumptions!$BB132,'TRA balance'!$D$5:$D$40,Assumptions!$BC132)),"")</f>
        <v>0</v>
      </c>
      <c r="CI132" s="40">
        <f>IFERROR(ABS(SUMIFS('TRA balance'!AJ$5:AJ$40,'TRA balance'!$C$5:$C$40,Assumptions!$BB132,'TRA balance'!$D$5:$D$40,Assumptions!$BC132)),"")</f>
        <v>0</v>
      </c>
      <c r="CJ132" s="40">
        <f>IFERROR(ABS(SUMIFS('TRA balance'!AK$5:AK$40,'TRA balance'!$C$5:$C$40,Assumptions!$BB132,'TRA balance'!$D$5:$D$40,Assumptions!$BC132)),"")</f>
        <v>0</v>
      </c>
      <c r="CK132" s="40">
        <f>IFERROR(ABS(SUMIFS('TRA balance'!AL$5:AL$40,'TRA balance'!$C$5:$C$40,Assumptions!$BB132,'TRA balance'!$D$5:$D$40,Assumptions!$BC132)),"")</f>
        <v>0</v>
      </c>
      <c r="CL132" s="40">
        <f>IFERROR(ABS(SUMIFS('TRA balance'!AM$5:AM$40,'TRA balance'!$C$5:$C$40,Assumptions!$BB132,'TRA balance'!$D$5:$D$40,Assumptions!$BC132)),"")</f>
        <v>0</v>
      </c>
      <c r="CM132" s="40">
        <f>IFERROR(ABS(SUMIFS('TRA balance'!AN$5:AN$40,'TRA balance'!$C$5:$C$40,Assumptions!$BB132,'TRA balance'!$D$5:$D$40,Assumptions!$BC132)),"")</f>
        <v>0</v>
      </c>
      <c r="CN132" s="40">
        <f>IFERROR(ABS(SUMIFS('TRA balance'!AO$5:AO$40,'TRA balance'!$C$5:$C$40,Assumptions!$BB132,'TRA balance'!$D$5:$D$40,Assumptions!$BC132)),"")</f>
        <v>0</v>
      </c>
      <c r="CO132" s="40">
        <f>IFERROR(ABS(SUMIFS('TRA balance'!AP$5:AP$40,'TRA balance'!$C$5:$C$40,Assumptions!$BB132,'TRA balance'!$D$5:$D$40,Assumptions!$BC132)),"")</f>
        <v>0</v>
      </c>
      <c r="CP132" s="40">
        <f>IFERROR(ABS(SUMIFS('TRA balance'!AQ$5:AQ$40,'TRA balance'!$C$5:$C$40,Assumptions!$BB132,'TRA balance'!$D$5:$D$40,Assumptions!$BC132)),"")</f>
        <v>0</v>
      </c>
      <c r="CQ132" s="40">
        <f>IFERROR(ABS(SUMIFS('TRA balance'!AR$5:AR$40,'TRA balance'!$C$5:$C$40,Assumptions!$BB132,'TRA balance'!$D$5:$D$40,Assumptions!$BC132)),"")</f>
        <v>0</v>
      </c>
      <c r="CR132" s="40">
        <f>IFERROR(ABS(SUMIFS('TRA balance'!AS$5:AS$40,'TRA balance'!$C$5:$C$40,Assumptions!$BB132,'TRA balance'!$D$5:$D$40,Assumptions!$BC132)),"")</f>
        <v>0</v>
      </c>
      <c r="CS132" s="40">
        <f>IFERROR(ABS(SUMIFS('TRA balance'!AT$5:AT$40,'TRA balance'!$C$5:$C$40,Assumptions!$BB132,'TRA balance'!$D$5:$D$40,Assumptions!$BC132)),"")</f>
        <v>0</v>
      </c>
      <c r="CT132" s="40">
        <f>IFERROR(ABS(SUMIFS('TRA balance'!AU$5:AU$40,'TRA balance'!$C$5:$C$40,Assumptions!$BB132,'TRA balance'!$D$5:$D$40,Assumptions!$BC132)),"")</f>
        <v>0</v>
      </c>
      <c r="CU132" s="40">
        <f>IFERROR(ABS(SUMIFS('TRA balance'!AV$5:AV$40,'TRA balance'!$C$5:$C$40,Assumptions!$BB132,'TRA balance'!$D$5:$D$40,Assumptions!$BC132)),"")</f>
        <v>0</v>
      </c>
      <c r="CV132" s="40">
        <f>IFERROR(ABS(SUMIFS('TRA balance'!AW$5:AW$40,'TRA balance'!$C$5:$C$40,Assumptions!$BB132,'TRA balance'!$D$5:$D$40,Assumptions!$BC132)),"")</f>
        <v>0</v>
      </c>
      <c r="CW132" s="40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8" t="s">
        <v>41</v>
      </c>
      <c r="BC133" s="38" t="s">
        <v>54</v>
      </c>
      <c r="BD133" s="40">
        <f>IFERROR(ABS(SUMIFS('TRA balance'!E$5:E$40,'TRA balance'!$C$5:$C$40,Assumptions!$BB133,'TRA balance'!$D$5:$D$40,Assumptions!$BC133)),"")</f>
        <v>2.5678104948</v>
      </c>
      <c r="BE133" s="40">
        <f>IFERROR(ABS(SUMIFS('TRA balance'!F$5:F$40,'TRA balance'!$C$5:$C$40,Assumptions!$BB133,'TRA balance'!$D$5:$D$40,Assumptions!$BC133)),"")</f>
        <v>2.118478932</v>
      </c>
      <c r="BF133" s="40">
        <f>IFERROR(ABS(SUMIFS('TRA balance'!G$5:G$40,'TRA balance'!$C$5:$C$40,Assumptions!$BB133,'TRA balance'!$D$5:$D$40,Assumptions!$BC133)),"")</f>
        <v>0</v>
      </c>
      <c r="BG133" s="40">
        <f>IFERROR(ABS(SUMIFS('TRA balance'!H$5:H$40,'TRA balance'!$C$5:$C$40,Assumptions!$BB133,'TRA balance'!$D$5:$D$40,Assumptions!$BC133)),"")</f>
        <v>0.6179423724</v>
      </c>
      <c r="BH133" s="40">
        <f>IFERROR(ABS(SUMIFS('TRA balance'!I$5:I$40,'TRA balance'!$C$5:$C$40,Assumptions!$BB133,'TRA balance'!$D$5:$D$40,Assumptions!$BC133)),"")</f>
        <v>2.251409832</v>
      </c>
      <c r="BI133" s="40">
        <f>IFERROR(ABS(SUMIFS('TRA balance'!J$5:J$40,'TRA balance'!$C$5:$C$40,Assumptions!$BB133,'TRA balance'!$D$5:$D$40,Assumptions!$BC133)),"")</f>
        <v>5.7442561056</v>
      </c>
      <c r="BJ133" s="40">
        <f>IFERROR(ABS(SUMIFS('TRA balance'!K$5:K$40,'TRA balance'!$C$5:$C$40,Assumptions!$BB133,'TRA balance'!$D$5:$D$40,Assumptions!$BC133)),"")</f>
        <v>0</v>
      </c>
      <c r="BK133" s="40">
        <f>IFERROR(ABS(SUMIFS('TRA balance'!L$5:L$40,'TRA balance'!$C$5:$C$40,Assumptions!$BB133,'TRA balance'!$D$5:$D$40,Assumptions!$BC133)),"")</f>
        <v>99.0935550252</v>
      </c>
      <c r="BL133" s="40">
        <f>IFERROR(ABS(SUMIFS('TRA balance'!M$5:M$40,'TRA balance'!$C$5:$C$40,Assumptions!$BB133,'TRA balance'!$D$5:$D$40,Assumptions!$BC133)),"")</f>
        <v>0.7771998708</v>
      </c>
      <c r="BM133" s="40">
        <f>IFERROR(ABS(SUMIFS('TRA balance'!N$5:N$40,'TRA balance'!$C$5:$C$40,Assumptions!$BB133,'TRA balance'!$D$5:$D$40,Assumptions!$BC133)),"")</f>
        <v>8.4419997516</v>
      </c>
      <c r="BN133" s="40">
        <f>IFERROR(ABS(SUMIFS('TRA balance'!O$5:O$40,'TRA balance'!$C$5:$C$40,Assumptions!$BB133,'TRA balance'!$D$5:$D$40,Assumptions!$BC133)),"")</f>
        <v>12.396298374</v>
      </c>
      <c r="BO133" s="40">
        <f>IFERROR(ABS(SUMIFS('TRA balance'!P$5:P$40,'TRA balance'!$C$5:$C$40,Assumptions!$BB133,'TRA balance'!$D$5:$D$40,Assumptions!$BC133)),"")</f>
        <v>13.18800132</v>
      </c>
      <c r="BP133" s="40">
        <f>IFERROR(ABS(SUMIFS('TRA balance'!Q$5:Q$40,'TRA balance'!$C$5:$C$40,Assumptions!$BB133,'TRA balance'!$D$5:$D$40,Assumptions!$BC133)),"")</f>
        <v>0.845252118</v>
      </c>
      <c r="BQ133" s="40">
        <f>IFERROR(ABS(SUMIFS('TRA balance'!R$5:R$40,'TRA balance'!$C$5:$C$40,Assumptions!$BB133,'TRA balance'!$D$5:$D$40,Assumptions!$BC133)),"")</f>
        <v>5.9773855032</v>
      </c>
      <c r="BR133" s="40">
        <f>IFERROR(ABS(SUMIFS('TRA balance'!S$5:S$40,'TRA balance'!$C$5:$C$40,Assumptions!$BB133,'TRA balance'!$D$5:$D$40,Assumptions!$BC133)),"")</f>
        <v>0.1489830912</v>
      </c>
      <c r="BS133" s="40">
        <f>IFERROR(ABS(SUMIFS('TRA balance'!T$5:T$40,'TRA balance'!$C$5:$C$40,Assumptions!$BB133,'TRA balance'!$D$5:$D$40,Assumptions!$BC133)),"")</f>
        <v>0</v>
      </c>
      <c r="BT133" s="40">
        <f>IFERROR(ABS(SUMIFS('TRA balance'!U$5:U$40,'TRA balance'!$C$5:$C$40,Assumptions!$BB133,'TRA balance'!$D$5:$D$40,Assumptions!$BC133)),"")</f>
        <v>1.2904513092</v>
      </c>
      <c r="BU133" s="40">
        <f>IFERROR(ABS(SUMIFS('TRA balance'!V$5:V$40,'TRA balance'!$C$5:$C$40,Assumptions!$BB133,'TRA balance'!$D$5:$D$40,Assumptions!$BC133)),"")</f>
        <v>9.231600924</v>
      </c>
      <c r="BV133" s="40">
        <f>IFERROR(ABS(SUMIFS('TRA balance'!W$5:W$40,'TRA balance'!$C$5:$C$40,Assumptions!$BB133,'TRA balance'!$D$5:$D$40,Assumptions!$BC133)),"")</f>
        <v>56.6852275512</v>
      </c>
      <c r="BW133" s="40">
        <f>IFERROR(ABS(SUMIFS('TRA balance'!X$5:X$40,'TRA balance'!$C$5:$C$40,Assumptions!$BB133,'TRA balance'!$D$5:$D$40,Assumptions!$BC133)),"")</f>
        <v>2.2883667156</v>
      </c>
      <c r="BX133" s="40">
        <f>IFERROR(ABS(SUMIFS('TRA balance'!Y$5:Y$40,'TRA balance'!$C$5:$C$40,Assumptions!$BB133,'TRA balance'!$D$5:$D$40,Assumptions!$BC133)),"")</f>
        <v>8.2227202884</v>
      </c>
      <c r="BY133" s="40">
        <f>IFERROR(ABS(SUMIFS('TRA balance'!Z$5:Z$40,'TRA balance'!$C$5:$C$40,Assumptions!$BB133,'TRA balance'!$D$5:$D$40,Assumptions!$BC133)),"")</f>
        <v>126.7059950676</v>
      </c>
      <c r="BZ133" s="40">
        <f>IFERROR(ABS(SUMIFS('TRA balance'!AA$5:AA$40,'TRA balance'!$C$5:$C$40,Assumptions!$BB133,'TRA balance'!$D$5:$D$40,Assumptions!$BC133)),"")</f>
        <v>1.8940329576</v>
      </c>
      <c r="CA133" s="40">
        <f>IFERROR(ABS(SUMIFS('TRA balance'!AB$5:AB$40,'TRA balance'!$C$5:$C$40,Assumptions!$BB133,'TRA balance'!$D$5:$D$40,Assumptions!$BC133)),"")</f>
        <v>16.8218548308</v>
      </c>
      <c r="CB133" s="40">
        <f>IFERROR(ABS(SUMIFS('TRA balance'!AC$5:AC$40,'TRA balance'!$C$5:$C$40,Assumptions!$BB133,'TRA balance'!$D$5:$D$40,Assumptions!$BC133)),"")</f>
        <v>41.8178672568</v>
      </c>
      <c r="CC133" s="40">
        <f>IFERROR(ABS(SUMIFS('TRA balance'!AD$5:AD$40,'TRA balance'!$C$5:$C$40,Assumptions!$BB133,'TRA balance'!$D$5:$D$40,Assumptions!$BC133)),"")</f>
        <v>0</v>
      </c>
      <c r="CD133" s="40">
        <f>IFERROR(ABS(SUMIFS('TRA balance'!AE$5:AE$40,'TRA balance'!$C$5:$C$40,Assumptions!$BB133,'TRA balance'!$D$5:$D$40,Assumptions!$BC133)),"")</f>
        <v>0</v>
      </c>
      <c r="CE133" s="40">
        <f>IFERROR(ABS(SUMIFS('TRA balance'!AF$5:AF$40,'TRA balance'!$C$5:$C$40,Assumptions!$BB133,'TRA balance'!$D$5:$D$40,Assumptions!$BC133)),"")</f>
        <v>6.0861250728</v>
      </c>
      <c r="CF133" s="40">
        <f>IFERROR(ABS(SUMIFS('TRA balance'!AG$5:AG$40,'TRA balance'!$C$5:$C$40,Assumptions!$BB133,'TRA balance'!$D$5:$D$40,Assumptions!$BC133)),"")</f>
        <v>10.9913590188</v>
      </c>
      <c r="CG133" s="40">
        <f>IFERROR(ABS(SUMIFS('TRA balance'!AH$5:AH$40,'TRA balance'!$C$5:$C$40,Assumptions!$BB133,'TRA balance'!$D$5:$D$40,Assumptions!$BC133)),"")</f>
        <v>1.7354411604</v>
      </c>
      <c r="CH133" s="40">
        <f>IFERROR(ABS(SUMIFS('TRA balance'!AI$5:AI$40,'TRA balance'!$C$5:$C$40,Assumptions!$BB133,'TRA balance'!$D$5:$D$40,Assumptions!$BC133)),"")</f>
        <v>1.2379069692</v>
      </c>
      <c r="CI133" s="40">
        <f>IFERROR(ABS(SUMIFS('TRA balance'!AJ$5:AJ$40,'TRA balance'!$C$5:$C$40,Assumptions!$BB133,'TRA balance'!$D$5:$D$40,Assumptions!$BC133)),"")</f>
        <v>7.5179981124</v>
      </c>
      <c r="CJ133" s="40">
        <f>IFERROR(ABS(SUMIFS('TRA balance'!AK$5:AK$40,'TRA balance'!$C$5:$C$40,Assumptions!$BB133,'TRA balance'!$D$5:$D$40,Assumptions!$BC133)),"")</f>
        <v>5.717870892</v>
      </c>
      <c r="CK133" s="40">
        <f>IFERROR(ABS(SUMIFS('TRA balance'!AL$5:AL$40,'TRA balance'!$C$5:$C$40,Assumptions!$BB133,'TRA balance'!$D$5:$D$40,Assumptions!$BC133)),"")</f>
        <v>2.0426643576</v>
      </c>
      <c r="CL133" s="40">
        <f>IFERROR(ABS(SUMIFS('TRA balance'!AM$5:AM$40,'TRA balance'!$C$5:$C$40,Assumptions!$BB133,'TRA balance'!$D$5:$D$40,Assumptions!$BC133)),"")</f>
        <v>1.3844156616</v>
      </c>
      <c r="CM133" s="40">
        <f>IFERROR(ABS(SUMIFS('TRA balance'!AN$5:AN$40,'TRA balance'!$C$5:$C$40,Assumptions!$BB133,'TRA balance'!$D$5:$D$40,Assumptions!$BC133)),"")</f>
        <v>0</v>
      </c>
      <c r="CN133" s="40">
        <f>IFERROR(ABS(SUMIFS('TRA balance'!AO$5:AO$40,'TRA balance'!$C$5:$C$40,Assumptions!$BB133,'TRA balance'!$D$5:$D$40,Assumptions!$BC133)),"")</f>
        <v>0</v>
      </c>
      <c r="CO133" s="40">
        <f>IFERROR(ABS(SUMIFS('TRA balance'!AP$5:AP$40,'TRA balance'!$C$5:$C$40,Assumptions!$BB133,'TRA balance'!$D$5:$D$40,Assumptions!$BC133)),"")</f>
        <v>0</v>
      </c>
      <c r="CP133" s="40">
        <f>IFERROR(ABS(SUMIFS('TRA balance'!AQ$5:AQ$40,'TRA balance'!$C$5:$C$40,Assumptions!$BB133,'TRA balance'!$D$5:$D$40,Assumptions!$BC133)),"")</f>
        <v>0</v>
      </c>
      <c r="CQ133" s="40">
        <f>IFERROR(ABS(SUMIFS('TRA balance'!AR$5:AR$40,'TRA balance'!$C$5:$C$40,Assumptions!$BB133,'TRA balance'!$D$5:$D$40,Assumptions!$BC133)),"")</f>
        <v>0</v>
      </c>
      <c r="CR133" s="40">
        <f>IFERROR(ABS(SUMIFS('TRA balance'!AS$5:AS$40,'TRA balance'!$C$5:$C$40,Assumptions!$BB133,'TRA balance'!$D$5:$D$40,Assumptions!$BC133)),"")</f>
        <v>0</v>
      </c>
      <c r="CS133" s="40">
        <f>IFERROR(ABS(SUMIFS('TRA balance'!AT$5:AT$40,'TRA balance'!$C$5:$C$40,Assumptions!$BB133,'TRA balance'!$D$5:$D$40,Assumptions!$BC133)),"")</f>
        <v>0</v>
      </c>
      <c r="CT133" s="40">
        <f>IFERROR(ABS(SUMIFS('TRA balance'!AU$5:AU$40,'TRA balance'!$C$5:$C$40,Assumptions!$BB133,'TRA balance'!$D$5:$D$40,Assumptions!$BC133)),"")</f>
        <v>0</v>
      </c>
      <c r="CU133" s="40">
        <f>IFERROR(ABS(SUMIFS('TRA balance'!AV$5:AV$40,'TRA balance'!$C$5:$C$40,Assumptions!$BB133,'TRA balance'!$D$5:$D$40,Assumptions!$BC133)),"")</f>
        <v>0</v>
      </c>
      <c r="CV133" s="40">
        <f>IFERROR(ABS(SUMIFS('TRA balance'!AW$5:AW$40,'TRA balance'!$C$5:$C$40,Assumptions!$BB133,'TRA balance'!$D$5:$D$40,Assumptions!$BC133)),"")</f>
        <v>0</v>
      </c>
      <c r="CW133" s="40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8" t="s">
        <v>41</v>
      </c>
      <c r="BC134" s="38" t="s">
        <v>58</v>
      </c>
      <c r="BD134" s="40">
        <f>IFERROR(ABS(SUMIFS('TRA balance'!E$5:E$40,'TRA balance'!$C$5:$C$40,Assumptions!$BB134,'TRA balance'!$D$5:$D$40,Assumptions!$BC134)),"")</f>
        <v>0</v>
      </c>
      <c r="BE134" s="40">
        <f>IFERROR(ABS(SUMIFS('TRA balance'!F$5:F$40,'TRA balance'!$C$5:$C$40,Assumptions!$BB134,'TRA balance'!$D$5:$D$40,Assumptions!$BC134)),"")</f>
        <v>0.1432471752</v>
      </c>
      <c r="BF134" s="40">
        <f>IFERROR(ABS(SUMIFS('TRA balance'!G$5:G$40,'TRA balance'!$C$5:$C$40,Assumptions!$BB134,'TRA balance'!$D$5:$D$40,Assumptions!$BC134)),"")</f>
        <v>0</v>
      </c>
      <c r="BG134" s="40">
        <f>IFERROR(ABS(SUMIFS('TRA balance'!H$5:H$40,'TRA balance'!$C$5:$C$40,Assumptions!$BB134,'TRA balance'!$D$5:$D$40,Assumptions!$BC134)),"")</f>
        <v>0</v>
      </c>
      <c r="BH134" s="40">
        <f>IFERROR(ABS(SUMIFS('TRA balance'!I$5:I$40,'TRA balance'!$C$5:$C$40,Assumptions!$BB134,'TRA balance'!$D$5:$D$40,Assumptions!$BC134)),"")</f>
        <v>0</v>
      </c>
      <c r="BI134" s="40">
        <f>IFERROR(ABS(SUMIFS('TRA balance'!J$5:J$40,'TRA balance'!$C$5:$C$40,Assumptions!$BB134,'TRA balance'!$D$5:$D$40,Assumptions!$BC134)),"")</f>
        <v>0</v>
      </c>
      <c r="BJ134" s="40">
        <f>IFERROR(ABS(SUMIFS('TRA balance'!K$5:K$40,'TRA balance'!$C$5:$C$40,Assumptions!$BB134,'TRA balance'!$D$5:$D$40,Assumptions!$BC134)),"")</f>
        <v>0</v>
      </c>
      <c r="BK134" s="40">
        <f>IFERROR(ABS(SUMIFS('TRA balance'!L$5:L$40,'TRA balance'!$C$5:$C$40,Assumptions!$BB134,'TRA balance'!$D$5:$D$40,Assumptions!$BC134)),"")</f>
        <v>0</v>
      </c>
      <c r="BL134" s="40">
        <f>IFERROR(ABS(SUMIFS('TRA balance'!M$5:M$40,'TRA balance'!$C$5:$C$40,Assumptions!$BB134,'TRA balance'!$D$5:$D$40,Assumptions!$BC134)),"")</f>
        <v>0</v>
      </c>
      <c r="BM134" s="40">
        <f>IFERROR(ABS(SUMIFS('TRA balance'!N$5:N$40,'TRA balance'!$C$5:$C$40,Assumptions!$BB134,'TRA balance'!$D$5:$D$40,Assumptions!$BC134)),"")</f>
        <v>0</v>
      </c>
      <c r="BN134" s="40">
        <f>IFERROR(ABS(SUMIFS('TRA balance'!O$5:O$40,'TRA balance'!$C$5:$C$40,Assumptions!$BB134,'TRA balance'!$D$5:$D$40,Assumptions!$BC134)),"")</f>
        <v>0</v>
      </c>
      <c r="BO134" s="40">
        <f>IFERROR(ABS(SUMIFS('TRA balance'!P$5:P$40,'TRA balance'!$C$5:$C$40,Assumptions!$BB134,'TRA balance'!$D$5:$D$40,Assumptions!$BC134)),"")</f>
        <v>0</v>
      </c>
      <c r="BP134" s="40">
        <f>IFERROR(ABS(SUMIFS('TRA balance'!Q$5:Q$40,'TRA balance'!$C$5:$C$40,Assumptions!$BB134,'TRA balance'!$D$5:$D$40,Assumptions!$BC134)),"")</f>
        <v>0</v>
      </c>
      <c r="BQ134" s="40">
        <f>IFERROR(ABS(SUMIFS('TRA balance'!R$5:R$40,'TRA balance'!$C$5:$C$40,Assumptions!$BB134,'TRA balance'!$D$5:$D$40,Assumptions!$BC134)),"")</f>
        <v>0</v>
      </c>
      <c r="BR134" s="40">
        <f>IFERROR(ABS(SUMIFS('TRA balance'!S$5:S$40,'TRA balance'!$C$5:$C$40,Assumptions!$BB134,'TRA balance'!$D$5:$D$40,Assumptions!$BC134)),"")</f>
        <v>0</v>
      </c>
      <c r="BS134" s="40">
        <f>IFERROR(ABS(SUMIFS('TRA balance'!T$5:T$40,'TRA balance'!$C$5:$C$40,Assumptions!$BB134,'TRA balance'!$D$5:$D$40,Assumptions!$BC134)),"")</f>
        <v>0</v>
      </c>
      <c r="BT134" s="40">
        <f>IFERROR(ABS(SUMIFS('TRA balance'!U$5:U$40,'TRA balance'!$C$5:$C$40,Assumptions!$BB134,'TRA balance'!$D$5:$D$40,Assumptions!$BC134)),"")</f>
        <v>0</v>
      </c>
      <c r="BU134" s="40">
        <f>IFERROR(ABS(SUMIFS('TRA balance'!V$5:V$40,'TRA balance'!$C$5:$C$40,Assumptions!$BB134,'TRA balance'!$D$5:$D$40,Assumptions!$BC134)),"")</f>
        <v>0</v>
      </c>
      <c r="BV134" s="40">
        <f>IFERROR(ABS(SUMIFS('TRA balance'!W$5:W$40,'TRA balance'!$C$5:$C$40,Assumptions!$BB134,'TRA balance'!$D$5:$D$40,Assumptions!$BC134)),"")</f>
        <v>0</v>
      </c>
      <c r="BW134" s="40">
        <f>IFERROR(ABS(SUMIFS('TRA balance'!X$5:X$40,'TRA balance'!$C$5:$C$40,Assumptions!$BB134,'TRA balance'!$D$5:$D$40,Assumptions!$BC134)),"")</f>
        <v>0</v>
      </c>
      <c r="BX134" s="40">
        <f>IFERROR(ABS(SUMIFS('TRA balance'!Y$5:Y$40,'TRA balance'!$C$5:$C$40,Assumptions!$BB134,'TRA balance'!$D$5:$D$40,Assumptions!$BC134)),"")</f>
        <v>0</v>
      </c>
      <c r="BY134" s="40">
        <f>IFERROR(ABS(SUMIFS('TRA balance'!Z$5:Z$40,'TRA balance'!$C$5:$C$40,Assumptions!$BB134,'TRA balance'!$D$5:$D$40,Assumptions!$BC134)),"")</f>
        <v>261.4400032896</v>
      </c>
      <c r="BZ134" s="40">
        <f>IFERROR(ABS(SUMIFS('TRA balance'!AA$5:AA$40,'TRA balance'!$C$5:$C$40,Assumptions!$BB134,'TRA balance'!$D$5:$D$40,Assumptions!$BC134)),"")</f>
        <v>0</v>
      </c>
      <c r="CA134" s="40">
        <f>IFERROR(ABS(SUMIFS('TRA balance'!AB$5:AB$40,'TRA balance'!$C$5:$C$40,Assumptions!$BB134,'TRA balance'!$D$5:$D$40,Assumptions!$BC134)),"")</f>
        <v>0</v>
      </c>
      <c r="CB134" s="40">
        <f>IFERROR(ABS(SUMIFS('TRA balance'!AC$5:AC$40,'TRA balance'!$C$5:$C$40,Assumptions!$BB134,'TRA balance'!$D$5:$D$40,Assumptions!$BC134)),"")</f>
        <v>3.0110795712</v>
      </c>
      <c r="CC134" s="40">
        <f>IFERROR(ABS(SUMIFS('TRA balance'!AD$5:AD$40,'TRA balance'!$C$5:$C$40,Assumptions!$BB134,'TRA balance'!$D$5:$D$40,Assumptions!$BC134)),"")</f>
        <v>0</v>
      </c>
      <c r="CD134" s="40">
        <f>IFERROR(ABS(SUMIFS('TRA balance'!AE$5:AE$40,'TRA balance'!$C$5:$C$40,Assumptions!$BB134,'TRA balance'!$D$5:$D$40,Assumptions!$BC134)),"")</f>
        <v>0</v>
      </c>
      <c r="CE134" s="40">
        <f>IFERROR(ABS(SUMIFS('TRA balance'!AF$5:AF$40,'TRA balance'!$C$5:$C$40,Assumptions!$BB134,'TRA balance'!$D$5:$D$40,Assumptions!$BC134)),"")</f>
        <v>0</v>
      </c>
      <c r="CF134" s="40">
        <f>IFERROR(ABS(SUMIFS('TRA balance'!AG$5:AG$40,'TRA balance'!$C$5:$C$40,Assumptions!$BB134,'TRA balance'!$D$5:$D$40,Assumptions!$BC134)),"")</f>
        <v>0</v>
      </c>
      <c r="CG134" s="40">
        <f>IFERROR(ABS(SUMIFS('TRA balance'!AH$5:AH$40,'TRA balance'!$C$5:$C$40,Assumptions!$BB134,'TRA balance'!$D$5:$D$40,Assumptions!$BC134)),"")</f>
        <v>0</v>
      </c>
      <c r="CH134" s="40">
        <f>IFERROR(ABS(SUMIFS('TRA balance'!AI$5:AI$40,'TRA balance'!$C$5:$C$40,Assumptions!$BB134,'TRA balance'!$D$5:$D$40,Assumptions!$BC134)),"")</f>
        <v>0</v>
      </c>
      <c r="CI134" s="40">
        <f>IFERROR(ABS(SUMIFS('TRA balance'!AJ$5:AJ$40,'TRA balance'!$C$5:$C$40,Assumptions!$BB134,'TRA balance'!$D$5:$D$40,Assumptions!$BC134)),"")</f>
        <v>0</v>
      </c>
      <c r="CJ134" s="40">
        <f>IFERROR(ABS(SUMIFS('TRA balance'!AK$5:AK$40,'TRA balance'!$C$5:$C$40,Assumptions!$BB134,'TRA balance'!$D$5:$D$40,Assumptions!$BC134)),"")</f>
        <v>0</v>
      </c>
      <c r="CK134" s="40">
        <f>IFERROR(ABS(SUMIFS('TRA balance'!AL$5:AL$40,'TRA balance'!$C$5:$C$40,Assumptions!$BB134,'TRA balance'!$D$5:$D$40,Assumptions!$BC134)),"")</f>
        <v>0.0359981064</v>
      </c>
      <c r="CL134" s="40">
        <f>IFERROR(ABS(SUMIFS('TRA balance'!AM$5:AM$40,'TRA balance'!$C$5:$C$40,Assumptions!$BB134,'TRA balance'!$D$5:$D$40,Assumptions!$BC134)),"")</f>
        <v>0</v>
      </c>
      <c r="CM134" s="40">
        <f>IFERROR(ABS(SUMIFS('TRA balance'!AN$5:AN$40,'TRA balance'!$C$5:$C$40,Assumptions!$BB134,'TRA balance'!$D$5:$D$40,Assumptions!$BC134)),"")</f>
        <v>0</v>
      </c>
      <c r="CN134" s="40">
        <f>IFERROR(ABS(SUMIFS('TRA balance'!AO$5:AO$40,'TRA balance'!$C$5:$C$40,Assumptions!$BB134,'TRA balance'!$D$5:$D$40,Assumptions!$BC134)),"")</f>
        <v>0</v>
      </c>
      <c r="CO134" s="40">
        <f>IFERROR(ABS(SUMIFS('TRA balance'!AP$5:AP$40,'TRA balance'!$C$5:$C$40,Assumptions!$BB134,'TRA balance'!$D$5:$D$40,Assumptions!$BC134)),"")</f>
        <v>0</v>
      </c>
      <c r="CP134" s="40">
        <f>IFERROR(ABS(SUMIFS('TRA balance'!AQ$5:AQ$40,'TRA balance'!$C$5:$C$40,Assumptions!$BB134,'TRA balance'!$D$5:$D$40,Assumptions!$BC134)),"")</f>
        <v>0</v>
      </c>
      <c r="CQ134" s="40">
        <f>IFERROR(ABS(SUMIFS('TRA balance'!AR$5:AR$40,'TRA balance'!$C$5:$C$40,Assumptions!$BB134,'TRA balance'!$D$5:$D$40,Assumptions!$BC134)),"")</f>
        <v>0</v>
      </c>
      <c r="CR134" s="40">
        <f>IFERROR(ABS(SUMIFS('TRA balance'!AS$5:AS$40,'TRA balance'!$C$5:$C$40,Assumptions!$BB134,'TRA balance'!$D$5:$D$40,Assumptions!$BC134)),"")</f>
        <v>0</v>
      </c>
      <c r="CS134" s="40">
        <f>IFERROR(ABS(SUMIFS('TRA balance'!AT$5:AT$40,'TRA balance'!$C$5:$C$40,Assumptions!$BB134,'TRA balance'!$D$5:$D$40,Assumptions!$BC134)),"")</f>
        <v>0</v>
      </c>
      <c r="CT134" s="40">
        <f>IFERROR(ABS(SUMIFS('TRA balance'!AU$5:AU$40,'TRA balance'!$C$5:$C$40,Assumptions!$BB134,'TRA balance'!$D$5:$D$40,Assumptions!$BC134)),"")</f>
        <v>0</v>
      </c>
      <c r="CU134" s="40">
        <f>IFERROR(ABS(SUMIFS('TRA balance'!AV$5:AV$40,'TRA balance'!$C$5:$C$40,Assumptions!$BB134,'TRA balance'!$D$5:$D$40,Assumptions!$BC134)),"")</f>
        <v>0</v>
      </c>
      <c r="CV134" s="40">
        <f>IFERROR(ABS(SUMIFS('TRA balance'!AW$5:AW$40,'TRA balance'!$C$5:$C$40,Assumptions!$BB134,'TRA balance'!$D$5:$D$40,Assumptions!$BC134)),"")</f>
        <v>0</v>
      </c>
      <c r="CW134" s="40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8" t="s">
        <v>41</v>
      </c>
      <c r="BC135" s="38" t="s">
        <v>268</v>
      </c>
      <c r="BD135" s="40">
        <f>IFERROR(ABS(SUMIFS('TRA balance'!E$5:E$40,'TRA balance'!$C$5:$C$40,Assumptions!$BB135,'TRA balance'!$D$5:$D$40,Assumptions!$BC135)),"")</f>
        <v>0</v>
      </c>
      <c r="BE135" s="40">
        <f>IFERROR(ABS(SUMIFS('TRA balance'!F$5:F$40,'TRA balance'!$C$5:$C$40,Assumptions!$BB135,'TRA balance'!$D$5:$D$40,Assumptions!$BC135)),"")</f>
        <v>0</v>
      </c>
      <c r="BF135" s="40">
        <f>IFERROR(ABS(SUMIFS('TRA balance'!G$5:G$40,'TRA balance'!$C$5:$C$40,Assumptions!$BB135,'TRA balance'!$D$5:$D$40,Assumptions!$BC135)),"")</f>
        <v>0</v>
      </c>
      <c r="BG135" s="40">
        <f>IFERROR(ABS(SUMIFS('TRA balance'!H$5:H$40,'TRA balance'!$C$5:$C$40,Assumptions!$BB135,'TRA balance'!$D$5:$D$40,Assumptions!$BC135)),"")</f>
        <v>0</v>
      </c>
      <c r="BH135" s="40">
        <f>IFERROR(ABS(SUMIFS('TRA balance'!I$5:I$40,'TRA balance'!$C$5:$C$40,Assumptions!$BB135,'TRA balance'!$D$5:$D$40,Assumptions!$BC135)),"")</f>
        <v>0</v>
      </c>
      <c r="BI135" s="40">
        <f>IFERROR(ABS(SUMIFS('TRA balance'!J$5:J$40,'TRA balance'!$C$5:$C$40,Assumptions!$BB135,'TRA balance'!$D$5:$D$40,Assumptions!$BC135)),"")</f>
        <v>0</v>
      </c>
      <c r="BJ135" s="40">
        <f>IFERROR(ABS(SUMIFS('TRA balance'!K$5:K$40,'TRA balance'!$C$5:$C$40,Assumptions!$BB135,'TRA balance'!$D$5:$D$40,Assumptions!$BC135)),"")</f>
        <v>0</v>
      </c>
      <c r="BK135" s="40">
        <f>IFERROR(ABS(SUMIFS('TRA balance'!L$5:L$40,'TRA balance'!$C$5:$C$40,Assumptions!$BB135,'TRA balance'!$D$5:$D$40,Assumptions!$BC135)),"")</f>
        <v>0</v>
      </c>
      <c r="BL135" s="40">
        <f>IFERROR(ABS(SUMIFS('TRA balance'!M$5:M$40,'TRA balance'!$C$5:$C$40,Assumptions!$BB135,'TRA balance'!$D$5:$D$40,Assumptions!$BC135)),"")</f>
        <v>0</v>
      </c>
      <c r="BM135" s="40">
        <f>IFERROR(ABS(SUMIFS('TRA balance'!N$5:N$40,'TRA balance'!$C$5:$C$40,Assumptions!$BB135,'TRA balance'!$D$5:$D$40,Assumptions!$BC135)),"")</f>
        <v>0</v>
      </c>
      <c r="BN135" s="40">
        <f>IFERROR(ABS(SUMIFS('TRA balance'!O$5:O$40,'TRA balance'!$C$5:$C$40,Assumptions!$BB135,'TRA balance'!$D$5:$D$40,Assumptions!$BC135)),"")</f>
        <v>0</v>
      </c>
      <c r="BO135" s="40">
        <f>IFERROR(ABS(SUMIFS('TRA balance'!P$5:P$40,'TRA balance'!$C$5:$C$40,Assumptions!$BB135,'TRA balance'!$D$5:$D$40,Assumptions!$BC135)),"")</f>
        <v>0</v>
      </c>
      <c r="BP135" s="40">
        <f>IFERROR(ABS(SUMIFS('TRA balance'!Q$5:Q$40,'TRA balance'!$C$5:$C$40,Assumptions!$BB135,'TRA balance'!$D$5:$D$40,Assumptions!$BC135)),"")</f>
        <v>0</v>
      </c>
      <c r="BQ135" s="40">
        <f>IFERROR(ABS(SUMIFS('TRA balance'!R$5:R$40,'TRA balance'!$C$5:$C$40,Assumptions!$BB135,'TRA balance'!$D$5:$D$40,Assumptions!$BC135)),"")</f>
        <v>0</v>
      </c>
      <c r="BR135" s="40">
        <f>IFERROR(ABS(SUMIFS('TRA balance'!S$5:S$40,'TRA balance'!$C$5:$C$40,Assumptions!$BB135,'TRA balance'!$D$5:$D$40,Assumptions!$BC135)),"")</f>
        <v>0</v>
      </c>
      <c r="BS135" s="40">
        <f>IFERROR(ABS(SUMIFS('TRA balance'!T$5:T$40,'TRA balance'!$C$5:$C$40,Assumptions!$BB135,'TRA balance'!$D$5:$D$40,Assumptions!$BC135)),"")</f>
        <v>0</v>
      </c>
      <c r="BT135" s="40">
        <f>IFERROR(ABS(SUMIFS('TRA balance'!U$5:U$40,'TRA balance'!$C$5:$C$40,Assumptions!$BB135,'TRA balance'!$D$5:$D$40,Assumptions!$BC135)),"")</f>
        <v>0</v>
      </c>
      <c r="BU135" s="40">
        <f>IFERROR(ABS(SUMIFS('TRA balance'!V$5:V$40,'TRA balance'!$C$5:$C$40,Assumptions!$BB135,'TRA balance'!$D$5:$D$40,Assumptions!$BC135)),"")</f>
        <v>0</v>
      </c>
      <c r="BV135" s="40">
        <f>IFERROR(ABS(SUMIFS('TRA balance'!W$5:W$40,'TRA balance'!$C$5:$C$40,Assumptions!$BB135,'TRA balance'!$D$5:$D$40,Assumptions!$BC135)),"")</f>
        <v>0</v>
      </c>
      <c r="BW135" s="40">
        <f>IFERROR(ABS(SUMIFS('TRA balance'!X$5:X$40,'TRA balance'!$C$5:$C$40,Assumptions!$BB135,'TRA balance'!$D$5:$D$40,Assumptions!$BC135)),"")</f>
        <v>0</v>
      </c>
      <c r="BX135" s="40">
        <f>IFERROR(ABS(SUMIFS('TRA balance'!Y$5:Y$40,'TRA balance'!$C$5:$C$40,Assumptions!$BB135,'TRA balance'!$D$5:$D$40,Assumptions!$BC135)),"")</f>
        <v>0</v>
      </c>
      <c r="BY135" s="40">
        <f>IFERROR(ABS(SUMIFS('TRA balance'!Z$5:Z$40,'TRA balance'!$C$5:$C$40,Assumptions!$BB135,'TRA balance'!$D$5:$D$40,Assumptions!$BC135)),"")</f>
        <v>0</v>
      </c>
      <c r="BZ135" s="40">
        <f>IFERROR(ABS(SUMIFS('TRA balance'!AA$5:AA$40,'TRA balance'!$C$5:$C$40,Assumptions!$BB135,'TRA balance'!$D$5:$D$40,Assumptions!$BC135)),"")</f>
        <v>0</v>
      </c>
      <c r="CA135" s="40">
        <f>IFERROR(ABS(SUMIFS('TRA balance'!AB$5:AB$40,'TRA balance'!$C$5:$C$40,Assumptions!$BB135,'TRA balance'!$D$5:$D$40,Assumptions!$BC135)),"")</f>
        <v>0</v>
      </c>
      <c r="CB135" s="40">
        <f>IFERROR(ABS(SUMIFS('TRA balance'!AC$5:AC$40,'TRA balance'!$C$5:$C$40,Assumptions!$BB135,'TRA balance'!$D$5:$D$40,Assumptions!$BC135)),"")</f>
        <v>0</v>
      </c>
      <c r="CC135" s="40">
        <f>IFERROR(ABS(SUMIFS('TRA balance'!AD$5:AD$40,'TRA balance'!$C$5:$C$40,Assumptions!$BB135,'TRA balance'!$D$5:$D$40,Assumptions!$BC135)),"")</f>
        <v>0</v>
      </c>
      <c r="CD135" s="40">
        <f>IFERROR(ABS(SUMIFS('TRA balance'!AE$5:AE$40,'TRA balance'!$C$5:$C$40,Assumptions!$BB135,'TRA balance'!$D$5:$D$40,Assumptions!$BC135)),"")</f>
        <v>0</v>
      </c>
      <c r="CE135" s="40">
        <f>IFERROR(ABS(SUMIFS('TRA balance'!AF$5:AF$40,'TRA balance'!$C$5:$C$40,Assumptions!$BB135,'TRA balance'!$D$5:$D$40,Assumptions!$BC135)),"")</f>
        <v>0</v>
      </c>
      <c r="CF135" s="40">
        <f>IFERROR(ABS(SUMIFS('TRA balance'!AG$5:AG$40,'TRA balance'!$C$5:$C$40,Assumptions!$BB135,'TRA balance'!$D$5:$D$40,Assumptions!$BC135)),"")</f>
        <v>0</v>
      </c>
      <c r="CG135" s="40">
        <f>IFERROR(ABS(SUMIFS('TRA balance'!AH$5:AH$40,'TRA balance'!$C$5:$C$40,Assumptions!$BB135,'TRA balance'!$D$5:$D$40,Assumptions!$BC135)),"")</f>
        <v>0</v>
      </c>
      <c r="CH135" s="40">
        <f>IFERROR(ABS(SUMIFS('TRA balance'!AI$5:AI$40,'TRA balance'!$C$5:$C$40,Assumptions!$BB135,'TRA balance'!$D$5:$D$40,Assumptions!$BC135)),"")</f>
        <v>0</v>
      </c>
      <c r="CI135" s="40">
        <f>IFERROR(ABS(SUMIFS('TRA balance'!AJ$5:AJ$40,'TRA balance'!$C$5:$C$40,Assumptions!$BB135,'TRA balance'!$D$5:$D$40,Assumptions!$BC135)),"")</f>
        <v>0</v>
      </c>
      <c r="CJ135" s="40">
        <f>IFERROR(ABS(SUMIFS('TRA balance'!AK$5:AK$40,'TRA balance'!$C$5:$C$40,Assumptions!$BB135,'TRA balance'!$D$5:$D$40,Assumptions!$BC135)),"")</f>
        <v>0</v>
      </c>
      <c r="CK135" s="40">
        <f>IFERROR(ABS(SUMIFS('TRA balance'!AL$5:AL$40,'TRA balance'!$C$5:$C$40,Assumptions!$BB135,'TRA balance'!$D$5:$D$40,Assumptions!$BC135)),"")</f>
        <v>0</v>
      </c>
      <c r="CL135" s="40">
        <f>IFERROR(ABS(SUMIFS('TRA balance'!AM$5:AM$40,'TRA balance'!$C$5:$C$40,Assumptions!$BB135,'TRA balance'!$D$5:$D$40,Assumptions!$BC135)),"")</f>
        <v>0</v>
      </c>
      <c r="CM135" s="40">
        <f>IFERROR(ABS(SUMIFS('TRA balance'!AN$5:AN$40,'TRA balance'!$C$5:$C$40,Assumptions!$BB135,'TRA balance'!$D$5:$D$40,Assumptions!$BC135)),"")</f>
        <v>0</v>
      </c>
      <c r="CN135" s="40">
        <f>IFERROR(ABS(SUMIFS('TRA balance'!AO$5:AO$40,'TRA balance'!$C$5:$C$40,Assumptions!$BB135,'TRA balance'!$D$5:$D$40,Assumptions!$BC135)),"")</f>
        <v>0</v>
      </c>
      <c r="CO135" s="40">
        <f>IFERROR(ABS(SUMIFS('TRA balance'!AP$5:AP$40,'TRA balance'!$C$5:$C$40,Assumptions!$BB135,'TRA balance'!$D$5:$D$40,Assumptions!$BC135)),"")</f>
        <v>0</v>
      </c>
      <c r="CP135" s="40">
        <f>IFERROR(ABS(SUMIFS('TRA balance'!AQ$5:AQ$40,'TRA balance'!$C$5:$C$40,Assumptions!$BB135,'TRA balance'!$D$5:$D$40,Assumptions!$BC135)),"")</f>
        <v>0</v>
      </c>
      <c r="CQ135" s="40">
        <f>IFERROR(ABS(SUMIFS('TRA balance'!AR$5:AR$40,'TRA balance'!$C$5:$C$40,Assumptions!$BB135,'TRA balance'!$D$5:$D$40,Assumptions!$BC135)),"")</f>
        <v>0</v>
      </c>
      <c r="CR135" s="40">
        <f>IFERROR(ABS(SUMIFS('TRA balance'!AS$5:AS$40,'TRA balance'!$C$5:$C$40,Assumptions!$BB135,'TRA balance'!$D$5:$D$40,Assumptions!$BC135)),"")</f>
        <v>0</v>
      </c>
      <c r="CS135" s="40">
        <f>IFERROR(ABS(SUMIFS('TRA balance'!AT$5:AT$40,'TRA balance'!$C$5:$C$40,Assumptions!$BB135,'TRA balance'!$D$5:$D$40,Assumptions!$BC135)),"")</f>
        <v>0</v>
      </c>
      <c r="CT135" s="40">
        <f>IFERROR(ABS(SUMIFS('TRA balance'!AU$5:AU$40,'TRA balance'!$C$5:$C$40,Assumptions!$BB135,'TRA balance'!$D$5:$D$40,Assumptions!$BC135)),"")</f>
        <v>0</v>
      </c>
      <c r="CU135" s="40">
        <f>IFERROR(ABS(SUMIFS('TRA balance'!AV$5:AV$40,'TRA balance'!$C$5:$C$40,Assumptions!$BB135,'TRA balance'!$D$5:$D$40,Assumptions!$BC135)),"")</f>
        <v>0</v>
      </c>
      <c r="CV135" s="40">
        <f>IFERROR(ABS(SUMIFS('TRA balance'!AW$5:AW$40,'TRA balance'!$C$5:$C$40,Assumptions!$BB135,'TRA balance'!$D$5:$D$40,Assumptions!$BC135)),"")</f>
        <v>0</v>
      </c>
      <c r="CW135" s="40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zoomScale="88" zoomScaleNormal="88" topLeftCell="E43" workbookViewId="0">
      <selection activeCell="Q55" sqref="Q55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636363636364" customWidth="1"/>
    <col min="8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2727272727273" customWidth="1"/>
    <col min="29" max="29" width="4.6" customWidth="1"/>
    <col min="30" max="30" width="6.92727272727273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8"/>
      <c r="B1" s="38"/>
      <c r="C1" s="38"/>
      <c r="D1" s="38"/>
      <c r="E1" s="38"/>
      <c r="F1" s="38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40"/>
      <c r="BB1" s="39"/>
      <c r="BC1" s="39"/>
      <c r="BD1" s="38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  <c r="EL1" s="38"/>
      <c r="EM1" s="38"/>
      <c r="EN1" s="38"/>
      <c r="EO1" s="38"/>
      <c r="EP1" s="38"/>
      <c r="EQ1" s="38"/>
      <c r="ER1" s="38"/>
      <c r="ES1" s="38"/>
      <c r="ET1" s="38"/>
      <c r="EU1" s="38"/>
      <c r="EV1" s="38"/>
      <c r="EW1" s="38" t="s">
        <v>131</v>
      </c>
      <c r="EX1" s="38"/>
      <c r="EY1" s="38"/>
      <c r="EZ1" s="38"/>
      <c r="FA1" s="38"/>
      <c r="FB1" s="38"/>
      <c r="FC1" s="38"/>
      <c r="FD1" s="38"/>
    </row>
    <row r="2" spans="1:160">
      <c r="A2" s="38"/>
      <c r="B2" s="38"/>
      <c r="C2" s="38"/>
      <c r="D2" s="38"/>
      <c r="E2" s="38"/>
      <c r="F2" s="38" t="s">
        <v>433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 t="s">
        <v>434</v>
      </c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41" t="s">
        <v>161</v>
      </c>
      <c r="DB2" s="41" t="str">
        <f>G3</f>
        <v>Africa_North</v>
      </c>
      <c r="DC2" s="41" t="str">
        <f t="shared" ref="DC2:EU2" si="0">H3</f>
        <v>Africa_Other</v>
      </c>
      <c r="DD2" s="41" t="str">
        <f t="shared" si="0"/>
        <v>Australia</v>
      </c>
      <c r="DE2" s="41" t="str">
        <f t="shared" si="0"/>
        <v>Austria</v>
      </c>
      <c r="DF2" s="41" t="str">
        <f t="shared" si="0"/>
        <v>Baltics</v>
      </c>
      <c r="DG2" s="41" t="str">
        <f t="shared" si="0"/>
        <v>BeNeLux</v>
      </c>
      <c r="DH2" s="41" t="str">
        <f t="shared" si="0"/>
        <v>Brazil</v>
      </c>
      <c r="DI2" s="41" t="str">
        <f t="shared" si="0"/>
        <v>China</v>
      </c>
      <c r="DJ2" s="41" t="str">
        <f t="shared" si="0"/>
        <v>CroSloven</v>
      </c>
      <c r="DK2" s="41" t="str">
        <f t="shared" si="0"/>
        <v>CzechSlovak</v>
      </c>
      <c r="DL2" s="41" t="str">
        <f t="shared" si="0"/>
        <v>France</v>
      </c>
      <c r="DM2" s="41" t="str">
        <f t="shared" si="0"/>
        <v>Germany</v>
      </c>
      <c r="DN2" s="41" t="str">
        <f t="shared" si="0"/>
        <v>GreeceCyp</v>
      </c>
      <c r="DO2" s="41" t="str">
        <f t="shared" si="0"/>
        <v>HunRomBul</v>
      </c>
      <c r="DP2" s="41" t="str">
        <f t="shared" si="0"/>
        <v>Iceland</v>
      </c>
      <c r="DQ2" s="41" t="str">
        <f t="shared" si="0"/>
        <v>India</v>
      </c>
      <c r="DR2" s="41" t="str">
        <f t="shared" si="0"/>
        <v>Ireland</v>
      </c>
      <c r="DS2" s="41" t="str">
        <f t="shared" si="0"/>
        <v>ItalyMal</v>
      </c>
      <c r="DT2" s="41" t="str">
        <f t="shared" si="0"/>
        <v>Japan</v>
      </c>
      <c r="DU2" s="41" t="str">
        <f t="shared" si="0"/>
        <v>LatAm</v>
      </c>
      <c r="DV2" s="41" t="str">
        <f t="shared" si="0"/>
        <v>MidEast</v>
      </c>
      <c r="DW2" s="41" t="str">
        <f t="shared" si="0"/>
        <v>NorthAm</v>
      </c>
      <c r="DX2" s="41" t="str">
        <f t="shared" si="0"/>
        <v>Norway</v>
      </c>
      <c r="DY2" s="41" t="str">
        <f t="shared" si="0"/>
        <v>Poland</v>
      </c>
      <c r="DZ2" s="41" t="str">
        <f t="shared" si="0"/>
        <v>ROW</v>
      </c>
      <c r="EA2" s="41" t="str">
        <f t="shared" si="0"/>
        <v>Russia</v>
      </c>
      <c r="EB2" s="41" t="str">
        <f t="shared" si="0"/>
        <v>SaudiArabia</v>
      </c>
      <c r="EC2" s="41" t="str">
        <f t="shared" si="0"/>
        <v>SouthAfrica</v>
      </c>
      <c r="ED2" s="41" t="str">
        <f t="shared" si="0"/>
        <v>SpainPor</v>
      </c>
      <c r="EE2" s="41" t="str">
        <f t="shared" si="0"/>
        <v>SweFinDen</v>
      </c>
      <c r="EF2" s="41" t="str">
        <f t="shared" si="0"/>
        <v>Switzerland</v>
      </c>
      <c r="EG2" s="41" t="str">
        <f t="shared" si="0"/>
        <v>Turkey</v>
      </c>
      <c r="EH2" s="41" t="str">
        <f t="shared" si="0"/>
        <v>UK</v>
      </c>
      <c r="EI2" s="41" t="str">
        <f t="shared" si="0"/>
        <v>Ukraine</v>
      </c>
      <c r="EJ2" s="41" t="str">
        <f t="shared" si="0"/>
        <v>WestBalkans</v>
      </c>
      <c r="EK2" s="41" t="str">
        <f t="shared" si="0"/>
        <v>\I:</v>
      </c>
      <c r="EL2" s="41" t="str">
        <f t="shared" si="0"/>
        <v>\I:</v>
      </c>
      <c r="EM2" s="41" t="str">
        <f t="shared" si="0"/>
        <v>\I:</v>
      </c>
      <c r="EN2" s="41" t="str">
        <f t="shared" si="0"/>
        <v>\I:</v>
      </c>
      <c r="EO2" s="41" t="str">
        <f t="shared" si="0"/>
        <v>\I:</v>
      </c>
      <c r="EP2" s="41" t="str">
        <f t="shared" si="0"/>
        <v>\I:</v>
      </c>
      <c r="EQ2" s="41" t="str">
        <f t="shared" si="0"/>
        <v>\I:</v>
      </c>
      <c r="ER2" s="41" t="str">
        <f t="shared" si="0"/>
        <v>\I:</v>
      </c>
      <c r="ES2" s="41" t="str">
        <f t="shared" si="0"/>
        <v>\I:</v>
      </c>
      <c r="ET2" s="41" t="str">
        <f t="shared" si="0"/>
        <v>\I:</v>
      </c>
      <c r="EU2" s="41" t="str">
        <f t="shared" si="0"/>
        <v>\I:</v>
      </c>
      <c r="EV2" s="38"/>
      <c r="EW2" s="41" t="s">
        <v>138</v>
      </c>
      <c r="EX2" s="41" t="s">
        <v>139</v>
      </c>
      <c r="EY2" s="41" t="s">
        <v>140</v>
      </c>
      <c r="EZ2" s="41" t="s">
        <v>141</v>
      </c>
      <c r="FA2" s="41" t="s">
        <v>142</v>
      </c>
      <c r="FB2" s="41" t="s">
        <v>435</v>
      </c>
      <c r="FC2" s="41" t="s">
        <v>436</v>
      </c>
      <c r="FD2" s="41" t="s">
        <v>143</v>
      </c>
    </row>
    <row r="3" spans="1:160">
      <c r="A3" s="38"/>
      <c r="B3" s="38"/>
      <c r="C3" s="41" t="s">
        <v>437</v>
      </c>
      <c r="D3" s="41" t="s">
        <v>236</v>
      </c>
      <c r="E3" s="41" t="s">
        <v>438</v>
      </c>
      <c r="F3" s="41" t="s">
        <v>237</v>
      </c>
      <c r="G3" s="41" t="str">
        <f>'TRA balance'!E4</f>
        <v>Africa_North</v>
      </c>
      <c r="H3" s="41" t="str">
        <f>'TRA balance'!F4</f>
        <v>Africa_Other</v>
      </c>
      <c r="I3" s="41" t="str">
        <f>'TRA balance'!G4</f>
        <v>Australia</v>
      </c>
      <c r="J3" s="41" t="str">
        <f>'TRA balance'!H4</f>
        <v>Austria</v>
      </c>
      <c r="K3" s="41" t="str">
        <f>'TRA balance'!I4</f>
        <v>Baltics</v>
      </c>
      <c r="L3" s="41" t="str">
        <f>'TRA balance'!J4</f>
        <v>BeNeLux</v>
      </c>
      <c r="M3" s="41" t="str">
        <f>'TRA balance'!K4</f>
        <v>Brazil</v>
      </c>
      <c r="N3" s="41" t="str">
        <f>'TRA balance'!L4</f>
        <v>China</v>
      </c>
      <c r="O3" s="41" t="str">
        <f>'TRA balance'!M4</f>
        <v>CroSloven</v>
      </c>
      <c r="P3" s="41" t="str">
        <f>'TRA balance'!N4</f>
        <v>CzechSlovak</v>
      </c>
      <c r="Q3" s="41" t="str">
        <f>'TRA balance'!O4</f>
        <v>France</v>
      </c>
      <c r="R3" s="41" t="str">
        <f>'TRA balance'!P4</f>
        <v>Germany</v>
      </c>
      <c r="S3" s="41" t="str">
        <f>'TRA balance'!Q4</f>
        <v>GreeceCyp</v>
      </c>
      <c r="T3" s="41" t="str">
        <f>'TRA balance'!R4</f>
        <v>HunRomBul</v>
      </c>
      <c r="U3" s="41" t="str">
        <f>'TRA balance'!S4</f>
        <v>Iceland</v>
      </c>
      <c r="V3" s="41" t="str">
        <f>'TRA balance'!T4</f>
        <v>India</v>
      </c>
      <c r="W3" s="41" t="str">
        <f>'TRA balance'!U4</f>
        <v>Ireland</v>
      </c>
      <c r="X3" s="41" t="str">
        <f>'TRA balance'!V4</f>
        <v>ItalyMal</v>
      </c>
      <c r="Y3" s="41" t="str">
        <f>'TRA balance'!W4</f>
        <v>Japan</v>
      </c>
      <c r="Z3" s="41" t="str">
        <f>'TRA balance'!X4</f>
        <v>LatAm</v>
      </c>
      <c r="AA3" s="41" t="str">
        <f>'TRA balance'!Y4</f>
        <v>MidEast</v>
      </c>
      <c r="AB3" s="41" t="str">
        <f>'TRA balance'!Z4</f>
        <v>NorthAm</v>
      </c>
      <c r="AC3" s="41" t="str">
        <f>'TRA balance'!AA4</f>
        <v>Norway</v>
      </c>
      <c r="AD3" s="41" t="str">
        <f>'TRA balance'!AB4</f>
        <v>Poland</v>
      </c>
      <c r="AE3" s="41" t="str">
        <f>'TRA balance'!AC4</f>
        <v>ROW</v>
      </c>
      <c r="AF3" s="41" t="str">
        <f>'TRA balance'!AD4</f>
        <v>Russia</v>
      </c>
      <c r="AG3" s="41" t="str">
        <f>'TRA balance'!AE4</f>
        <v>SaudiArabia</v>
      </c>
      <c r="AH3" s="41" t="str">
        <f>'TRA balance'!AF4</f>
        <v>SouthAfrica</v>
      </c>
      <c r="AI3" s="41" t="str">
        <f>'TRA balance'!AG4</f>
        <v>SpainPor</v>
      </c>
      <c r="AJ3" s="41" t="str">
        <f>'TRA balance'!AH4</f>
        <v>SweFinDen</v>
      </c>
      <c r="AK3" s="41" t="str">
        <f>'TRA balance'!AI4</f>
        <v>Switzerland</v>
      </c>
      <c r="AL3" s="41" t="str">
        <f>'TRA balance'!AJ4</f>
        <v>Turkey</v>
      </c>
      <c r="AM3" s="41" t="str">
        <f>'TRA balance'!AK4</f>
        <v>UK</v>
      </c>
      <c r="AN3" s="41" t="str">
        <f>'TRA balance'!AL4</f>
        <v>Ukraine</v>
      </c>
      <c r="AO3" s="41" t="str">
        <f>'TRA balance'!AM4</f>
        <v>WestBalkans</v>
      </c>
      <c r="AP3" s="41" t="str">
        <f>'TRA balance'!AN4</f>
        <v>\I:</v>
      </c>
      <c r="AQ3" s="41" t="str">
        <f>'TRA balance'!AO4</f>
        <v>\I:</v>
      </c>
      <c r="AR3" s="41" t="str">
        <f>'TRA balance'!AP4</f>
        <v>\I:</v>
      </c>
      <c r="AS3" s="41" t="str">
        <f>'TRA balance'!AQ4</f>
        <v>\I:</v>
      </c>
      <c r="AT3" s="41" t="str">
        <f>'TRA balance'!AR4</f>
        <v>\I:</v>
      </c>
      <c r="AU3" s="41" t="str">
        <f>'TRA balance'!AS4</f>
        <v>\I:</v>
      </c>
      <c r="AV3" s="41" t="str">
        <f>'TRA balance'!AT4</f>
        <v>\I:</v>
      </c>
      <c r="AW3" s="41" t="str">
        <f>'TRA balance'!AU4</f>
        <v>\I:</v>
      </c>
      <c r="AX3" s="41" t="str">
        <f>'TRA balance'!AV4</f>
        <v>\I:</v>
      </c>
      <c r="AY3" s="41" t="str">
        <f>'TRA balance'!AW4</f>
        <v>\I:</v>
      </c>
      <c r="AZ3" s="41" t="str">
        <f>'TRA balance'!AX4</f>
        <v>\I:</v>
      </c>
      <c r="BC3" s="38"/>
      <c r="BD3" s="41" t="s">
        <v>139</v>
      </c>
      <c r="BE3" s="41" t="str">
        <f t="shared" ref="BE3" si="1">G3</f>
        <v>Africa_North</v>
      </c>
      <c r="BF3" s="41" t="str">
        <f t="shared" ref="BF3" si="2">H3</f>
        <v>Africa_Other</v>
      </c>
      <c r="BG3" s="41" t="str">
        <f t="shared" ref="BG3" si="3">I3</f>
        <v>Australia</v>
      </c>
      <c r="BH3" s="41" t="str">
        <f t="shared" ref="BH3" si="4">J3</f>
        <v>Austria</v>
      </c>
      <c r="BI3" s="41" t="str">
        <f t="shared" ref="BI3" si="5">K3</f>
        <v>Baltics</v>
      </c>
      <c r="BJ3" s="41" t="str">
        <f t="shared" ref="BJ3" si="6">L3</f>
        <v>BeNeLux</v>
      </c>
      <c r="BK3" s="41" t="str">
        <f t="shared" ref="BK3" si="7">M3</f>
        <v>Brazil</v>
      </c>
      <c r="BL3" s="41" t="str">
        <f t="shared" ref="BL3" si="8">N3</f>
        <v>China</v>
      </c>
      <c r="BM3" s="41" t="str">
        <f t="shared" ref="BM3" si="9">O3</f>
        <v>CroSloven</v>
      </c>
      <c r="BN3" s="41" t="str">
        <f t="shared" ref="BN3" si="10">P3</f>
        <v>CzechSlovak</v>
      </c>
      <c r="BO3" s="41" t="str">
        <f t="shared" ref="BO3" si="11">Q3</f>
        <v>France</v>
      </c>
      <c r="BP3" s="41" t="str">
        <f t="shared" ref="BP3" si="12">R3</f>
        <v>Germany</v>
      </c>
      <c r="BQ3" s="41" t="str">
        <f t="shared" ref="BQ3" si="13">S3</f>
        <v>GreeceCyp</v>
      </c>
      <c r="BR3" s="41" t="str">
        <f t="shared" ref="BR3" si="14">T3</f>
        <v>HunRomBul</v>
      </c>
      <c r="BS3" s="41" t="str">
        <f t="shared" ref="BS3" si="15">U3</f>
        <v>Iceland</v>
      </c>
      <c r="BT3" s="41" t="str">
        <f t="shared" ref="BT3" si="16">V3</f>
        <v>India</v>
      </c>
      <c r="BU3" s="41" t="str">
        <f t="shared" ref="BU3" si="17">W3</f>
        <v>Ireland</v>
      </c>
      <c r="BV3" s="41" t="str">
        <f t="shared" ref="BV3" si="18">X3</f>
        <v>ItalyMal</v>
      </c>
      <c r="BW3" s="41" t="str">
        <f t="shared" ref="BW3" si="19">Y3</f>
        <v>Japan</v>
      </c>
      <c r="BX3" s="41" t="str">
        <f t="shared" ref="BX3" si="20">Z3</f>
        <v>LatAm</v>
      </c>
      <c r="BY3" s="41" t="str">
        <f t="shared" ref="BY3" si="21">AA3</f>
        <v>MidEast</v>
      </c>
      <c r="BZ3" s="41" t="str">
        <f t="shared" ref="BZ3" si="22">AB3</f>
        <v>NorthAm</v>
      </c>
      <c r="CA3" s="41" t="str">
        <f t="shared" ref="CA3" si="23">AC3</f>
        <v>Norway</v>
      </c>
      <c r="CB3" s="41" t="str">
        <f t="shared" ref="CB3" si="24">AD3</f>
        <v>Poland</v>
      </c>
      <c r="CC3" s="41" t="str">
        <f t="shared" ref="CC3" si="25">AE3</f>
        <v>ROW</v>
      </c>
      <c r="CD3" s="41" t="str">
        <f t="shared" ref="CD3" si="26">AF3</f>
        <v>Russia</v>
      </c>
      <c r="CE3" s="41" t="str">
        <f t="shared" ref="CE3" si="27">AG3</f>
        <v>SaudiArabia</v>
      </c>
      <c r="CF3" s="41" t="str">
        <f t="shared" ref="CF3" si="28">AH3</f>
        <v>SouthAfrica</v>
      </c>
      <c r="CG3" s="41" t="str">
        <f t="shared" ref="CG3" si="29">AI3</f>
        <v>SpainPor</v>
      </c>
      <c r="CH3" s="41" t="str">
        <f t="shared" ref="CH3" si="30">AJ3</f>
        <v>SweFinDen</v>
      </c>
      <c r="CI3" s="41" t="str">
        <f t="shared" ref="CI3" si="31">AK3</f>
        <v>Switzerland</v>
      </c>
      <c r="CJ3" s="41" t="str">
        <f t="shared" ref="CJ3" si="32">AL3</f>
        <v>Turkey</v>
      </c>
      <c r="CK3" s="41" t="str">
        <f t="shared" ref="CK3" si="33">AM3</f>
        <v>UK</v>
      </c>
      <c r="CL3" s="41" t="str">
        <f t="shared" ref="CL3" si="34">AN3</f>
        <v>Ukraine</v>
      </c>
      <c r="CM3" s="41" t="str">
        <f t="shared" ref="CM3" si="35">AO3</f>
        <v>WestBalkans</v>
      </c>
      <c r="CN3" s="41" t="str">
        <f t="shared" ref="CN3" si="36">AP3</f>
        <v>\I:</v>
      </c>
      <c r="CO3" s="41" t="str">
        <f t="shared" ref="CO3" si="37">AQ3</f>
        <v>\I:</v>
      </c>
      <c r="CP3" s="41" t="str">
        <f t="shared" ref="CP3" si="38">AR3</f>
        <v>\I:</v>
      </c>
      <c r="CQ3" s="41" t="str">
        <f t="shared" ref="CQ3" si="39">AS3</f>
        <v>\I:</v>
      </c>
      <c r="CR3" s="41" t="str">
        <f t="shared" ref="CR3" si="40">AT3</f>
        <v>\I:</v>
      </c>
      <c r="CS3" s="41" t="str">
        <f t="shared" ref="CS3" si="41">AU3</f>
        <v>\I:</v>
      </c>
      <c r="CT3" s="41" t="str">
        <f t="shared" ref="CT3" si="42">AV3</f>
        <v>\I:</v>
      </c>
      <c r="CU3" s="41" t="str">
        <f t="shared" ref="CU3" si="43">AW3</f>
        <v>\I:</v>
      </c>
      <c r="CV3" s="41" t="str">
        <f t="shared" ref="CV3" si="44">AX3</f>
        <v>\I:</v>
      </c>
      <c r="CW3" s="41" t="str">
        <f t="shared" ref="CW3" si="45">AY3</f>
        <v>\I:</v>
      </c>
      <c r="CX3" s="41" t="str">
        <f t="shared" ref="CX3" si="46">AZ3</f>
        <v>\I:</v>
      </c>
      <c r="CY3" s="38"/>
      <c r="CZ3" s="38"/>
      <c r="DA3" s="38" t="s">
        <v>194</v>
      </c>
      <c r="DB3" s="42">
        <f ca="1">SUMIF(Assumptions!$G$3:$G$103,'non-road'!$DA3,Assumptions!BD$3:BD$103)</f>
        <v>7.17129799668</v>
      </c>
      <c r="DC3" s="42">
        <f ca="1">SUMIF(Assumptions!$G$3:$G$103,'non-road'!$DA3,Assumptions!BE$3:BE$103)</f>
        <v>10.73068005852</v>
      </c>
      <c r="DD3" s="42">
        <f ca="1">SUMIF(Assumptions!$G$3:$G$103,'non-road'!$DA3,Assumptions!BF$3:BF$103)</f>
        <v>36.89098713612</v>
      </c>
      <c r="DE3" s="42">
        <f ca="1">SUMIF(Assumptions!$G$3:$G$103,'non-road'!$DA3,Assumptions!BG$3:BG$103)</f>
        <v>1.2678635232</v>
      </c>
      <c r="DF3" s="42">
        <f ca="1">SUMIF(Assumptions!$G$3:$G$103,'non-road'!$DA3,Assumptions!BH$3:BH$103)</f>
        <v>4.3332710112</v>
      </c>
      <c r="DG3" s="42">
        <f ca="1">SUMIF(Assumptions!$G$3:$G$103,'non-road'!$DA3,Assumptions!BI$3:BI$103)</f>
        <v>1.77212715804</v>
      </c>
      <c r="DH3" s="42">
        <f ca="1">SUMIF(Assumptions!$G$3:$G$103,'non-road'!$DA3,Assumptions!BJ$3:BJ$103)</f>
        <v>36.54754602552</v>
      </c>
      <c r="DI3" s="42">
        <f ca="1">SUMIF(Assumptions!$G$3:$G$103,'non-road'!$DA3,Assumptions!BK$3:BK$103)</f>
        <v>138.68937280368</v>
      </c>
      <c r="DJ3" s="42">
        <f ca="1">SUMIF(Assumptions!$G$3:$G$103,'non-road'!$DA3,Assumptions!BL$3:BL$103)</f>
        <v>0.99851076936</v>
      </c>
      <c r="DK3" s="42">
        <f ca="1">SUMIF(Assumptions!$G$3:$G$103,'non-road'!$DA3,Assumptions!BM$3:BM$103)</f>
        <v>3.87681686424</v>
      </c>
      <c r="DL3" s="42">
        <f ca="1">SUMIF(Assumptions!$G$3:$G$103,'non-road'!$DA3,Assumptions!BN$3:BN$103)</f>
        <v>4.72945407876</v>
      </c>
      <c r="DM3" s="42">
        <f ca="1">SUMIF(Assumptions!$G$3:$G$103,'non-road'!$DA3,Assumptions!BO$3:BO$103)</f>
        <v>10.19603156004</v>
      </c>
      <c r="DN3" s="42">
        <f ca="1">SUMIF(Assumptions!$G$3:$G$103,'non-road'!$DA3,Assumptions!BP$3:BP$103)</f>
        <v>0.40984459596</v>
      </c>
      <c r="DO3" s="42">
        <f ca="1">SUMIF(Assumptions!$G$3:$G$103,'non-road'!$DA3,Assumptions!BQ$3:BQ$103)</f>
        <v>7.5946374864</v>
      </c>
      <c r="DP3" s="42">
        <f ca="1">SUMIF(Assumptions!$G$3:$G$103,'non-road'!$DA3,Assumptions!BR$3:BR$103)</f>
        <v>0</v>
      </c>
      <c r="DQ3" s="42">
        <f ca="1">SUMIF(Assumptions!$G$3:$G$103,'non-road'!$DA3,Assumptions!BS$3:BS$103)</f>
        <v>75.65784907824</v>
      </c>
      <c r="DR3" s="42">
        <f ca="1">SUMIF(Assumptions!$G$3:$G$103,'non-road'!$DA3,Assumptions!BT$3:BT$103)</f>
        <v>1.47555434268</v>
      </c>
      <c r="DS3" s="42">
        <f ca="1">SUMIF(Assumptions!$G$3:$G$103,'non-road'!$DA3,Assumptions!BU$3:BU$103)</f>
        <v>1.64862032616</v>
      </c>
      <c r="DT3" s="42">
        <f ca="1">SUMIF(Assumptions!$G$3:$G$103,'non-road'!$DA3,Assumptions!BV$3:BV$103)</f>
        <v>2.009579510376</v>
      </c>
      <c r="DU3" s="42">
        <f ca="1">SUMIF(Assumptions!$G$3:$G$103,'non-road'!$DA3,Assumptions!BW$3:BW$103)</f>
        <v>1.84501055376</v>
      </c>
      <c r="DV3" s="42">
        <f ca="1">SUMIF(Assumptions!$G$3:$G$103,'non-road'!$DA3,Assumptions!BX$3:BX$103)</f>
        <v>2.40085514592</v>
      </c>
      <c r="DW3" s="42">
        <f ca="1">SUMIF(Assumptions!$G$3:$G$103,'non-road'!$DA3,Assumptions!BY$3:BY$103)</f>
        <v>673.277877332894</v>
      </c>
      <c r="DX3" s="42">
        <f ca="1">SUMIF(Assumptions!$G$3:$G$103,'non-road'!$DA3,Assumptions!BZ$3:BZ$103)</f>
        <v>0.51252837804</v>
      </c>
      <c r="DY3" s="42">
        <f ca="1">SUMIF(Assumptions!$G$3:$G$103,'non-road'!$DA3,Assumptions!CA$3:CA$103)</f>
        <v>4.3567505856</v>
      </c>
      <c r="DZ3" s="42">
        <f ca="1">SUMIF(Assumptions!$G$3:$G$103,'non-road'!$DA3,Assumptions!CB$3:CB$103)</f>
        <v>66.02657162076</v>
      </c>
      <c r="EA3" s="42">
        <f ca="1">SUMIF(Assumptions!$G$3:$G$103,'non-road'!$DA3,Assumptions!CC$3:CC$103)</f>
        <v>194.24876774148</v>
      </c>
      <c r="EB3" s="42">
        <f ca="1">SUMIF(Assumptions!$G$3:$G$103,'non-road'!$DA3,Assumptions!CD$3:CD$103)</f>
        <v>0</v>
      </c>
      <c r="EC3" s="42">
        <f ca="1">SUMIF(Assumptions!$G$3:$G$103,'non-road'!$DA3,Assumptions!CE$3:CE$103)</f>
        <v>9.17342910612</v>
      </c>
      <c r="ED3" s="42">
        <f ca="1">SUMIF(Assumptions!$G$3:$G$103,'non-road'!$DA3,Assumptions!CF$3:CF$103)</f>
        <v>3.47931621072</v>
      </c>
      <c r="EE3" s="42">
        <f ca="1">SUMIF(Assumptions!$G$3:$G$103,'non-road'!$DA3,Assumptions!CG$3:CG$103)</f>
        <v>4.09802016204</v>
      </c>
      <c r="EF3" s="42">
        <f ca="1">SUMIF(Assumptions!$G$3:$G$103,'non-road'!$DA3,Assumptions!CH$3:CH$103)</f>
        <v>0.35317835136</v>
      </c>
      <c r="EG3" s="42">
        <f ca="1">SUMIF(Assumptions!$G$3:$G$103,'non-road'!$DA3,Assumptions!CI$3:CI$103)</f>
        <v>3.86304145488</v>
      </c>
      <c r="EH3" s="42">
        <f ca="1">SUMIF(Assumptions!$G$3:$G$103,'non-road'!$DA3,Assumptions!CJ$3:CJ$103)</f>
        <v>24.73856274456</v>
      </c>
      <c r="EI3" s="42">
        <f ca="1">SUMIF(Assumptions!$G$3:$G$103,'non-road'!$DA3,Assumptions!CK$3:CK$103)</f>
        <v>5.28999584184</v>
      </c>
      <c r="EJ3" s="42">
        <f ca="1">SUMIF(Assumptions!$G$3:$G$103,'non-road'!$DA3,Assumptions!CL$3:CL$103)</f>
        <v>0.87357288924</v>
      </c>
      <c r="EK3" s="42">
        <f ca="1">SUMIF(Assumptions!$G$3:$G$103,'non-road'!$DA3,Assumptions!CM$3:CM$103)</f>
        <v>0</v>
      </c>
      <c r="EL3" s="42">
        <f ca="1">SUMIF(Assumptions!$G$3:$G$103,'non-road'!$DA3,Assumptions!CN$3:CN$103)</f>
        <v>0</v>
      </c>
      <c r="EM3" s="42">
        <f ca="1">SUMIF(Assumptions!$G$3:$G$103,'non-road'!$DA3,Assumptions!CO$3:CO$103)</f>
        <v>0</v>
      </c>
      <c r="EN3" s="42">
        <f ca="1">SUMIF(Assumptions!$G$3:$G$103,'non-road'!$DA3,Assumptions!CP$3:CP$103)</f>
        <v>0</v>
      </c>
      <c r="EO3" s="42">
        <f ca="1">SUMIF(Assumptions!$G$3:$G$103,'non-road'!$DA3,Assumptions!CQ$3:CQ$103)</f>
        <v>0</v>
      </c>
      <c r="EP3" s="42">
        <f ca="1">SUMIF(Assumptions!$G$3:$G$103,'non-road'!$DA3,Assumptions!CR$3:CR$103)</f>
        <v>0</v>
      </c>
      <c r="EQ3" s="42">
        <f ca="1">SUMIF(Assumptions!$G$3:$G$103,'non-road'!$DA3,Assumptions!CS$3:CS$103)</f>
        <v>0</v>
      </c>
      <c r="ER3" s="42">
        <f ca="1">SUMIF(Assumptions!$G$3:$G$103,'non-road'!$DA3,Assumptions!CT$3:CT$103)</f>
        <v>0</v>
      </c>
      <c r="ES3" s="42">
        <f ca="1">SUMIF(Assumptions!$G$3:$G$103,'non-road'!$DA3,Assumptions!CU$3:CU$103)</f>
        <v>0</v>
      </c>
      <c r="ET3" s="42">
        <f ca="1">SUMIF(Assumptions!$G$3:$G$103,'non-road'!$DA3,Assumptions!CV$3:CV$103)</f>
        <v>0</v>
      </c>
      <c r="EU3" s="42">
        <f ca="1">SUMIF(Assumptions!$G$3:$G$103,'non-road'!$DA3,Assumptions!CW$3:CW$103)</f>
        <v>0</v>
      </c>
      <c r="EV3" s="38"/>
      <c r="EW3" s="38" t="str">
        <f>IF(EX3="","\I:","DMD")</f>
        <v>DMD</v>
      </c>
      <c r="EX3" s="38" t="str">
        <f t="shared" ref="EX3:EX9" si="47">C4</f>
        <v>TTF_Generic</v>
      </c>
      <c r="EY3" s="38" t="s">
        <v>439</v>
      </c>
      <c r="EZ3" s="38" t="s">
        <v>85</v>
      </c>
      <c r="FA3" s="38" t="s">
        <v>440</v>
      </c>
      <c r="FB3" s="38"/>
      <c r="FC3" s="38"/>
      <c r="FD3" s="38"/>
    </row>
    <row r="4" spans="1:160">
      <c r="A4" s="38" t="s">
        <v>441</v>
      </c>
      <c r="B4" s="38"/>
      <c r="C4" s="38" t="str">
        <f>IF(F4&lt;&gt;F3,F4&amp;"_Generic","")</f>
        <v>TTF_Generic</v>
      </c>
      <c r="D4" s="38" t="s">
        <v>56</v>
      </c>
      <c r="E4" s="38"/>
      <c r="F4" s="38" t="s">
        <v>194</v>
      </c>
      <c r="G4" s="39">
        <f ca="1">SUMIFS(Assumptions!BD$3:BD$103,Assumptions!$G$3:$G$103,'non-road'!$F4,Assumptions!$B$3:$B$103,'non-road'!$D4)/SUMIF(Assumptions!$G$3:$G$103,'non-road'!$F4,Assumptions!BD$3:BD$103)</f>
        <v>0</v>
      </c>
      <c r="H4" s="39">
        <f ca="1">SUMIFS(Assumptions!BE$3:BE$103,Assumptions!$G$3:$G$103,'non-road'!$F4,Assumptions!$B$3:$B$103,'non-road'!$D4)/SUMIF(Assumptions!$G$3:$G$103,'non-road'!$F4,Assumptions!BE$3:BE$103)</f>
        <v>0.0108963831110744</v>
      </c>
      <c r="I4" s="39">
        <f ca="1">SUMIFS(Assumptions!BF$3:BF$103,Assumptions!$G$3:$G$103,'non-road'!$F4,Assumptions!$B$3:$B$103,'non-road'!$D4)/SUMIF(Assumptions!$G$3:$G$103,'non-road'!$F4,Assumptions!BF$3:BF$103)</f>
        <v>0</v>
      </c>
      <c r="J4" s="39">
        <f ca="1">SUMIFS(Assumptions!BG$3:BG$103,Assumptions!$G$3:$G$103,'non-road'!$F4,Assumptions!$B$3:$B$103,'non-road'!$D4)/SUMIF(Assumptions!$G$3:$G$103,'non-road'!$F4,Assumptions!BG$3:BG$103)</f>
        <v>0.00339140887115949</v>
      </c>
      <c r="K4" s="39">
        <f ca="1">SUMIFS(Assumptions!BH$3:BH$103,Assumptions!$G$3:$G$103,'non-road'!$F4,Assumptions!$B$3:$B$103,'non-road'!$D4)/SUMIF(Assumptions!$G$3:$G$103,'non-road'!$F4,Assumptions!BH$3:BH$103)</f>
        <v>0</v>
      </c>
      <c r="L4" s="39">
        <f ca="1">SUMIFS(Assumptions!BI$3:BI$103,Assumptions!$G$3:$G$103,'non-road'!$F4,Assumptions!$B$3:$B$103,'non-road'!$D4)/SUMIF(Assumptions!$G$3:$G$103,'non-road'!$F4,Assumptions!BI$3:BI$103)</f>
        <v>0.00148370301085395</v>
      </c>
      <c r="M4" s="39">
        <f ca="1">SUMIFS(Assumptions!BJ$3:BJ$103,Assumptions!$G$3:$G$103,'non-road'!$F4,Assumptions!$B$3:$B$103,'non-road'!$D4)/SUMIF(Assumptions!$G$3:$G$103,'non-road'!$F4,Assumptions!BJ$3:BJ$103)</f>
        <v>0</v>
      </c>
      <c r="N4" s="39">
        <f ca="1">SUMIFS(Assumptions!BK$3:BK$103,Assumptions!$G$3:$G$103,'non-road'!$F4,Assumptions!$B$3:$B$103,'non-road'!$D4)/SUMIF(Assumptions!$G$3:$G$103,'non-road'!$F4,Assumptions!BK$3:BK$103)</f>
        <v>0</v>
      </c>
      <c r="O4" s="39">
        <f ca="1">SUMIFS(Assumptions!BL$3:BL$103,Assumptions!$G$3:$G$103,'non-road'!$F4,Assumptions!$B$3:$B$103,'non-road'!$D4)/SUMIF(Assumptions!$G$3:$G$103,'non-road'!$F4,Assumptions!BL$3:BL$103)</f>
        <v>0.003445005287429</v>
      </c>
      <c r="P4" s="39">
        <f ca="1">SUMIFS(Assumptions!BM$3:BM$103,Assumptions!$G$3:$G$103,'non-road'!$F4,Assumptions!$B$3:$B$103,'non-road'!$D4)/SUMIF(Assumptions!$G$3:$G$103,'non-road'!$F4,Assumptions!BM$3:BM$103)</f>
        <v>0.00271631075925594</v>
      </c>
      <c r="Q4" s="39">
        <f ca="1">SUMIFS(Assumptions!BN$3:BN$103,Assumptions!$G$3:$G$103,'non-road'!$F4,Assumptions!$B$3:$B$103,'non-road'!$D4)/SUMIF(Assumptions!$G$3:$G$103,'non-road'!$F4,Assumptions!BN$3:BN$103)</f>
        <v>0</v>
      </c>
      <c r="R4" s="39">
        <f ca="1">SUMIFS(Assumptions!BO$3:BO$103,Assumptions!$G$3:$G$103,'non-road'!$F4,Assumptions!$B$3:$B$103,'non-road'!$D4)/SUMIF(Assumptions!$G$3:$G$103,'non-road'!$F4,Assumptions!BO$3:BO$103)</f>
        <v>0</v>
      </c>
      <c r="S4" s="39">
        <f ca="1">SUMIFS(Assumptions!BP$3:BP$103,Assumptions!$G$3:$G$103,'non-road'!$F4,Assumptions!$B$3:$B$103,'non-road'!$D4)/SUMIF(Assumptions!$G$3:$G$103,'non-road'!$F4,Assumptions!BP$3:BP$103)</f>
        <v>0</v>
      </c>
      <c r="T4" s="39">
        <f ca="1">SUMIFS(Assumptions!BQ$3:BQ$103,Assumptions!$G$3:$G$103,'non-road'!$F4,Assumptions!$B$3:$B$103,'non-road'!$D4)/SUMIF(Assumptions!$G$3:$G$103,'non-road'!$F4,Assumptions!BQ$3:BQ$103)</f>
        <v>0</v>
      </c>
      <c r="U4" s="39" t="e">
        <f ca="1">SUMIFS(Assumptions!BR$3:BR$103,Assumptions!$G$3:$G$103,'non-road'!$F4,Assumptions!$B$3:$B$103,'non-road'!$D4)/SUMIF(Assumptions!$G$3:$G$103,'non-road'!$F4,Assumptions!BR$3:BR$103)</f>
        <v>#DIV/0!</v>
      </c>
      <c r="V4" s="39">
        <f ca="1">SUMIFS(Assumptions!BS$3:BS$103,Assumptions!$G$3:$G$103,'non-road'!$F4,Assumptions!$B$3:$B$103,'non-road'!$D4)/SUMIF(Assumptions!$G$3:$G$103,'non-road'!$F4,Assumptions!BS$3:BS$103)</f>
        <v>0</v>
      </c>
      <c r="W4" s="39">
        <f ca="1">SUMIFS(Assumptions!BT$3:BT$103,Assumptions!$G$3:$G$103,'non-road'!$F4,Assumptions!$B$3:$B$103,'non-road'!$D4)/SUMIF(Assumptions!$G$3:$G$103,'non-road'!$F4,Assumptions!BT$3:BT$103)</f>
        <v>0</v>
      </c>
      <c r="X4" s="39">
        <f ca="1">SUMIFS(Assumptions!BU$3:BU$103,Assumptions!$G$3:$G$103,'non-road'!$F4,Assumptions!$B$3:$B$103,'non-road'!$D4)/SUMIF(Assumptions!$G$3:$G$103,'non-road'!$F4,Assumptions!BU$3:BU$103)</f>
        <v>0</v>
      </c>
      <c r="Y4" s="39">
        <f ca="1">SUMIFS(Assumptions!BV$3:BV$103,Assumptions!$G$3:$G$103,'non-road'!$F4,Assumptions!$B$3:$B$103,'non-road'!$D4)/SUMIF(Assumptions!$G$3:$G$103,'non-road'!$F4,Assumptions!BV$3:BV$103)</f>
        <v>0.00125363603828178</v>
      </c>
      <c r="Z4" s="39">
        <f ca="1">SUMIFS(Assumptions!BW$3:BW$103,Assumptions!$G$3:$G$103,'non-road'!$F4,Assumptions!$B$3:$B$103,'non-road'!$D4)/SUMIF(Assumptions!$G$3:$G$103,'non-road'!$F4,Assumptions!BW$3:BW$103)</f>
        <v>0</v>
      </c>
      <c r="AA4" s="39">
        <f ca="1">SUMIFS(Assumptions!BX$3:BX$103,Assumptions!$G$3:$G$103,'non-road'!$F4,Assumptions!$B$3:$B$103,'non-road'!$D4)/SUMIF(Assumptions!$G$3:$G$103,'non-road'!$F4,Assumptions!BX$3:BX$103)</f>
        <v>0</v>
      </c>
      <c r="AB4" s="39">
        <f ca="1">SUMIFS(Assumptions!BY$3:BY$103,Assumptions!$G$3:$G$103,'non-road'!$F4,Assumptions!$B$3:$B$103,'non-road'!$D4)/SUMIF(Assumptions!$G$3:$G$103,'non-road'!$F4,Assumptions!BY$3:BY$103)</f>
        <v>0</v>
      </c>
      <c r="AC4" s="39">
        <f ca="1">SUMIFS(Assumptions!BZ$3:BZ$103,Assumptions!$G$3:$G$103,'non-road'!$F4,Assumptions!$B$3:$B$103,'non-road'!$D4)/SUMIF(Assumptions!$G$3:$G$103,'non-road'!$F4,Assumptions!BZ$3:BZ$103)</f>
        <v>0</v>
      </c>
      <c r="AD4" s="39">
        <f ca="1">SUMIFS(Assumptions!CA$3:CA$103,Assumptions!$G$3:$G$103,'non-road'!$F4,Assumptions!$B$3:$B$103,'non-road'!$D4)/SUMIF(Assumptions!$G$3:$G$103,'non-road'!$F4,Assumptions!CA$3:CA$103)</f>
        <v>0</v>
      </c>
      <c r="AE4" s="39">
        <f ca="1">SUMIFS(Assumptions!CB$3:CB$103,Assumptions!$G$3:$G$103,'non-road'!$F4,Assumptions!$B$3:$B$103,'non-road'!$D4)/SUMIF(Assumptions!$G$3:$G$103,'non-road'!$F4,Assumptions!CB$3:CB$103)</f>
        <v>0.0177110011526378</v>
      </c>
      <c r="AF4" s="39">
        <f ca="1">SUMIFS(Assumptions!CC$3:CC$103,Assumptions!$G$3:$G$103,'non-road'!$F4,Assumptions!$B$3:$B$103,'non-road'!$D4)/SUMIF(Assumptions!$G$3:$G$103,'non-road'!$F4,Assumptions!CC$3:CC$103)</f>
        <v>0.000998820552098508</v>
      </c>
      <c r="AG4" s="39" t="e">
        <f ca="1">SUMIFS(Assumptions!CD$3:CD$103,Assumptions!$G$3:$G$103,'non-road'!$F4,Assumptions!$B$3:$B$103,'non-road'!$D4)/SUMIF(Assumptions!$G$3:$G$103,'non-road'!$F4,Assumptions!CD$3:CD$103)</f>
        <v>#DIV/0!</v>
      </c>
      <c r="AH4" s="39">
        <f ca="1">SUMIFS(Assumptions!CE$3:CE$103,Assumptions!$G$3:$G$103,'non-road'!$F4,Assumptions!$B$3:$B$103,'non-road'!$D4)/SUMIF(Assumptions!$G$3:$G$103,'non-road'!$F4,Assumptions!CE$3:CE$103)</f>
        <v>0</v>
      </c>
      <c r="AI4" s="39">
        <f ca="1">SUMIFS(Assumptions!CF$3:CF$103,Assumptions!$G$3:$G$103,'non-road'!$F4,Assumptions!$B$3:$B$103,'non-road'!$D4)/SUMIF(Assumptions!$G$3:$G$103,'non-road'!$F4,Assumptions!CF$3:CF$103)</f>
        <v>0</v>
      </c>
      <c r="AJ4" s="39">
        <f ca="1">SUMIFS(Assumptions!CG$3:CG$103,Assumptions!$G$3:$G$103,'non-road'!$F4,Assumptions!$B$3:$B$103,'non-road'!$D4)/SUMIF(Assumptions!$G$3:$G$103,'non-road'!$F4,Assumptions!CG$3:CG$103)</f>
        <v>0</v>
      </c>
      <c r="AK4" s="39">
        <f ca="1">SUMIFS(Assumptions!CH$3:CH$103,Assumptions!$G$3:$G$103,'non-road'!$F4,Assumptions!$B$3:$B$103,'non-road'!$D4)/SUMIF(Assumptions!$G$3:$G$103,'non-road'!$F4,Assumptions!CH$3:CH$103)</f>
        <v>0</v>
      </c>
      <c r="AL4" s="39">
        <f ca="1">SUMIFS(Assumptions!CI$3:CI$103,Assumptions!$G$3:$G$103,'non-road'!$F4,Assumptions!$B$3:$B$103,'non-road'!$D4)/SUMIF(Assumptions!$G$3:$G$103,'non-road'!$F4,Assumptions!CI$3:CI$103)</f>
        <v>0</v>
      </c>
      <c r="AM4" s="39">
        <f ca="1">SUMIFS(Assumptions!CJ$3:CJ$103,Assumptions!$G$3:$G$103,'non-road'!$F4,Assumptions!$B$3:$B$103,'non-road'!$D4)/SUMIF(Assumptions!$G$3:$G$103,'non-road'!$F4,Assumptions!CJ$3:CJ$103)</f>
        <v>0.0166009325699533</v>
      </c>
      <c r="AN4" s="39">
        <f ca="1">SUMIFS(Assumptions!CK$3:CK$103,Assumptions!$G$3:$G$103,'non-road'!$F4,Assumptions!$B$3:$B$103,'non-road'!$D4)/SUMIF(Assumptions!$G$3:$G$103,'non-road'!$F4,Assumptions!CK$3:CK$103)</f>
        <v>0.0299202101347866</v>
      </c>
      <c r="AO4" s="39">
        <f ca="1">SUMIFS(Assumptions!CL$3:CL$103,Assumptions!$G$3:$G$103,'non-road'!$F4,Assumptions!$B$3:$B$103,'non-road'!$D4)/SUMIF(Assumptions!$G$3:$G$103,'non-road'!$F4,Assumptions!CL$3:CL$103)</f>
        <v>0</v>
      </c>
      <c r="AP4" s="39" t="e">
        <f ca="1">SUMIFS(Assumptions!CM$3:CM$103,Assumptions!$G$3:$G$103,'non-road'!$F4,Assumptions!$B$3:$B$103,'non-road'!$D4)/SUMIF(Assumptions!$G$3:$G$103,'non-road'!$F4,Assumptions!CM$3:CM$103)</f>
        <v>#DIV/0!</v>
      </c>
      <c r="AQ4" s="39" t="e">
        <f ca="1">SUMIFS(Assumptions!CN$3:CN$103,Assumptions!$G$3:$G$103,'non-road'!$F4,Assumptions!$B$3:$B$103,'non-road'!$D4)/SUMIF(Assumptions!$G$3:$G$103,'non-road'!$F4,Assumptions!CN$3:CN$103)</f>
        <v>#DIV/0!</v>
      </c>
      <c r="AR4" s="39" t="e">
        <f ca="1">SUMIFS(Assumptions!CO$3:CO$103,Assumptions!$G$3:$G$103,'non-road'!$F4,Assumptions!$B$3:$B$103,'non-road'!$D4)/SUMIF(Assumptions!$G$3:$G$103,'non-road'!$F4,Assumptions!CO$3:CO$103)</f>
        <v>#DIV/0!</v>
      </c>
      <c r="AS4" s="39" t="e">
        <f ca="1">SUMIFS(Assumptions!CP$3:CP$103,Assumptions!$G$3:$G$103,'non-road'!$F4,Assumptions!$B$3:$B$103,'non-road'!$D4)/SUMIF(Assumptions!$G$3:$G$103,'non-road'!$F4,Assumptions!CP$3:CP$103)</f>
        <v>#DIV/0!</v>
      </c>
      <c r="AT4" s="39" t="e">
        <f ca="1">SUMIFS(Assumptions!CQ$3:CQ$103,Assumptions!$G$3:$G$103,'non-road'!$F4,Assumptions!$B$3:$B$103,'non-road'!$D4)/SUMIF(Assumptions!$G$3:$G$103,'non-road'!$F4,Assumptions!CQ$3:CQ$103)</f>
        <v>#DIV/0!</v>
      </c>
      <c r="AU4" s="39" t="e">
        <f ca="1">SUMIFS(Assumptions!CR$3:CR$103,Assumptions!$G$3:$G$103,'non-road'!$F4,Assumptions!$B$3:$B$103,'non-road'!$D4)/SUMIF(Assumptions!$G$3:$G$103,'non-road'!$F4,Assumptions!CR$3:CR$103)</f>
        <v>#DIV/0!</v>
      </c>
      <c r="AV4" s="39" t="e">
        <f ca="1">SUMIFS(Assumptions!CS$3:CS$103,Assumptions!$G$3:$G$103,'non-road'!$F4,Assumptions!$B$3:$B$103,'non-road'!$D4)/SUMIF(Assumptions!$G$3:$G$103,'non-road'!$F4,Assumptions!CS$3:CS$103)</f>
        <v>#DIV/0!</v>
      </c>
      <c r="AW4" s="39" t="e">
        <f ca="1">SUMIFS(Assumptions!CT$3:CT$103,Assumptions!$G$3:$G$103,'non-road'!$F4,Assumptions!$B$3:$B$103,'non-road'!$D4)/SUMIF(Assumptions!$G$3:$G$103,'non-road'!$F4,Assumptions!CT$3:CT$103)</f>
        <v>#DIV/0!</v>
      </c>
      <c r="AX4" s="39" t="e">
        <f ca="1">SUMIFS(Assumptions!CU$3:CU$103,Assumptions!$G$3:$G$103,'non-road'!$F4,Assumptions!$B$3:$B$103,'non-road'!$D4)/SUMIF(Assumptions!$G$3:$G$103,'non-road'!$F4,Assumptions!CU$3:CU$103)</f>
        <v>#DIV/0!</v>
      </c>
      <c r="AY4" s="39" t="e">
        <f ca="1">SUMIFS(Assumptions!CV$3:CV$103,Assumptions!$G$3:$G$103,'non-road'!$F4,Assumptions!$B$3:$B$103,'non-road'!$D4)/SUMIF(Assumptions!$G$3:$G$103,'non-road'!$F4,Assumptions!CV$3:CV$103)</f>
        <v>#DIV/0!</v>
      </c>
      <c r="AZ4" s="39" t="e">
        <f ca="1">SUMIFS(Assumptions!CW$3:CW$103,Assumptions!$G$3:$G$103,'non-road'!$F4,Assumptions!$B$3:$B$103,'non-road'!$D4)/SUMIF(Assumptions!$G$3:$G$103,'non-road'!$F4,Assumptions!CW$3:CW$103)</f>
        <v>#DIV/0!</v>
      </c>
      <c r="BA4" s="40"/>
      <c r="BB4" s="39"/>
      <c r="BC4" s="39"/>
      <c r="BD4" s="38" t="str">
        <f>IF(C4="","\I:",C4)</f>
        <v>TTF_Generic</v>
      </c>
      <c r="BE4" s="39">
        <f>VLOOKUP($F4,Assumptions!$E$152:$BC$157,COLUMN()-COLUMN($BC$4),FALSE)</f>
        <v>1</v>
      </c>
      <c r="BF4" s="39">
        <f>VLOOKUP($F4,Assumptions!$E$152:$BC$157,COLUMN()-COLUMN($BC$4),FALSE)</f>
        <v>1</v>
      </c>
      <c r="BG4" s="39">
        <f>VLOOKUP($F4,Assumptions!$E$152:$BC$157,COLUMN()-COLUMN($BC$4),FALSE)</f>
        <v>1</v>
      </c>
      <c r="BH4" s="39">
        <f>VLOOKUP($F4,Assumptions!$E$152:$BC$157,COLUMN()-COLUMN($BC$4),FALSE)</f>
        <v>1</v>
      </c>
      <c r="BI4" s="39">
        <f>VLOOKUP($F4,Assumptions!$E$152:$BC$157,COLUMN()-COLUMN($BC$4),FALSE)</f>
        <v>1</v>
      </c>
      <c r="BJ4" s="39">
        <f>VLOOKUP($F4,Assumptions!$E$152:$BC$157,COLUMN()-COLUMN($BC$4),FALSE)</f>
        <v>1</v>
      </c>
      <c r="BK4" s="39">
        <f>VLOOKUP($F4,Assumptions!$E$152:$BC$157,COLUMN()-COLUMN($BC$4),FALSE)</f>
        <v>1</v>
      </c>
      <c r="BL4" s="39">
        <f>VLOOKUP($F4,Assumptions!$E$152:$BC$157,COLUMN()-COLUMN($BC$4),FALSE)</f>
        <v>1</v>
      </c>
      <c r="BM4" s="39">
        <f>VLOOKUP($F4,Assumptions!$E$152:$BC$157,COLUMN()-COLUMN($BC$4),FALSE)</f>
        <v>1</v>
      </c>
      <c r="BN4" s="39">
        <f>VLOOKUP($F4,Assumptions!$E$152:$BC$157,COLUMN()-COLUMN($BC$4),FALSE)</f>
        <v>1</v>
      </c>
      <c r="BO4" s="39">
        <f>VLOOKUP($F4,Assumptions!$E$152:$BC$157,COLUMN()-COLUMN($BC$4),FALSE)</f>
        <v>1</v>
      </c>
      <c r="BP4" s="39">
        <f>VLOOKUP($F4,Assumptions!$E$152:$BC$157,COLUMN()-COLUMN($BC$4),FALSE)</f>
        <v>1</v>
      </c>
      <c r="BQ4" s="39">
        <f>VLOOKUP($F4,Assumptions!$E$152:$BC$157,COLUMN()-COLUMN($BC$4),FALSE)</f>
        <v>1</v>
      </c>
      <c r="BR4" s="39">
        <f>VLOOKUP($F4,Assumptions!$E$152:$BC$157,COLUMN()-COLUMN($BC$4),FALSE)</f>
        <v>1</v>
      </c>
      <c r="BS4" s="39">
        <f>VLOOKUP($F4,Assumptions!$E$152:$BC$157,COLUMN()-COLUMN($BC$4),FALSE)</f>
        <v>1</v>
      </c>
      <c r="BT4" s="39">
        <f>VLOOKUP($F4,Assumptions!$E$152:$BC$157,COLUMN()-COLUMN($BC$4),FALSE)</f>
        <v>1</v>
      </c>
      <c r="BU4" s="39">
        <f>VLOOKUP($F4,Assumptions!$E$152:$BC$157,COLUMN()-COLUMN($BC$4),FALSE)</f>
        <v>1</v>
      </c>
      <c r="BV4" s="39">
        <f>VLOOKUP($F4,Assumptions!$E$152:$BC$157,COLUMN()-COLUMN($BC$4),FALSE)</f>
        <v>1</v>
      </c>
      <c r="BW4" s="39">
        <f>VLOOKUP($F4,Assumptions!$E$152:$BC$157,COLUMN()-COLUMN($BC$4),FALSE)</f>
        <v>1</v>
      </c>
      <c r="BX4" s="39">
        <f>VLOOKUP($F4,Assumptions!$E$152:$BC$157,COLUMN()-COLUMN($BC$4),FALSE)</f>
        <v>1</v>
      </c>
      <c r="BY4" s="39">
        <f>VLOOKUP($F4,Assumptions!$E$152:$BC$157,COLUMN()-COLUMN($BC$4),FALSE)</f>
        <v>1</v>
      </c>
      <c r="BZ4" s="39">
        <f>VLOOKUP($F4,Assumptions!$E$152:$BC$157,COLUMN()-COLUMN($BC$4),FALSE)</f>
        <v>1</v>
      </c>
      <c r="CA4" s="39">
        <f>VLOOKUP($F4,Assumptions!$E$152:$BC$157,COLUMN()-COLUMN($BC$4),FALSE)</f>
        <v>1</v>
      </c>
      <c r="CB4" s="39">
        <f>VLOOKUP($F4,Assumptions!$E$152:$BC$157,COLUMN()-COLUMN($BC$4),FALSE)</f>
        <v>1</v>
      </c>
      <c r="CC4" s="39">
        <f>VLOOKUP($F4,Assumptions!$E$152:$BC$157,COLUMN()-COLUMN($BC$4),FALSE)</f>
        <v>1</v>
      </c>
      <c r="CD4" s="39">
        <f>VLOOKUP($F4,Assumptions!$E$152:$BC$157,COLUMN()-COLUMN($BC$4),FALSE)</f>
        <v>1</v>
      </c>
      <c r="CE4" s="39">
        <f>VLOOKUP($F4,Assumptions!$E$152:$BC$157,COLUMN()-COLUMN($BC$4),FALSE)</f>
        <v>1</v>
      </c>
      <c r="CF4" s="39">
        <f>VLOOKUP($F4,Assumptions!$E$152:$BC$157,COLUMN()-COLUMN($BC$4),FALSE)</f>
        <v>1</v>
      </c>
      <c r="CG4" s="39">
        <f>VLOOKUP($F4,Assumptions!$E$152:$BC$157,COLUMN()-COLUMN($BC$4),FALSE)</f>
        <v>1</v>
      </c>
      <c r="CH4" s="39">
        <f>VLOOKUP($F4,Assumptions!$E$152:$BC$157,COLUMN()-COLUMN($BC$4),FALSE)</f>
        <v>1</v>
      </c>
      <c r="CI4" s="39">
        <f>VLOOKUP($F4,Assumptions!$E$152:$BC$157,COLUMN()-COLUMN($BC$4),FALSE)</f>
        <v>1</v>
      </c>
      <c r="CJ4" s="39">
        <f>VLOOKUP($F4,Assumptions!$E$152:$BC$157,COLUMN()-COLUMN($BC$4),FALSE)</f>
        <v>1</v>
      </c>
      <c r="CK4" s="39">
        <f>VLOOKUP($F4,Assumptions!$E$152:$BC$157,COLUMN()-COLUMN($BC$4),FALSE)</f>
        <v>1</v>
      </c>
      <c r="CL4" s="39">
        <f>VLOOKUP($F4,Assumptions!$E$152:$BC$157,COLUMN()-COLUMN($BC$4),FALSE)</f>
        <v>1</v>
      </c>
      <c r="CM4" s="39">
        <f>VLOOKUP($F4,Assumptions!$E$152:$BC$157,COLUMN()-COLUMN($BC$4),FALSE)</f>
        <v>1</v>
      </c>
      <c r="CN4" s="39">
        <f>VLOOKUP($F4,Assumptions!$E$152:$BC$157,COLUMN()-COLUMN($BC$4),FALSE)</f>
        <v>1</v>
      </c>
      <c r="CO4" s="39">
        <f>VLOOKUP($F4,Assumptions!$E$152:$BC$157,COLUMN()-COLUMN($BC$4),FALSE)</f>
        <v>1</v>
      </c>
      <c r="CP4" s="39">
        <f>VLOOKUP($F4,Assumptions!$E$152:$BC$157,COLUMN()-COLUMN($BC$4),FALSE)</f>
        <v>1</v>
      </c>
      <c r="CQ4" s="39">
        <f>VLOOKUP($F4,Assumptions!$E$152:$BC$157,COLUMN()-COLUMN($BC$4),FALSE)</f>
        <v>1</v>
      </c>
      <c r="CR4" s="39">
        <f>VLOOKUP($F4,Assumptions!$E$152:$BC$157,COLUMN()-COLUMN($BC$4),FALSE)</f>
        <v>1</v>
      </c>
      <c r="CS4" s="39">
        <f>VLOOKUP($F4,Assumptions!$E$152:$BC$157,COLUMN()-COLUMN($BC$4),FALSE)</f>
        <v>1</v>
      </c>
      <c r="CT4" s="39">
        <f>VLOOKUP($F4,Assumptions!$E$152:$BC$157,COLUMN()-COLUMN($BC$4),FALSE)</f>
        <v>1</v>
      </c>
      <c r="CU4" s="39">
        <f>VLOOKUP($F4,Assumptions!$E$152:$BC$157,COLUMN()-COLUMN($BC$4),FALSE)</f>
        <v>1</v>
      </c>
      <c r="CV4" s="39">
        <f>VLOOKUP($F4,Assumptions!$E$152:$BC$157,COLUMN()-COLUMN($BC$4),FALSE)</f>
        <v>1</v>
      </c>
      <c r="CW4" s="39">
        <f>VLOOKUP($F4,Assumptions!$E$152:$BC$157,COLUMN()-COLUMN($BC$4),FALSE)</f>
        <v>1</v>
      </c>
      <c r="CX4" s="39">
        <f>VLOOKUP($F4,Assumptions!$E$152:$BC$157,COLUMN()-COLUMN($BC$4),FALSE)</f>
        <v>1</v>
      </c>
      <c r="CY4" s="38"/>
      <c r="CZ4" s="38"/>
      <c r="DA4" s="38" t="s">
        <v>198</v>
      </c>
      <c r="DB4" s="42">
        <f ca="1">SUMIF(Assumptions!$G$3:$G$103,'non-road'!$DA4,Assumptions!BD$3:BD$103)</f>
        <v>7.52259898692</v>
      </c>
      <c r="DC4" s="42">
        <f ca="1">SUMIF(Assumptions!$G$3:$G$103,'non-road'!$DA4,Assumptions!BE$3:BE$103)</f>
        <v>4.68191882628</v>
      </c>
      <c r="DD4" s="42">
        <f ca="1">SUMIF(Assumptions!$G$3:$G$103,'non-road'!$DA4,Assumptions!BF$3:BF$103)</f>
        <v>22.48756698708</v>
      </c>
      <c r="DE4" s="42">
        <f ca="1">SUMIF(Assumptions!$G$3:$G$103,'non-road'!$DA4,Assumptions!BG$3:BG$103)</f>
        <v>7.2926017344</v>
      </c>
      <c r="DF4" s="42">
        <f ca="1">SUMIF(Assumptions!$G$3:$G$103,'non-road'!$DA4,Assumptions!BH$3:BH$103)</f>
        <v>0.7464771324</v>
      </c>
      <c r="DG4" s="42">
        <f ca="1">SUMIF(Assumptions!$G$3:$G$103,'non-road'!$DA4,Assumptions!BI$3:BI$103)</f>
        <v>12.35651414436</v>
      </c>
      <c r="DH4" s="42">
        <f ca="1">SUMIF(Assumptions!$G$3:$G$103,'non-road'!$DA4,Assumptions!BJ$3:BJ$103)</f>
        <v>16.73255289888</v>
      </c>
      <c r="DI4" s="42">
        <f ca="1">SUMIF(Assumptions!$G$3:$G$103,'non-road'!$DA4,Assumptions!BK$3:BK$103)</f>
        <v>326.52113141232</v>
      </c>
      <c r="DJ4" s="42">
        <f ca="1">SUMIF(Assumptions!$G$3:$G$103,'non-road'!$DA4,Assumptions!BL$3:BL$103)</f>
        <v>1.59014161584</v>
      </c>
      <c r="DK4" s="42">
        <f ca="1">SUMIF(Assumptions!$G$3:$G$103,'non-road'!$DA4,Assumptions!BM$3:BM$103)</f>
        <v>7.07763551256</v>
      </c>
      <c r="DL4" s="42">
        <f ca="1">SUMIF(Assumptions!$G$3:$G$103,'non-road'!$DA4,Assumptions!BN$3:BN$103)</f>
        <v>31.01840309844</v>
      </c>
      <c r="DM4" s="42">
        <f ca="1">SUMIF(Assumptions!$G$3:$G$103,'non-road'!$DA4,Assumptions!BO$3:BO$103)</f>
        <v>41.70129292836</v>
      </c>
      <c r="DN4" s="42">
        <f ca="1">SUMIF(Assumptions!$G$3:$G$103,'non-road'!$DA4,Assumptions!BP$3:BP$103)</f>
        <v>0.70057431324</v>
      </c>
      <c r="DO4" s="42">
        <f ca="1">SUMIF(Assumptions!$G$3:$G$103,'non-road'!$DA4,Assumptions!BQ$3:BQ$103)</f>
        <v>8.7175707408</v>
      </c>
      <c r="DP4" s="42">
        <f ca="1">SUMIF(Assumptions!$G$3:$G$103,'non-road'!$DA4,Assumptions!BR$3:BR$103)</f>
        <v>0</v>
      </c>
      <c r="DQ4" s="42">
        <f ca="1">SUMIF(Assumptions!$G$3:$G$103,'non-road'!$DA4,Assumptions!BS$3:BS$103)</f>
        <v>103.23096836976</v>
      </c>
      <c r="DR4" s="42">
        <f ca="1">SUMIF(Assumptions!$G$3:$G$103,'non-road'!$DA4,Assumptions!BT$3:BT$103)</f>
        <v>0.35056034532</v>
      </c>
      <c r="DS4" s="42">
        <f ca="1">SUMIF(Assumptions!$G$3:$G$103,'non-road'!$DA4,Assumptions!BU$3:BU$103)</f>
        <v>20.16264825144</v>
      </c>
      <c r="DT4" s="42">
        <f ca="1">SUMIF(Assumptions!$G$3:$G$103,'non-road'!$DA4,Assumptions!BV$3:BV$103)</f>
        <v>67.010814948024</v>
      </c>
      <c r="DU4" s="42">
        <f ca="1">SUMIF(Assumptions!$G$3:$G$103,'non-road'!$DA4,Assumptions!BW$3:BW$103)</f>
        <v>5.33483228304</v>
      </c>
      <c r="DV4" s="42">
        <f ca="1">SUMIF(Assumptions!$G$3:$G$103,'non-road'!$DA4,Assumptions!BX$3:BX$103)</f>
        <v>1.02893791968</v>
      </c>
      <c r="DW4" s="42">
        <f ca="1">SUMIF(Assumptions!$G$3:$G$103,'non-road'!$DA4,Assumptions!BY$3:BY$103)</f>
        <v>58.2017690287063</v>
      </c>
      <c r="DX4" s="42">
        <f ca="1">SUMIF(Assumptions!$G$3:$G$103,'non-road'!$DA4,Assumptions!BZ$3:BZ$103)</f>
        <v>2.17014697476</v>
      </c>
      <c r="DY4" s="42">
        <f ca="1">SUMIF(Assumptions!$G$3:$G$103,'non-road'!$DA4,Assumptions!CA$3:CA$103)</f>
        <v>10.5532145856</v>
      </c>
      <c r="DZ4" s="42">
        <f ca="1">SUMIF(Assumptions!$G$3:$G$103,'non-road'!$DA4,Assumptions!CB$3:CB$103)</f>
        <v>64.30092171084</v>
      </c>
      <c r="EA4" s="42">
        <f ca="1">SUMIF(Assumptions!$G$3:$G$103,'non-road'!$DA4,Assumptions!CC$3:CC$103)</f>
        <v>172.11817527732</v>
      </c>
      <c r="EB4" s="42">
        <f ca="1">SUMIF(Assumptions!$G$3:$G$103,'non-road'!$DA4,Assumptions!CD$3:CD$103)</f>
        <v>0</v>
      </c>
      <c r="EC4" s="42">
        <f ca="1">SUMIF(Assumptions!$G$3:$G$103,'non-road'!$DA4,Assumptions!CE$3:CE$103)</f>
        <v>9.66210067908</v>
      </c>
      <c r="ED4" s="42">
        <f ca="1">SUMIF(Assumptions!$G$3:$G$103,'non-road'!$DA4,Assumptions!CF$3:CF$103)</f>
        <v>14.61933258768</v>
      </c>
      <c r="EE4" s="42">
        <f ca="1">SUMIF(Assumptions!$G$3:$G$103,'non-road'!$DA4,Assumptions!CG$3:CG$103)</f>
        <v>13.70996841996</v>
      </c>
      <c r="EF4" s="42">
        <f ca="1">SUMIF(Assumptions!$G$3:$G$103,'non-road'!$DA4,Assumptions!CH$3:CH$103)</f>
        <v>10.98924384744</v>
      </c>
      <c r="EG4" s="42">
        <f ca="1">SUMIF(Assumptions!$G$3:$G$103,'non-road'!$DA4,Assumptions!CI$3:CI$103)</f>
        <v>5.62897842912</v>
      </c>
      <c r="EH4" s="42">
        <f ca="1">SUMIF(Assumptions!$G$3:$G$103,'non-road'!$DA4,Assumptions!CJ$3:CJ$103)</f>
        <v>23.05987198344</v>
      </c>
      <c r="EI4" s="42">
        <f ca="1">SUMIF(Assumptions!$G$3:$G$103,'non-road'!$DA4,Assumptions!CK$3:CK$103)</f>
        <v>15.59563824456</v>
      </c>
      <c r="EJ4" s="42">
        <f ca="1">SUMIF(Assumptions!$G$3:$G$103,'non-road'!$DA4,Assumptions!CL$3:CL$103)</f>
        <v>1.59649257276</v>
      </c>
      <c r="EK4" s="42">
        <f ca="1">SUMIF(Assumptions!$G$3:$G$103,'non-road'!$DA4,Assumptions!CM$3:CM$103)</f>
        <v>0</v>
      </c>
      <c r="EL4" s="42">
        <f ca="1">SUMIF(Assumptions!$G$3:$G$103,'non-road'!$DA4,Assumptions!CN$3:CN$103)</f>
        <v>0</v>
      </c>
      <c r="EM4" s="42">
        <f ca="1">SUMIF(Assumptions!$G$3:$G$103,'non-road'!$DA4,Assumptions!CO$3:CO$103)</f>
        <v>0</v>
      </c>
      <c r="EN4" s="42">
        <f ca="1">SUMIF(Assumptions!$G$3:$G$103,'non-road'!$DA4,Assumptions!CP$3:CP$103)</f>
        <v>0</v>
      </c>
      <c r="EO4" s="42">
        <f ca="1">SUMIF(Assumptions!$G$3:$G$103,'non-road'!$DA4,Assumptions!CQ$3:CQ$103)</f>
        <v>0</v>
      </c>
      <c r="EP4" s="42">
        <f ca="1">SUMIF(Assumptions!$G$3:$G$103,'non-road'!$DA4,Assumptions!CR$3:CR$103)</f>
        <v>0</v>
      </c>
      <c r="EQ4" s="42">
        <f ca="1">SUMIF(Assumptions!$G$3:$G$103,'non-road'!$DA4,Assumptions!CS$3:CS$103)</f>
        <v>0</v>
      </c>
      <c r="ER4" s="42">
        <f ca="1">SUMIF(Assumptions!$G$3:$G$103,'non-road'!$DA4,Assumptions!CT$3:CT$103)</f>
        <v>0</v>
      </c>
      <c r="ES4" s="42">
        <f ca="1">SUMIF(Assumptions!$G$3:$G$103,'non-road'!$DA4,Assumptions!CU$3:CU$103)</f>
        <v>0</v>
      </c>
      <c r="ET4" s="42">
        <f ca="1">SUMIF(Assumptions!$G$3:$G$103,'non-road'!$DA4,Assumptions!CV$3:CV$103)</f>
        <v>0</v>
      </c>
      <c r="EU4" s="42">
        <f ca="1">SUMIF(Assumptions!$G$3:$G$103,'non-road'!$DA4,Assumptions!CW$3:CW$103)</f>
        <v>0</v>
      </c>
      <c r="EV4" s="38"/>
      <c r="EW4" s="38" t="str">
        <f t="shared" ref="EW4:EW40" si="48">IF(EX4="","\I:","DMD")</f>
        <v>\I:</v>
      </c>
      <c r="EX4" s="38" t="str">
        <f t="shared" si="47"/>
        <v/>
      </c>
      <c r="EY4" s="38" t="s">
        <v>133</v>
      </c>
      <c r="EZ4" s="38" t="s">
        <v>85</v>
      </c>
      <c r="FA4" s="38" t="s">
        <v>440</v>
      </c>
      <c r="FB4" s="38"/>
      <c r="FC4" s="38"/>
      <c r="FD4" s="38"/>
    </row>
    <row r="5" spans="1:160">
      <c r="A5" s="38" t="s">
        <v>442</v>
      </c>
      <c r="B5" s="38"/>
      <c r="C5" s="38" t="str">
        <f t="shared" ref="C5:C11" si="49">IF(F5&lt;&gt;F4,F5&amp;"_Generic","")</f>
        <v/>
      </c>
      <c r="D5" s="38" t="s">
        <v>60</v>
      </c>
      <c r="E5" s="38"/>
      <c r="F5" s="38" t="s">
        <v>194</v>
      </c>
      <c r="G5" s="39">
        <f ca="1">SUMIFS(Assumptions!BD$3:BD$103,Assumptions!$G$3:$G$103,'non-road'!$F5,Assumptions!$B$3:$B$103,'non-road'!$D5)/SUMIF(Assumptions!$G$3:$G$103,'non-road'!$F5,Assumptions!BD$3:BD$103)</f>
        <v>0.260409539715761</v>
      </c>
      <c r="H5" s="39">
        <f ca="1">SUMIFS(Assumptions!BE$3:BE$103,Assumptions!$G$3:$G$103,'non-road'!$F5,Assumptions!$B$3:$B$103,'non-road'!$D5)/SUMIF(Assumptions!$G$3:$G$103,'non-road'!$F5,Assumptions!BE$3:BE$103)</f>
        <v>0.984018557468421</v>
      </c>
      <c r="I5" s="39">
        <f ca="1">SUMIFS(Assumptions!BF$3:BF$103,Assumptions!$G$3:$G$103,'non-road'!$F5,Assumptions!$B$3:$B$103,'non-road'!$D5)/SUMIF(Assumptions!$G$3:$G$103,'non-road'!$F5,Assumptions!BF$3:BF$103)</f>
        <v>0.904497470957874</v>
      </c>
      <c r="J5" s="39">
        <f ca="1">SUMIFS(Assumptions!BG$3:BG$103,Assumptions!$G$3:$G$103,'non-road'!$F5,Assumptions!$B$3:$B$103,'non-road'!$D5)/SUMIF(Assumptions!$G$3:$G$103,'non-road'!$F5,Assumptions!BG$3:BG$103)</f>
        <v>0.941941193564579</v>
      </c>
      <c r="K5" s="39">
        <f ca="1">SUMIFS(Assumptions!BH$3:BH$103,Assumptions!$G$3:$G$103,'non-road'!$F5,Assumptions!$B$3:$B$103,'non-road'!$D5)/SUMIF(Assumptions!$G$3:$G$103,'non-road'!$F5,Assumptions!BH$3:BH$103)</f>
        <v>0.957608716656489</v>
      </c>
      <c r="L5" s="39">
        <f ca="1">SUMIFS(Assumptions!BI$3:BI$103,Assumptions!$G$3:$G$103,'non-road'!$F5,Assumptions!$B$3:$B$103,'non-road'!$D5)/SUMIF(Assumptions!$G$3:$G$103,'non-road'!$F5,Assumptions!BI$3:BI$103)</f>
        <v>0.963297959931986</v>
      </c>
      <c r="M5" s="39">
        <f ca="1">SUMIFS(Assumptions!BJ$3:BJ$103,Assumptions!$G$3:$G$103,'non-road'!$F5,Assumptions!$B$3:$B$103,'non-road'!$D5)/SUMIF(Assumptions!$G$3:$G$103,'non-road'!$F5,Assumptions!BJ$3:BJ$103)</f>
        <v>0.892771750786673</v>
      </c>
      <c r="N5" s="39">
        <f ca="1">SUMIFS(Assumptions!BK$3:BK$103,Assumptions!$G$3:$G$103,'non-road'!$F5,Assumptions!$B$3:$B$103,'non-road'!$D5)/SUMIF(Assumptions!$G$3:$G$103,'non-road'!$F5,Assumptions!BK$3:BK$103)</f>
        <v>0.493699744663516</v>
      </c>
      <c r="O5" s="39">
        <f ca="1">SUMIFS(Assumptions!BL$3:BL$103,Assumptions!$G$3:$G$103,'non-road'!$F5,Assumptions!$B$3:$B$103,'non-road'!$D5)/SUMIF(Assumptions!$G$3:$G$103,'non-road'!$F5,Assumptions!BL$3:BL$103)</f>
        <v>0.82995108394391</v>
      </c>
      <c r="P5" s="39">
        <f ca="1">SUMIFS(Assumptions!BM$3:BM$103,Assumptions!$G$3:$G$103,'non-road'!$F5,Assumptions!$B$3:$B$103,'non-road'!$D5)/SUMIF(Assumptions!$G$3:$G$103,'non-road'!$F5,Assumptions!BM$3:BM$103)</f>
        <v>0.761495560616</v>
      </c>
      <c r="Q5" s="39">
        <f ca="1">SUMIFS(Assumptions!BN$3:BN$103,Assumptions!$G$3:$G$103,'non-road'!$F5,Assumptions!$B$3:$B$103,'non-road'!$D5)/SUMIF(Assumptions!$G$3:$G$103,'non-road'!$F5,Assumptions!BN$3:BN$103)</f>
        <v>0.934931476835338</v>
      </c>
      <c r="R5" s="39">
        <f ca="1">SUMIFS(Assumptions!BO$3:BO$103,Assumptions!$G$3:$G$103,'non-road'!$F5,Assumptions!$B$3:$B$103,'non-road'!$D5)/SUMIF(Assumptions!$G$3:$G$103,'non-road'!$F5,Assumptions!BO$3:BO$103)</f>
        <v>0.947592028728685</v>
      </c>
      <c r="S5" s="39">
        <f ca="1">SUMIFS(Assumptions!BP$3:BP$103,Assumptions!$G$3:$G$103,'non-road'!$F5,Assumptions!$B$3:$B$103,'non-road'!$D5)/SUMIF(Assumptions!$G$3:$G$103,'non-road'!$F5,Assumptions!BP$3:BP$103)</f>
        <v>0.975329375817885</v>
      </c>
      <c r="T5" s="39">
        <f ca="1">SUMIFS(Assumptions!BQ$3:BQ$103,Assumptions!$G$3:$G$103,'non-road'!$F5,Assumptions!$B$3:$B$103,'non-road'!$D5)/SUMIF(Assumptions!$G$3:$G$103,'non-road'!$F5,Assumptions!BQ$3:BQ$103)</f>
        <v>0.883365895825018</v>
      </c>
      <c r="U5" s="39" t="e">
        <f ca="1">SUMIFS(Assumptions!BR$3:BR$103,Assumptions!$G$3:$G$103,'non-road'!$F5,Assumptions!$B$3:$B$103,'non-road'!$D5)/SUMIF(Assumptions!$G$3:$G$103,'non-road'!$F5,Assumptions!BR$3:BR$103)</f>
        <v>#DIV/0!</v>
      </c>
      <c r="V5" s="39">
        <f ca="1">SUMIFS(Assumptions!BS$3:BS$103,Assumptions!$G$3:$G$103,'non-road'!$F5,Assumptions!$B$3:$B$103,'non-road'!$D5)/SUMIF(Assumptions!$G$3:$G$103,'non-road'!$F5,Assumptions!BS$3:BS$103)</f>
        <v>0.72666630467839</v>
      </c>
      <c r="W5" s="39">
        <f ca="1">SUMIFS(Assumptions!BT$3:BT$103,Assumptions!$G$3:$G$103,'non-road'!$F5,Assumptions!$B$3:$B$103,'non-road'!$D5)/SUMIF(Assumptions!$G$3:$G$103,'non-road'!$F5,Assumptions!BT$3:BT$103)</f>
        <v>1</v>
      </c>
      <c r="X5" s="39">
        <f ca="1">SUMIFS(Assumptions!BU$3:BU$103,Assumptions!$G$3:$G$103,'non-road'!$F5,Assumptions!$B$3:$B$103,'non-road'!$D5)/SUMIF(Assumptions!$G$3:$G$103,'non-road'!$F5,Assumptions!BU$3:BU$103)</f>
        <v>1</v>
      </c>
      <c r="Y5" s="39">
        <f ca="1">SUMIFS(Assumptions!BV$3:BV$103,Assumptions!$G$3:$G$103,'non-road'!$F5,Assumptions!$B$3:$B$103,'non-road'!$D5)/SUMIF(Assumptions!$G$3:$G$103,'non-road'!$F5,Assumptions!BV$3:BV$103)</f>
        <v>0.998746363961718</v>
      </c>
      <c r="Z5" s="39">
        <f ca="1">SUMIFS(Assumptions!BW$3:BW$103,Assumptions!$G$3:$G$103,'non-road'!$F5,Assumptions!$B$3:$B$103,'non-road'!$D5)/SUMIF(Assumptions!$G$3:$G$103,'non-road'!$F5,Assumptions!BW$3:BW$103)</f>
        <v>0.846916944347875</v>
      </c>
      <c r="AA5" s="39">
        <f ca="1">SUMIFS(Assumptions!BX$3:BX$103,Assumptions!$G$3:$G$103,'non-road'!$F5,Assumptions!$B$3:$B$103,'non-road'!$D5)/SUMIF(Assumptions!$G$3:$G$103,'non-road'!$F5,Assumptions!BX$3:BX$103)</f>
        <v>1</v>
      </c>
      <c r="AB5" s="39">
        <f ca="1">SUMIFS(Assumptions!BY$3:BY$103,Assumptions!$G$3:$G$103,'non-road'!$F5,Assumptions!$B$3:$B$103,'non-road'!$D5)/SUMIF(Assumptions!$G$3:$G$103,'non-road'!$F5,Assumptions!BY$3:BY$103)</f>
        <v>0.975454116875588</v>
      </c>
      <c r="AC5" s="39">
        <f ca="1">SUMIFS(Assumptions!BZ$3:BZ$103,Assumptions!$G$3:$G$103,'non-road'!$F5,Assumptions!$B$3:$B$103,'non-road'!$D5)/SUMIF(Assumptions!$G$3:$G$103,'non-road'!$F5,Assumptions!BZ$3:BZ$103)</f>
        <v>1</v>
      </c>
      <c r="AD5" s="39">
        <f ca="1">SUMIFS(Assumptions!CA$3:CA$103,Assumptions!$G$3:$G$103,'non-road'!$F5,Assumptions!$B$3:$B$103,'non-road'!$D5)/SUMIF(Assumptions!$G$3:$G$103,'non-road'!$F5,Assumptions!CA$3:CA$103)</f>
        <v>0.73999492596522</v>
      </c>
      <c r="AE5" s="39">
        <f ca="1">SUMIFS(Assumptions!CB$3:CB$103,Assumptions!$G$3:$G$103,'non-road'!$F5,Assumptions!$B$3:$B$103,'non-road'!$D5)/SUMIF(Assumptions!$G$3:$G$103,'non-road'!$F5,Assumptions!CB$3:CB$103)</f>
        <v>0.942760327013985</v>
      </c>
      <c r="AF5" s="39">
        <f ca="1">SUMIFS(Assumptions!CC$3:CC$103,Assumptions!$G$3:$G$103,'non-road'!$F5,Assumptions!$B$3:$B$103,'non-road'!$D5)/SUMIF(Assumptions!$G$3:$G$103,'non-road'!$F5,Assumptions!CC$3:CC$103)</f>
        <v>0.796981019359647</v>
      </c>
      <c r="AG5" s="39" t="e">
        <f ca="1">SUMIFS(Assumptions!CD$3:CD$103,Assumptions!$G$3:$G$103,'non-road'!$F5,Assumptions!$B$3:$B$103,'non-road'!$D5)/SUMIF(Assumptions!$G$3:$G$103,'non-road'!$F5,Assumptions!CD$3:CD$103)</f>
        <v>#DIV/0!</v>
      </c>
      <c r="AH5" s="39">
        <f ca="1">SUMIFS(Assumptions!CE$3:CE$103,Assumptions!$G$3:$G$103,'non-road'!$F5,Assumptions!$B$3:$B$103,'non-road'!$D5)/SUMIF(Assumptions!$G$3:$G$103,'non-road'!$F5,Assumptions!CE$3:CE$103)</f>
        <v>0.385203273027156</v>
      </c>
      <c r="AI5" s="39">
        <f ca="1">SUMIFS(Assumptions!CF$3:CF$103,Assumptions!$G$3:$G$103,'non-road'!$F5,Assumptions!$B$3:$B$103,'non-road'!$D5)/SUMIF(Assumptions!$G$3:$G$103,'non-road'!$F5,Assumptions!CF$3:CF$103)</f>
        <v>1</v>
      </c>
      <c r="AJ5" s="39">
        <f ca="1">SUMIFS(Assumptions!CG$3:CG$103,Assumptions!$G$3:$G$103,'non-road'!$F5,Assumptions!$B$3:$B$103,'non-road'!$D5)/SUMIF(Assumptions!$G$3:$G$103,'non-road'!$F5,Assumptions!CG$3:CG$103)</f>
        <v>0.999978545054313</v>
      </c>
      <c r="AK5" s="39">
        <f ca="1">SUMIFS(Assumptions!CH$3:CH$103,Assumptions!$G$3:$G$103,'non-road'!$F5,Assumptions!$B$3:$B$103,'non-road'!$D5)/SUMIF(Assumptions!$G$3:$G$103,'non-road'!$F5,Assumptions!CH$3:CH$103)</f>
        <v>0.966914902697166</v>
      </c>
      <c r="AL5" s="39">
        <f ca="1">SUMIFS(Assumptions!CI$3:CI$103,Assumptions!$G$3:$G$103,'non-road'!$F5,Assumptions!$B$3:$B$103,'non-road'!$D5)/SUMIF(Assumptions!$G$3:$G$103,'non-road'!$F5,Assumptions!CI$3:CI$103)</f>
        <v>0.88000074999599</v>
      </c>
      <c r="AM5" s="39">
        <f ca="1">SUMIFS(Assumptions!CJ$3:CJ$103,Assumptions!$G$3:$G$103,'non-road'!$F5,Assumptions!$B$3:$B$103,'non-road'!$D5)/SUMIF(Assumptions!$G$3:$G$103,'non-road'!$F5,Assumptions!CJ$3:CJ$103)</f>
        <v>0.983399067430047</v>
      </c>
      <c r="AN5" s="39">
        <f ca="1">SUMIFS(Assumptions!CK$3:CK$103,Assumptions!$G$3:$G$103,'non-road'!$F5,Assumptions!$B$3:$B$103,'non-road'!$D5)/SUMIF(Assumptions!$G$3:$G$103,'non-road'!$F5,Assumptions!CK$3:CK$103)</f>
        <v>0.241627145301386</v>
      </c>
      <c r="AO5" s="39">
        <f ca="1">SUMIFS(Assumptions!CL$3:CL$103,Assumptions!$G$3:$G$103,'non-road'!$F5,Assumptions!$B$3:$B$103,'non-road'!$D5)/SUMIF(Assumptions!$G$3:$G$103,'non-road'!$F5,Assumptions!CL$3:CL$103)</f>
        <v>0.806901341149958</v>
      </c>
      <c r="AP5" s="39" t="e">
        <f ca="1">SUMIFS(Assumptions!CM$3:CM$103,Assumptions!$G$3:$G$103,'non-road'!$F5,Assumptions!$B$3:$B$103,'non-road'!$D5)/SUMIF(Assumptions!$G$3:$G$103,'non-road'!$F5,Assumptions!CM$3:CM$103)</f>
        <v>#DIV/0!</v>
      </c>
      <c r="AQ5" s="39" t="e">
        <f ca="1">SUMIFS(Assumptions!CN$3:CN$103,Assumptions!$G$3:$G$103,'non-road'!$F5,Assumptions!$B$3:$B$103,'non-road'!$D5)/SUMIF(Assumptions!$G$3:$G$103,'non-road'!$F5,Assumptions!CN$3:CN$103)</f>
        <v>#DIV/0!</v>
      </c>
      <c r="AR5" s="39" t="e">
        <f ca="1">SUMIFS(Assumptions!CO$3:CO$103,Assumptions!$G$3:$G$103,'non-road'!$F5,Assumptions!$B$3:$B$103,'non-road'!$D5)/SUMIF(Assumptions!$G$3:$G$103,'non-road'!$F5,Assumptions!CO$3:CO$103)</f>
        <v>#DIV/0!</v>
      </c>
      <c r="AS5" s="39" t="e">
        <f ca="1">SUMIFS(Assumptions!CP$3:CP$103,Assumptions!$G$3:$G$103,'non-road'!$F5,Assumptions!$B$3:$B$103,'non-road'!$D5)/SUMIF(Assumptions!$G$3:$G$103,'non-road'!$F5,Assumptions!CP$3:CP$103)</f>
        <v>#DIV/0!</v>
      </c>
      <c r="AT5" s="39" t="e">
        <f ca="1">SUMIFS(Assumptions!CQ$3:CQ$103,Assumptions!$G$3:$G$103,'non-road'!$F5,Assumptions!$B$3:$B$103,'non-road'!$D5)/SUMIF(Assumptions!$G$3:$G$103,'non-road'!$F5,Assumptions!CQ$3:CQ$103)</f>
        <v>#DIV/0!</v>
      </c>
      <c r="AU5" s="39" t="e">
        <f ca="1">SUMIFS(Assumptions!CR$3:CR$103,Assumptions!$G$3:$G$103,'non-road'!$F5,Assumptions!$B$3:$B$103,'non-road'!$D5)/SUMIF(Assumptions!$G$3:$G$103,'non-road'!$F5,Assumptions!CR$3:CR$103)</f>
        <v>#DIV/0!</v>
      </c>
      <c r="AV5" s="39" t="e">
        <f ca="1">SUMIFS(Assumptions!CS$3:CS$103,Assumptions!$G$3:$G$103,'non-road'!$F5,Assumptions!$B$3:$B$103,'non-road'!$D5)/SUMIF(Assumptions!$G$3:$G$103,'non-road'!$F5,Assumptions!CS$3:CS$103)</f>
        <v>#DIV/0!</v>
      </c>
      <c r="AW5" s="39" t="e">
        <f ca="1">SUMIFS(Assumptions!CT$3:CT$103,Assumptions!$G$3:$G$103,'non-road'!$F5,Assumptions!$B$3:$B$103,'non-road'!$D5)/SUMIF(Assumptions!$G$3:$G$103,'non-road'!$F5,Assumptions!CT$3:CT$103)</f>
        <v>#DIV/0!</v>
      </c>
      <c r="AX5" s="39" t="e">
        <f ca="1">SUMIFS(Assumptions!CU$3:CU$103,Assumptions!$G$3:$G$103,'non-road'!$F5,Assumptions!$B$3:$B$103,'non-road'!$D5)/SUMIF(Assumptions!$G$3:$G$103,'non-road'!$F5,Assumptions!CU$3:CU$103)</f>
        <v>#DIV/0!</v>
      </c>
      <c r="AY5" s="39" t="e">
        <f ca="1">SUMIFS(Assumptions!CV$3:CV$103,Assumptions!$G$3:$G$103,'non-road'!$F5,Assumptions!$B$3:$B$103,'non-road'!$D5)/SUMIF(Assumptions!$G$3:$G$103,'non-road'!$F5,Assumptions!CV$3:CV$103)</f>
        <v>#DIV/0!</v>
      </c>
      <c r="AZ5" s="39" t="e">
        <f ca="1">SUMIFS(Assumptions!CW$3:CW$103,Assumptions!$G$3:$G$103,'non-road'!$F5,Assumptions!$B$3:$B$103,'non-road'!$D5)/SUMIF(Assumptions!$G$3:$G$103,'non-road'!$F5,Assumptions!CW$3:CW$103)</f>
        <v>#DIV/0!</v>
      </c>
      <c r="BA5" s="40"/>
      <c r="BB5" s="39"/>
      <c r="BC5" s="39"/>
      <c r="BD5" s="38" t="str">
        <f t="shared" ref="BD5:BD11" si="50">IF(C5="","\I:",C5)</f>
        <v>\I:</v>
      </c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8"/>
      <c r="CZ5" s="38"/>
      <c r="DA5" s="38" t="s">
        <v>76</v>
      </c>
      <c r="DB5" s="38">
        <f>SUMIF(Assumptions!$BB$105:$BB$128,'non-road'!$DA5,Assumptions!BD$105:BD$128)</f>
        <v>99.1230300972</v>
      </c>
      <c r="DC5" s="38">
        <f>SUMIF(Assumptions!$BB$105:$BB$128,'non-road'!$DA5,Assumptions!BE$105:BE$128)</f>
        <v>192.0928039704</v>
      </c>
      <c r="DD5" s="38">
        <f>SUMIF(Assumptions!$BB$105:$BB$128,'non-road'!$DA5,Assumptions!BF$105:BF$128)</f>
        <v>211.3565345388</v>
      </c>
      <c r="DE5" s="38">
        <f>SUMIF(Assumptions!$BB$105:$BB$128,'non-road'!$DA5,Assumptions!BG$105:BG$128)</f>
        <v>39.6794089152</v>
      </c>
      <c r="DF5" s="38">
        <f>SUMIF(Assumptions!$BB$105:$BB$128,'non-road'!$DA5,Assumptions!BH$105:BH$128)</f>
        <v>14.5334462472</v>
      </c>
      <c r="DG5" s="38">
        <f>SUMIF(Assumptions!$BB$105:$BB$128,'non-road'!$DA5,Assumptions!BI$105:BI$128)</f>
        <v>260.8231662324</v>
      </c>
      <c r="DH5" s="38">
        <f>SUMIF(Assumptions!$BB$105:$BB$128,'non-road'!$DA5,Assumptions!BJ$105:BJ$128)</f>
        <v>101.4462184284</v>
      </c>
      <c r="DI5" s="38">
        <f>SUMIF(Assumptions!$BB$105:$BB$128,'non-road'!$DA5,Assumptions!BK$105:BK$128)</f>
        <v>449.183894364</v>
      </c>
      <c r="DJ5" s="38">
        <f>SUMIF(Assumptions!$BB$105:$BB$128,'non-road'!$DA5,Assumptions!BL$105:BL$128)</f>
        <v>9.4939499988</v>
      </c>
      <c r="DK5" s="38">
        <f>SUMIF(Assumptions!$BB$105:$BB$128,'non-road'!$DA5,Assumptions!BM$105:BM$128)</f>
        <v>19.3069969596</v>
      </c>
      <c r="DL5" s="38">
        <f>SUMIF(Assumptions!$BB$105:$BB$128,'non-road'!$DA5,Assumptions!BN$105:BN$128)</f>
        <v>260.0460249768</v>
      </c>
      <c r="DM5" s="38">
        <f>SUMIF(Assumptions!$BB$105:$BB$128,'non-road'!$DA5,Assumptions!BO$105:BO$128)</f>
        <v>409.8760011468</v>
      </c>
      <c r="DN5" s="38">
        <f>SUMIF(Assumptions!$BB$105:$BB$128,'non-road'!$DA5,Assumptions!BP$105:BP$128)</f>
        <v>60.3557197488</v>
      </c>
      <c r="DO5" s="38">
        <f>SUMIF(Assumptions!$BB$105:$BB$128,'non-road'!$DA5,Assumptions!BQ$105:BQ$128)</f>
        <v>28.1800487052</v>
      </c>
      <c r="DP5" s="38">
        <f>SUMIF(Assumptions!$BB$105:$BB$128,'non-road'!$DA5,Assumptions!BR$105:BR$128)</f>
        <v>13.0422420648</v>
      </c>
      <c r="DQ5" s="38">
        <f>SUMIF(Assumptions!$BB$105:$BB$128,'non-road'!$DA5,Assumptions!BS$105:BS$128)</f>
        <v>177.4691070624</v>
      </c>
      <c r="DR5" s="38">
        <f>SUMIF(Assumptions!$BB$105:$BB$128,'non-road'!$DA5,Assumptions!BT$105:BT$128)</f>
        <v>45.3314591244</v>
      </c>
      <c r="DS5" s="38">
        <f>SUMIF(Assumptions!$BB$105:$BB$128,'non-road'!$DA5,Assumptions!BU$105:BU$128)</f>
        <v>173.0543776704</v>
      </c>
      <c r="DT5" s="38">
        <f>SUMIF(Assumptions!$BB$105:$BB$128,'non-road'!$DA5,Assumptions!BV$105:BV$128)</f>
        <v>305.523649476</v>
      </c>
      <c r="DU5" s="38">
        <f>SUMIF(Assumptions!$BB$105:$BB$128,'non-road'!$DA5,Assumptions!BW$105:BW$128)</f>
        <v>322.4176638048</v>
      </c>
      <c r="DV5" s="38">
        <f>SUMIF(Assumptions!$BB$105:$BB$128,'non-road'!$DA5,Assumptions!BX$105:BX$128)</f>
        <v>762.824241792</v>
      </c>
      <c r="DW5" s="38">
        <f>SUMIF(Assumptions!$BB$105:$BB$128,'non-road'!$DA5,Assumptions!BY$105:BY$128)</f>
        <v>1284.8589878796</v>
      </c>
      <c r="DX5" s="38">
        <f>SUMIF(Assumptions!$BB$105:$BB$128,'non-road'!$DA5,Assumptions!BZ$105:BZ$128)</f>
        <v>22.9425293772</v>
      </c>
      <c r="DY5" s="38">
        <f>SUMIF(Assumptions!$BB$105:$BB$128,'non-road'!$DA5,Assumptions!CA$105:CA$128)</f>
        <v>45.0546614028</v>
      </c>
      <c r="DZ5" s="38">
        <f>SUMIF(Assumptions!$BB$105:$BB$128,'non-road'!$DA5,Assumptions!CB$105:CB$128)</f>
        <v>1737.5925643272</v>
      </c>
      <c r="EA5" s="38">
        <f>SUMIF(Assumptions!$BB$105:$BB$128,'non-road'!$DA5,Assumptions!CC$105:CC$128)</f>
        <v>253.1128809564</v>
      </c>
      <c r="EB5" s="38">
        <f>SUMIF(Assumptions!$BB$105:$BB$128,'non-road'!$DA5,Assumptions!CD$105:CD$128)</f>
        <v>153.0961909596</v>
      </c>
      <c r="EC5" s="38">
        <f>SUMIF(Assumptions!$BB$105:$BB$128,'non-road'!$DA5,Assumptions!CE$105:CE$128)</f>
        <v>46.0725980868</v>
      </c>
      <c r="ED5" s="38">
        <f>SUMIF(Assumptions!$BB$105:$BB$128,'non-road'!$DA5,Assumptions!CF$105:CF$128)</f>
        <v>260.6991071616</v>
      </c>
      <c r="EE5" s="38">
        <f>SUMIF(Assumptions!$BB$105:$BB$128,'non-road'!$DA5,Assumptions!CG$105:CG$128)</f>
        <v>115.4657935908</v>
      </c>
      <c r="EF5" s="38">
        <f>SUMIF(Assumptions!$BB$105:$BB$128,'non-road'!$DA5,Assumptions!CH$105:CH$128)</f>
        <v>77.9501857176</v>
      </c>
      <c r="EG5" s="38">
        <f>SUMIF(Assumptions!$BB$105:$BB$128,'non-road'!$DA5,Assumptions!CI$105:CI$128)</f>
        <v>184.4269992576</v>
      </c>
      <c r="EH5" s="38">
        <f>SUMIF(Assumptions!$BB$105:$BB$128,'non-road'!$DA5,Assumptions!CJ$105:CJ$128)</f>
        <v>493.2392126616</v>
      </c>
      <c r="EI5" s="38">
        <f>SUMIF(Assumptions!$BB$105:$BB$128,'non-road'!$DA5,Assumptions!CK$105:CK$128)</f>
        <v>7.2917392536</v>
      </c>
      <c r="EJ5" s="38">
        <f>SUMIF(Assumptions!$BB$105:$BB$128,'non-road'!$DA5,Assumptions!CL$105:CL$128)</f>
        <v>9.5715565236</v>
      </c>
      <c r="EK5" s="38">
        <f>SUMIF(Assumptions!$BB$105:$BB$128,'non-road'!$DA5,Assumptions!CM$105:CM$128)</f>
        <v>0</v>
      </c>
      <c r="EL5" s="38">
        <f>SUMIF(Assumptions!$BB$105:$BB$128,'non-road'!$DA5,Assumptions!CN$105:CN$128)</f>
        <v>0</v>
      </c>
      <c r="EM5" s="38">
        <f>SUMIF(Assumptions!$BB$105:$BB$128,'non-road'!$DA5,Assumptions!CO$105:CO$128)</f>
        <v>0</v>
      </c>
      <c r="EN5" s="38">
        <f>SUMIF(Assumptions!$BB$105:$BB$128,'non-road'!$DA5,Assumptions!CP$105:CP$128)</f>
        <v>0</v>
      </c>
      <c r="EO5" s="38">
        <f>SUMIF(Assumptions!$BB$105:$BB$128,'non-road'!$DA5,Assumptions!CQ$105:CQ$128)</f>
        <v>0</v>
      </c>
      <c r="EP5" s="38">
        <f>SUMIF(Assumptions!$BB$105:$BB$128,'non-road'!$DA5,Assumptions!CR$105:CR$128)</f>
        <v>0</v>
      </c>
      <c r="EQ5" s="38">
        <f>SUMIF(Assumptions!$BB$105:$BB$128,'non-road'!$DA5,Assumptions!CS$105:CS$128)</f>
        <v>0</v>
      </c>
      <c r="ER5" s="38">
        <f>SUMIF(Assumptions!$BB$105:$BB$128,'non-road'!$DA5,Assumptions!CT$105:CT$128)</f>
        <v>0</v>
      </c>
      <c r="ES5" s="38">
        <f>SUMIF(Assumptions!$BB$105:$BB$128,'non-road'!$DA5,Assumptions!CU$105:CU$128)</f>
        <v>0</v>
      </c>
      <c r="ET5" s="38">
        <f>SUMIF(Assumptions!$BB$105:$BB$128,'non-road'!$DA5,Assumptions!CV$105:CV$128)</f>
        <v>0</v>
      </c>
      <c r="EU5" s="38">
        <f>SUMIF(Assumptions!$BB$105:$BB$128,'non-road'!$DA5,Assumptions!CW$105:CW$128)</f>
        <v>0</v>
      </c>
      <c r="EV5" s="38"/>
      <c r="EW5" s="38" t="str">
        <f t="shared" si="48"/>
        <v>\I:</v>
      </c>
      <c r="EX5" s="38" t="str">
        <f t="shared" si="47"/>
        <v/>
      </c>
      <c r="EY5" s="38" t="s">
        <v>133</v>
      </c>
      <c r="EZ5" s="38" t="s">
        <v>85</v>
      </c>
      <c r="FA5" s="38" t="s">
        <v>440</v>
      </c>
      <c r="FB5" s="38"/>
      <c r="FC5" s="38"/>
      <c r="FD5" s="38"/>
    </row>
    <row r="6" spans="1:160">
      <c r="A6" s="38" t="s">
        <v>294</v>
      </c>
      <c r="B6" s="38"/>
      <c r="C6" s="38" t="str">
        <f t="shared" si="49"/>
        <v/>
      </c>
      <c r="D6" s="38" t="s">
        <v>66</v>
      </c>
      <c r="E6" s="38"/>
      <c r="F6" s="38" t="s">
        <v>194</v>
      </c>
      <c r="G6" s="39">
        <f ca="1">SUMIFS(Assumptions!BD$3:BD$103,Assumptions!$G$3:$G$103,'non-road'!$F6,Assumptions!$B$3:$B$103,'non-road'!$D6)/SUMIF(Assumptions!$G$3:$G$103,'non-road'!$F6,Assumptions!BD$3:BD$103)</f>
        <v>0</v>
      </c>
      <c r="H6" s="39">
        <f ca="1">SUMIFS(Assumptions!BE$3:BE$103,Assumptions!$G$3:$G$103,'non-road'!$F6,Assumptions!$B$3:$B$103,'non-road'!$D6)/SUMIF(Assumptions!$G$3:$G$103,'non-road'!$F6,Assumptions!BE$3:BE$103)</f>
        <v>0</v>
      </c>
      <c r="I6" s="39">
        <f ca="1">SUMIFS(Assumptions!BF$3:BF$103,Assumptions!$G$3:$G$103,'non-road'!$F6,Assumptions!$B$3:$B$103,'non-road'!$D6)/SUMIF(Assumptions!$G$3:$G$103,'non-road'!$F6,Assumptions!BF$3:BF$103)</f>
        <v>0.000603886329140475</v>
      </c>
      <c r="J6" s="39">
        <f ca="1">SUMIFS(Assumptions!BG$3:BG$103,Assumptions!$G$3:$G$103,'non-road'!$F6,Assumptions!$B$3:$B$103,'non-road'!$D6)/SUMIF(Assumptions!$G$3:$G$103,'non-road'!$F6,Assumptions!BG$3:BG$103)</f>
        <v>0</v>
      </c>
      <c r="K6" s="39">
        <f ca="1">SUMIFS(Assumptions!BH$3:BH$103,Assumptions!$G$3:$G$103,'non-road'!$F6,Assumptions!$B$3:$B$103,'non-road'!$D6)/SUMIF(Assumptions!$G$3:$G$103,'non-road'!$F6,Assumptions!BH$3:BH$103)</f>
        <v>0</v>
      </c>
      <c r="L6" s="39">
        <f ca="1">SUMIFS(Assumptions!BI$3:BI$103,Assumptions!$G$3:$G$103,'non-road'!$F6,Assumptions!$B$3:$B$103,'non-road'!$D6)/SUMIF(Assumptions!$G$3:$G$103,'non-road'!$F6,Assumptions!BI$3:BI$103)</f>
        <v>0</v>
      </c>
      <c r="M6" s="39">
        <f ca="1">SUMIFS(Assumptions!BJ$3:BJ$103,Assumptions!$G$3:$G$103,'non-road'!$F6,Assumptions!$B$3:$B$103,'non-road'!$D6)/SUMIF(Assumptions!$G$3:$G$103,'non-road'!$F6,Assumptions!BJ$3:BJ$103)</f>
        <v>0</v>
      </c>
      <c r="N6" s="39">
        <f ca="1">SUMIFS(Assumptions!BK$3:BK$103,Assumptions!$G$3:$G$103,'non-road'!$F6,Assumptions!$B$3:$B$103,'non-road'!$D6)/SUMIF(Assumptions!$G$3:$G$103,'non-road'!$F6,Assumptions!BK$3:BK$103)</f>
        <v>0</v>
      </c>
      <c r="O6" s="39">
        <f ca="1">SUMIFS(Assumptions!BL$3:BL$103,Assumptions!$G$3:$G$103,'non-road'!$F6,Assumptions!$B$3:$B$103,'non-road'!$D6)/SUMIF(Assumptions!$G$3:$G$103,'non-road'!$F6,Assumptions!BL$3:BL$103)</f>
        <v>0</v>
      </c>
      <c r="P6" s="39">
        <f ca="1">SUMIFS(Assumptions!BM$3:BM$103,Assumptions!$G$3:$G$103,'non-road'!$F6,Assumptions!$B$3:$B$103,'non-road'!$D6)/SUMIF(Assumptions!$G$3:$G$103,'non-road'!$F6,Assumptions!BM$3:BM$103)</f>
        <v>0</v>
      </c>
      <c r="Q6" s="39">
        <f ca="1">SUMIFS(Assumptions!BN$3:BN$103,Assumptions!$G$3:$G$103,'non-road'!$F6,Assumptions!$B$3:$B$103,'non-road'!$D6)/SUMIF(Assumptions!$G$3:$G$103,'non-road'!$F6,Assumptions!BN$3:BN$103)</f>
        <v>0</v>
      </c>
      <c r="R6" s="39">
        <f ca="1">SUMIFS(Assumptions!BO$3:BO$103,Assumptions!$G$3:$G$103,'non-road'!$F6,Assumptions!$B$3:$B$103,'non-road'!$D6)/SUMIF(Assumptions!$G$3:$G$103,'non-road'!$F6,Assumptions!BO$3:BO$103)</f>
        <v>0</v>
      </c>
      <c r="S6" s="39">
        <f ca="1">SUMIFS(Assumptions!BP$3:BP$103,Assumptions!$G$3:$G$103,'non-road'!$F6,Assumptions!$B$3:$B$103,'non-road'!$D6)/SUMIF(Assumptions!$G$3:$G$103,'non-road'!$F6,Assumptions!BP$3:BP$103)</f>
        <v>0.0246706241821152</v>
      </c>
      <c r="T6" s="39">
        <f ca="1">SUMIFS(Assumptions!BQ$3:BQ$103,Assumptions!$G$3:$G$103,'non-road'!$F6,Assumptions!$B$3:$B$103,'non-road'!$D6)/SUMIF(Assumptions!$G$3:$G$103,'non-road'!$F6,Assumptions!BQ$3:BQ$103)</f>
        <v>0</v>
      </c>
      <c r="U6" s="39" t="e">
        <f ca="1">SUMIFS(Assumptions!BR$3:BR$103,Assumptions!$G$3:$G$103,'non-road'!$F6,Assumptions!$B$3:$B$103,'non-road'!$D6)/SUMIF(Assumptions!$G$3:$G$103,'non-road'!$F6,Assumptions!BR$3:BR$103)</f>
        <v>#DIV/0!</v>
      </c>
      <c r="V6" s="39">
        <f ca="1">SUMIFS(Assumptions!BS$3:BS$103,Assumptions!$G$3:$G$103,'non-road'!$F6,Assumptions!$B$3:$B$103,'non-road'!$D6)/SUMIF(Assumptions!$G$3:$G$103,'non-road'!$F6,Assumptions!BS$3:BS$103)</f>
        <v>0</v>
      </c>
      <c r="W6" s="39">
        <f ca="1">SUMIFS(Assumptions!BT$3:BT$103,Assumptions!$G$3:$G$103,'non-road'!$F6,Assumptions!$B$3:$B$103,'non-road'!$D6)/SUMIF(Assumptions!$G$3:$G$103,'non-road'!$F6,Assumptions!BT$3:BT$103)</f>
        <v>0</v>
      </c>
      <c r="X6" s="39">
        <f ca="1">SUMIFS(Assumptions!BU$3:BU$103,Assumptions!$G$3:$G$103,'non-road'!$F6,Assumptions!$B$3:$B$103,'non-road'!$D6)/SUMIF(Assumptions!$G$3:$G$103,'non-road'!$F6,Assumptions!BU$3:BU$103)</f>
        <v>0</v>
      </c>
      <c r="Y6" s="39">
        <f ca="1">SUMIFS(Assumptions!BV$3:BV$103,Assumptions!$G$3:$G$103,'non-road'!$F6,Assumptions!$B$3:$B$103,'non-road'!$D6)/SUMIF(Assumptions!$G$3:$G$103,'non-road'!$F6,Assumptions!BV$3:BV$103)</f>
        <v>0</v>
      </c>
      <c r="Z6" s="39">
        <f ca="1">SUMIFS(Assumptions!BW$3:BW$103,Assumptions!$G$3:$G$103,'non-road'!$F6,Assumptions!$B$3:$B$103,'non-road'!$D6)/SUMIF(Assumptions!$G$3:$G$103,'non-road'!$F6,Assumptions!BW$3:BW$103)</f>
        <v>0.0120429379413134</v>
      </c>
      <c r="AA6" s="39">
        <f ca="1">SUMIFS(Assumptions!BX$3:BX$103,Assumptions!$G$3:$G$103,'non-road'!$F6,Assumptions!$B$3:$B$103,'non-road'!$D6)/SUMIF(Assumptions!$G$3:$G$103,'non-road'!$F6,Assumptions!BX$3:BX$103)</f>
        <v>0</v>
      </c>
      <c r="AB6" s="39">
        <f ca="1">SUMIFS(Assumptions!BY$3:BY$103,Assumptions!$G$3:$G$103,'non-road'!$F6,Assumptions!$B$3:$B$103,'non-road'!$D6)/SUMIF(Assumptions!$G$3:$G$103,'non-road'!$F6,Assumptions!BY$3:BY$103)</f>
        <v>0</v>
      </c>
      <c r="AC6" s="39">
        <f ca="1">SUMIFS(Assumptions!BZ$3:BZ$103,Assumptions!$G$3:$G$103,'non-road'!$F6,Assumptions!$B$3:$B$103,'non-road'!$D6)/SUMIF(Assumptions!$G$3:$G$103,'non-road'!$F6,Assumptions!BZ$3:BZ$103)</f>
        <v>0</v>
      </c>
      <c r="AD6" s="39">
        <f ca="1">SUMIFS(Assumptions!CA$3:CA$103,Assumptions!$G$3:$G$103,'non-road'!$F6,Assumptions!$B$3:$B$103,'non-road'!$D6)/SUMIF(Assumptions!$G$3:$G$103,'non-road'!$F6,Assumptions!CA$3:CA$103)</f>
        <v>0</v>
      </c>
      <c r="AE6" s="39">
        <f ca="1">SUMIFS(Assumptions!CB$3:CB$103,Assumptions!$G$3:$G$103,'non-road'!$F6,Assumptions!$B$3:$B$103,'non-road'!$D6)/SUMIF(Assumptions!$G$3:$G$103,'non-road'!$F6,Assumptions!CB$3:CB$103)</f>
        <v>0.000626086873591396</v>
      </c>
      <c r="AF6" s="39">
        <f ca="1">SUMIFS(Assumptions!CC$3:CC$103,Assumptions!$G$3:$G$103,'non-road'!$F6,Assumptions!$B$3:$B$103,'non-road'!$D6)/SUMIF(Assumptions!$G$3:$G$103,'non-road'!$F6,Assumptions!CC$3:CC$103)</f>
        <v>0.00308058831135749</v>
      </c>
      <c r="AG6" s="39" t="e">
        <f ca="1">SUMIFS(Assumptions!CD$3:CD$103,Assumptions!$G$3:$G$103,'non-road'!$F6,Assumptions!$B$3:$B$103,'non-road'!$D6)/SUMIF(Assumptions!$G$3:$G$103,'non-road'!$F6,Assumptions!CD$3:CD$103)</f>
        <v>#DIV/0!</v>
      </c>
      <c r="AH6" s="39">
        <f ca="1">SUMIFS(Assumptions!CE$3:CE$103,Assumptions!$G$3:$G$103,'non-road'!$F6,Assumptions!$B$3:$B$103,'non-road'!$D6)/SUMIF(Assumptions!$G$3:$G$103,'non-road'!$F6,Assumptions!CE$3:CE$103)</f>
        <v>0.0728847026194322</v>
      </c>
      <c r="AI6" s="39">
        <f ca="1">SUMIFS(Assumptions!CF$3:CF$103,Assumptions!$G$3:$G$103,'non-road'!$F6,Assumptions!$B$3:$B$103,'non-road'!$D6)/SUMIF(Assumptions!$G$3:$G$103,'non-road'!$F6,Assumptions!CF$3:CF$103)</f>
        <v>0</v>
      </c>
      <c r="AJ6" s="39">
        <f ca="1">SUMIFS(Assumptions!CG$3:CG$103,Assumptions!$G$3:$G$103,'non-road'!$F6,Assumptions!$B$3:$B$103,'non-road'!$D6)/SUMIF(Assumptions!$G$3:$G$103,'non-road'!$F6,Assumptions!CG$3:CG$103)</f>
        <v>2.1454945686805e-5</v>
      </c>
      <c r="AK6" s="39">
        <f ca="1">SUMIFS(Assumptions!CH$3:CH$103,Assumptions!$G$3:$G$103,'non-road'!$F6,Assumptions!$B$3:$B$103,'non-road'!$D6)/SUMIF(Assumptions!$G$3:$G$103,'non-road'!$F6,Assumptions!CH$3:CH$103)</f>
        <v>0</v>
      </c>
      <c r="AL6" s="39">
        <f ca="1">SUMIFS(Assumptions!CI$3:CI$103,Assumptions!$G$3:$G$103,'non-road'!$F6,Assumptions!$B$3:$B$103,'non-road'!$D6)/SUMIF(Assumptions!$G$3:$G$103,'non-road'!$F6,Assumptions!CI$3:CI$103)</f>
        <v>0</v>
      </c>
      <c r="AM6" s="39">
        <f ca="1">SUMIFS(Assumptions!CJ$3:CJ$103,Assumptions!$G$3:$G$103,'non-road'!$F6,Assumptions!$B$3:$B$103,'non-road'!$D6)/SUMIF(Assumptions!$G$3:$G$103,'non-road'!$F6,Assumptions!CJ$3:CJ$103)</f>
        <v>0</v>
      </c>
      <c r="AN6" s="39">
        <f ca="1">SUMIFS(Assumptions!CK$3:CK$103,Assumptions!$G$3:$G$103,'non-road'!$F6,Assumptions!$B$3:$B$103,'non-road'!$D6)/SUMIF(Assumptions!$G$3:$G$103,'non-road'!$F6,Assumptions!CK$3:CK$103)</f>
        <v>0</v>
      </c>
      <c r="AO6" s="39">
        <f ca="1">SUMIFS(Assumptions!CL$3:CL$103,Assumptions!$G$3:$G$103,'non-road'!$F6,Assumptions!$B$3:$B$103,'non-road'!$D6)/SUMIF(Assumptions!$G$3:$G$103,'non-road'!$F6,Assumptions!CL$3:CL$103)</f>
        <v>0</v>
      </c>
      <c r="AP6" s="39" t="e">
        <f ca="1">SUMIFS(Assumptions!CM$3:CM$103,Assumptions!$G$3:$G$103,'non-road'!$F6,Assumptions!$B$3:$B$103,'non-road'!$D6)/SUMIF(Assumptions!$G$3:$G$103,'non-road'!$F6,Assumptions!CM$3:CM$103)</f>
        <v>#DIV/0!</v>
      </c>
      <c r="AQ6" s="39" t="e">
        <f ca="1">SUMIFS(Assumptions!CN$3:CN$103,Assumptions!$G$3:$G$103,'non-road'!$F6,Assumptions!$B$3:$B$103,'non-road'!$D6)/SUMIF(Assumptions!$G$3:$G$103,'non-road'!$F6,Assumptions!CN$3:CN$103)</f>
        <v>#DIV/0!</v>
      </c>
      <c r="AR6" s="39" t="e">
        <f ca="1">SUMIFS(Assumptions!CO$3:CO$103,Assumptions!$G$3:$G$103,'non-road'!$F6,Assumptions!$B$3:$B$103,'non-road'!$D6)/SUMIF(Assumptions!$G$3:$G$103,'non-road'!$F6,Assumptions!CO$3:CO$103)</f>
        <v>#DIV/0!</v>
      </c>
      <c r="AS6" s="39" t="e">
        <f ca="1">SUMIFS(Assumptions!CP$3:CP$103,Assumptions!$G$3:$G$103,'non-road'!$F6,Assumptions!$B$3:$B$103,'non-road'!$D6)/SUMIF(Assumptions!$G$3:$G$103,'non-road'!$F6,Assumptions!CP$3:CP$103)</f>
        <v>#DIV/0!</v>
      </c>
      <c r="AT6" s="39" t="e">
        <f ca="1">SUMIFS(Assumptions!CQ$3:CQ$103,Assumptions!$G$3:$G$103,'non-road'!$F6,Assumptions!$B$3:$B$103,'non-road'!$D6)/SUMIF(Assumptions!$G$3:$G$103,'non-road'!$F6,Assumptions!CQ$3:CQ$103)</f>
        <v>#DIV/0!</v>
      </c>
      <c r="AU6" s="39" t="e">
        <f ca="1">SUMIFS(Assumptions!CR$3:CR$103,Assumptions!$G$3:$G$103,'non-road'!$F6,Assumptions!$B$3:$B$103,'non-road'!$D6)/SUMIF(Assumptions!$G$3:$G$103,'non-road'!$F6,Assumptions!CR$3:CR$103)</f>
        <v>#DIV/0!</v>
      </c>
      <c r="AV6" s="39" t="e">
        <f ca="1">SUMIFS(Assumptions!CS$3:CS$103,Assumptions!$G$3:$G$103,'non-road'!$F6,Assumptions!$B$3:$B$103,'non-road'!$D6)/SUMIF(Assumptions!$G$3:$G$103,'non-road'!$F6,Assumptions!CS$3:CS$103)</f>
        <v>#DIV/0!</v>
      </c>
      <c r="AW6" s="39" t="e">
        <f ca="1">SUMIFS(Assumptions!CT$3:CT$103,Assumptions!$G$3:$G$103,'non-road'!$F6,Assumptions!$B$3:$B$103,'non-road'!$D6)/SUMIF(Assumptions!$G$3:$G$103,'non-road'!$F6,Assumptions!CT$3:CT$103)</f>
        <v>#DIV/0!</v>
      </c>
      <c r="AX6" s="39" t="e">
        <f ca="1">SUMIFS(Assumptions!CU$3:CU$103,Assumptions!$G$3:$G$103,'non-road'!$F6,Assumptions!$B$3:$B$103,'non-road'!$D6)/SUMIF(Assumptions!$G$3:$G$103,'non-road'!$F6,Assumptions!CU$3:CU$103)</f>
        <v>#DIV/0!</v>
      </c>
      <c r="AY6" s="39" t="e">
        <f ca="1">SUMIFS(Assumptions!CV$3:CV$103,Assumptions!$G$3:$G$103,'non-road'!$F6,Assumptions!$B$3:$B$103,'non-road'!$D6)/SUMIF(Assumptions!$G$3:$G$103,'non-road'!$F6,Assumptions!CV$3:CV$103)</f>
        <v>#DIV/0!</v>
      </c>
      <c r="AZ6" s="39" t="e">
        <f ca="1">SUMIFS(Assumptions!CW$3:CW$103,Assumptions!$G$3:$G$103,'non-road'!$F6,Assumptions!$B$3:$B$103,'non-road'!$D6)/SUMIF(Assumptions!$G$3:$G$103,'non-road'!$F6,Assumptions!CW$3:CW$103)</f>
        <v>#DIV/0!</v>
      </c>
      <c r="BA6" s="40"/>
      <c r="BB6" s="39"/>
      <c r="BC6" s="39"/>
      <c r="BD6" s="38" t="str">
        <f t="shared" si="50"/>
        <v>\I:</v>
      </c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8"/>
      <c r="CZ6" s="38"/>
      <c r="DA6" s="38" t="s">
        <v>62</v>
      </c>
      <c r="DB6" s="38">
        <f>SUMIF(Assumptions!$BB$105:$BB$128,'non-road'!$DA6,Assumptions!BD$105:BD$128)</f>
        <v>28.9046665548</v>
      </c>
      <c r="DC6" s="38">
        <f>SUMIF(Assumptions!$BB$105:$BB$128,'non-road'!$DA6,Assumptions!BE$105:BE$128)</f>
        <v>22.6721667672</v>
      </c>
      <c r="DD6" s="38">
        <f>SUMIF(Assumptions!$BB$105:$BB$128,'non-road'!$DA6,Assumptions!BF$105:BF$128)</f>
        <v>123.7186965204</v>
      </c>
      <c r="DE6" s="38">
        <f>SUMIF(Assumptions!$BB$105:$BB$128,'non-road'!$DA6,Assumptions!BG$105:BG$128)</f>
        <v>1.3079814408</v>
      </c>
      <c r="DF6" s="38">
        <f>SUMIF(Assumptions!$BB$105:$BB$128,'non-road'!$DA6,Assumptions!BH$105:BH$128)</f>
        <v>0.0886638636</v>
      </c>
      <c r="DG6" s="38">
        <f>SUMIF(Assumptions!$BB$105:$BB$128,'non-road'!$DA6,Assumptions!BI$105:BI$128)</f>
        <v>0.552531996</v>
      </c>
      <c r="DH6" s="38">
        <f>SUMIF(Assumptions!$BB$105:$BB$128,'non-road'!$DA6,Assumptions!BJ$105:BJ$128)</f>
        <v>140.169186378</v>
      </c>
      <c r="DI6" s="38">
        <f>SUMIF(Assumptions!$BB$105:$BB$128,'non-road'!$DA6,Assumptions!BK$105:BK$128)</f>
        <v>1141.7510237796</v>
      </c>
      <c r="DJ6" s="38">
        <f>SUMIF(Assumptions!$BB$105:$BB$128,'non-road'!$DA6,Assumptions!BL$105:BL$128)</f>
        <v>0.469675224</v>
      </c>
      <c r="DK6" s="38">
        <f>SUMIF(Assumptions!$BB$105:$BB$128,'non-road'!$DA6,Assumptions!BM$105:BM$128)</f>
        <v>1.9810011672</v>
      </c>
      <c r="DL6" s="38">
        <f>SUMIF(Assumptions!$BB$105:$BB$128,'non-road'!$DA6,Assumptions!BN$105:BN$128)</f>
        <v>67.7992305024</v>
      </c>
      <c r="DM6" s="38">
        <f>SUMIF(Assumptions!$BB$105:$BB$128,'non-road'!$DA6,Assumptions!BO$105:BO$128)</f>
        <v>30.7530005904</v>
      </c>
      <c r="DN6" s="38">
        <f>SUMIF(Assumptions!$BB$105:$BB$128,'non-road'!$DA6,Assumptions!BP$105:BP$128)</f>
        <v>9.4633277436</v>
      </c>
      <c r="DO6" s="38">
        <f>SUMIF(Assumptions!$BB$105:$BB$128,'non-road'!$DA6,Assumptions!BQ$105:BQ$128)</f>
        <v>3.19829652</v>
      </c>
      <c r="DP6" s="38">
        <f>SUMIF(Assumptions!$BB$105:$BB$128,'non-road'!$DA6,Assumptions!BR$105:BR$128)</f>
        <v>0.3797260128</v>
      </c>
      <c r="DQ6" s="38">
        <f>SUMIF(Assumptions!$BB$105:$BB$128,'non-road'!$DA6,Assumptions!BS$105:BS$128)</f>
        <v>179.286291306</v>
      </c>
      <c r="DR6" s="38">
        <f>SUMIF(Assumptions!$BB$105:$BB$128,'non-road'!$DA6,Assumptions!BT$105:BT$128)</f>
        <v>0.2450282832</v>
      </c>
      <c r="DS6" s="38">
        <f>SUMIF(Assumptions!$BB$105:$BB$128,'non-road'!$DA6,Assumptions!BU$105:BU$128)</f>
        <v>37.9845252864</v>
      </c>
      <c r="DT6" s="38">
        <f>SUMIF(Assumptions!$BB$105:$BB$128,'non-road'!$DA6,Assumptions!BV$105:BV$128)</f>
        <v>147.5997682932</v>
      </c>
      <c r="DU6" s="38">
        <f>SUMIF(Assumptions!$BB$105:$BB$128,'non-road'!$DA6,Assumptions!BW$105:BW$128)</f>
        <v>90.0659894256</v>
      </c>
      <c r="DV6" s="38">
        <f>SUMIF(Assumptions!$BB$105:$BB$128,'non-road'!$DA6,Assumptions!BX$105:BX$128)</f>
        <v>60.2006741712</v>
      </c>
      <c r="DW6" s="38">
        <f>SUMIF(Assumptions!$BB$105:$BB$128,'non-road'!$DA6,Assumptions!BY$105:BY$128)</f>
        <v>2814.8464867644</v>
      </c>
      <c r="DX6" s="38">
        <f>SUMIF(Assumptions!$BB$105:$BB$128,'non-road'!$DA6,Assumptions!BZ$105:BZ$128)</f>
        <v>14.7001143816</v>
      </c>
      <c r="DY6" s="38">
        <f>SUMIF(Assumptions!$BB$105:$BB$128,'non-road'!$DA6,Assumptions!CA$105:CA$128)</f>
        <v>1.416206034</v>
      </c>
      <c r="DZ6" s="38">
        <f>SUMIF(Assumptions!$BB$105:$BB$128,'non-road'!$DA6,Assumptions!CB$105:CB$128)</f>
        <v>364.155282666</v>
      </c>
      <c r="EA6" s="38">
        <f>SUMIF(Assumptions!$BB$105:$BB$128,'non-road'!$DA6,Assumptions!CC$105:CC$128)</f>
        <v>245.790197064</v>
      </c>
      <c r="EB6" s="38">
        <f>SUMIF(Assumptions!$BB$105:$BB$128,'non-road'!$DA6,Assumptions!CD$105:CD$128)</f>
        <v>40.8475344888</v>
      </c>
      <c r="EC6" s="38">
        <f>SUMIF(Assumptions!$BB$105:$BB$128,'non-road'!$DA6,Assumptions!CE$105:CE$128)</f>
        <v>52.743296736</v>
      </c>
      <c r="ED6" s="38">
        <f>SUMIF(Assumptions!$BB$105:$BB$128,'non-road'!$DA6,Assumptions!CF$105:CF$128)</f>
        <v>104.0678460504</v>
      </c>
      <c r="EE6" s="38">
        <f>SUMIF(Assumptions!$BB$105:$BB$128,'non-road'!$DA6,Assumptions!CG$105:CG$128)</f>
        <v>10.7713929204</v>
      </c>
      <c r="EF6" s="38">
        <f>SUMIF(Assumptions!$BB$105:$BB$128,'non-road'!$DA6,Assumptions!CH$105:CH$128)</f>
        <v>2.769819408</v>
      </c>
      <c r="EG6" s="38">
        <f>SUMIF(Assumptions!$BB$105:$BB$128,'non-road'!$DA6,Assumptions!CI$105:CI$128)</f>
        <v>50.4389992464</v>
      </c>
      <c r="EH6" s="38">
        <f>SUMIF(Assumptions!$BB$105:$BB$128,'non-road'!$DA6,Assumptions!CJ$105:CJ$128)</f>
        <v>37.1254944096</v>
      </c>
      <c r="EI6" s="38">
        <f>SUMIF(Assumptions!$BB$105:$BB$128,'non-road'!$DA6,Assumptions!CK$105:CK$128)</f>
        <v>7.6400014644</v>
      </c>
      <c r="EJ6" s="38">
        <f>SUMIF(Assumptions!$BB$105:$BB$128,'non-road'!$DA6,Assumptions!CL$105:CL$128)</f>
        <v>0</v>
      </c>
      <c r="EK6" s="38">
        <f>SUMIF(Assumptions!$BB$105:$BB$128,'non-road'!$DA6,Assumptions!CM$105:CM$128)</f>
        <v>0</v>
      </c>
      <c r="EL6" s="38">
        <f>SUMIF(Assumptions!$BB$105:$BB$128,'non-road'!$DA6,Assumptions!CN$105:CN$128)</f>
        <v>0</v>
      </c>
      <c r="EM6" s="38">
        <f>SUMIF(Assumptions!$BB$105:$BB$128,'non-road'!$DA6,Assumptions!CO$105:CO$128)</f>
        <v>0</v>
      </c>
      <c r="EN6" s="38">
        <f>SUMIF(Assumptions!$BB$105:$BB$128,'non-road'!$DA6,Assumptions!CP$105:CP$128)</f>
        <v>0</v>
      </c>
      <c r="EO6" s="38">
        <f>SUMIF(Assumptions!$BB$105:$BB$128,'non-road'!$DA6,Assumptions!CQ$105:CQ$128)</f>
        <v>0</v>
      </c>
      <c r="EP6" s="38">
        <f>SUMIF(Assumptions!$BB$105:$BB$128,'non-road'!$DA6,Assumptions!CR$105:CR$128)</f>
        <v>0</v>
      </c>
      <c r="EQ6" s="38">
        <f>SUMIF(Assumptions!$BB$105:$BB$128,'non-road'!$DA6,Assumptions!CS$105:CS$128)</f>
        <v>0</v>
      </c>
      <c r="ER6" s="38">
        <f>SUMIF(Assumptions!$BB$105:$BB$128,'non-road'!$DA6,Assumptions!CT$105:CT$128)</f>
        <v>0</v>
      </c>
      <c r="ES6" s="38">
        <f>SUMIF(Assumptions!$BB$105:$BB$128,'non-road'!$DA6,Assumptions!CU$105:CU$128)</f>
        <v>0</v>
      </c>
      <c r="ET6" s="38">
        <f>SUMIF(Assumptions!$BB$105:$BB$128,'non-road'!$DA6,Assumptions!CV$105:CV$128)</f>
        <v>0</v>
      </c>
      <c r="EU6" s="38">
        <f>SUMIF(Assumptions!$BB$105:$BB$128,'non-road'!$DA6,Assumptions!CW$105:CW$128)</f>
        <v>0</v>
      </c>
      <c r="EV6" s="38"/>
      <c r="EW6" s="38" t="str">
        <f t="shared" si="48"/>
        <v>\I:</v>
      </c>
      <c r="EX6" s="38" t="str">
        <f t="shared" si="47"/>
        <v/>
      </c>
      <c r="EY6" s="38" t="s">
        <v>133</v>
      </c>
      <c r="EZ6" s="38" t="s">
        <v>85</v>
      </c>
      <c r="FA6" s="38" t="s">
        <v>440</v>
      </c>
      <c r="FB6" s="38"/>
      <c r="FC6" s="38"/>
      <c r="FD6" s="38"/>
    </row>
    <row r="7" spans="1:160">
      <c r="A7" s="38" t="s">
        <v>443</v>
      </c>
      <c r="B7" s="38"/>
      <c r="C7" s="38" t="str">
        <f t="shared" si="49"/>
        <v/>
      </c>
      <c r="D7" s="38" t="s">
        <v>69</v>
      </c>
      <c r="E7" s="38"/>
      <c r="F7" s="38" t="s">
        <v>194</v>
      </c>
      <c r="G7" s="39">
        <f ca="1">SUMIFS(Assumptions!BD$3:BD$103,Assumptions!$G$3:$G$103,'non-road'!$F7,Assumptions!$B$3:$B$103,'non-road'!$D7)/SUMIF(Assumptions!$G$3:$G$103,'non-road'!$F7,Assumptions!BD$3:BD$103)</f>
        <v>0.413872240240756</v>
      </c>
      <c r="H7" s="39">
        <f ca="1">SUMIFS(Assumptions!BE$3:BE$103,Assumptions!$G$3:$G$103,'non-road'!$F7,Assumptions!$B$3:$B$103,'non-road'!$D7)/SUMIF(Assumptions!$G$3:$G$103,'non-road'!$F7,Assumptions!BE$3:BE$103)</f>
        <v>0</v>
      </c>
      <c r="I7" s="39">
        <f ca="1">SUMIFS(Assumptions!BF$3:BF$103,Assumptions!$G$3:$G$103,'non-road'!$F7,Assumptions!$B$3:$B$103,'non-road'!$D7)/SUMIF(Assumptions!$G$3:$G$103,'non-road'!$F7,Assumptions!BF$3:BF$103)</f>
        <v>4.61908919301209e-5</v>
      </c>
      <c r="J7" s="39">
        <f ca="1">SUMIFS(Assumptions!BG$3:BG$103,Assumptions!$G$3:$G$103,'non-road'!$F7,Assumptions!$B$3:$B$103,'non-road'!$D7)/SUMIF(Assumptions!$G$3:$G$103,'non-road'!$F7,Assumptions!BG$3:BG$103)</f>
        <v>0</v>
      </c>
      <c r="K7" s="39">
        <f ca="1">SUMIFS(Assumptions!BH$3:BH$103,Assumptions!$G$3:$G$103,'non-road'!$F7,Assumptions!$B$3:$B$103,'non-road'!$D7)/SUMIF(Assumptions!$G$3:$G$103,'non-road'!$F7,Assumptions!BH$3:BH$103)</f>
        <v>0</v>
      </c>
      <c r="L7" s="39">
        <f ca="1">SUMIFS(Assumptions!BI$3:BI$103,Assumptions!$G$3:$G$103,'non-road'!$F7,Assumptions!$B$3:$B$103,'non-road'!$D7)/SUMIF(Assumptions!$G$3:$G$103,'non-road'!$F7,Assumptions!BI$3:BI$103)</f>
        <v>0</v>
      </c>
      <c r="M7" s="39">
        <f ca="1">SUMIFS(Assumptions!BJ$3:BJ$103,Assumptions!$G$3:$G$103,'non-road'!$F7,Assumptions!$B$3:$B$103,'non-road'!$D7)/SUMIF(Assumptions!$G$3:$G$103,'non-road'!$F7,Assumptions!BJ$3:BJ$103)</f>
        <v>0</v>
      </c>
      <c r="N7" s="39">
        <f ca="1">SUMIFS(Assumptions!BK$3:BK$103,Assumptions!$G$3:$G$103,'non-road'!$F7,Assumptions!$B$3:$B$103,'non-road'!$D7)/SUMIF(Assumptions!$G$3:$G$103,'non-road'!$F7,Assumptions!BK$3:BK$103)</f>
        <v>0</v>
      </c>
      <c r="O7" s="39">
        <f ca="1">SUMIFS(Assumptions!BL$3:BL$103,Assumptions!$G$3:$G$103,'non-road'!$F7,Assumptions!$B$3:$B$103,'non-road'!$D7)/SUMIF(Assumptions!$G$3:$G$103,'non-road'!$F7,Assumptions!BL$3:BL$103)</f>
        <v>0</v>
      </c>
      <c r="P7" s="39">
        <f ca="1">SUMIFS(Assumptions!BM$3:BM$103,Assumptions!$G$3:$G$103,'non-road'!$F7,Assumptions!$B$3:$B$103,'non-road'!$D7)/SUMIF(Assumptions!$G$3:$G$103,'non-road'!$F7,Assumptions!BM$3:BM$103)</f>
        <v>0</v>
      </c>
      <c r="Q7" s="39">
        <f ca="1">SUMIFS(Assumptions!BN$3:BN$103,Assumptions!$G$3:$G$103,'non-road'!$F7,Assumptions!$B$3:$B$103,'non-road'!$D7)/SUMIF(Assumptions!$G$3:$G$103,'non-road'!$F7,Assumptions!BN$3:BN$103)</f>
        <v>0</v>
      </c>
      <c r="R7" s="39">
        <f ca="1">SUMIFS(Assumptions!BO$3:BO$103,Assumptions!$G$3:$G$103,'non-road'!$F7,Assumptions!$B$3:$B$103,'non-road'!$D7)/SUMIF(Assumptions!$G$3:$G$103,'non-road'!$F7,Assumptions!BO$3:BO$103)</f>
        <v>0</v>
      </c>
      <c r="S7" s="39">
        <f ca="1">SUMIFS(Assumptions!BP$3:BP$103,Assumptions!$G$3:$G$103,'non-road'!$F7,Assumptions!$B$3:$B$103,'non-road'!$D7)/SUMIF(Assumptions!$G$3:$G$103,'non-road'!$F7,Assumptions!BP$3:BP$103)</f>
        <v>0</v>
      </c>
      <c r="T7" s="39">
        <f ca="1">SUMIFS(Assumptions!BQ$3:BQ$103,Assumptions!$G$3:$G$103,'non-road'!$F7,Assumptions!$B$3:$B$103,'non-road'!$D7)/SUMIF(Assumptions!$G$3:$G$103,'non-road'!$F7,Assumptions!BQ$3:BQ$103)</f>
        <v>0</v>
      </c>
      <c r="U7" s="39" t="e">
        <f ca="1">SUMIFS(Assumptions!BR$3:BR$103,Assumptions!$G$3:$G$103,'non-road'!$F7,Assumptions!$B$3:$B$103,'non-road'!$D7)/SUMIF(Assumptions!$G$3:$G$103,'non-road'!$F7,Assumptions!BR$3:BR$103)</f>
        <v>#DIV/0!</v>
      </c>
      <c r="V7" s="39">
        <f ca="1">SUMIFS(Assumptions!BS$3:BS$103,Assumptions!$G$3:$G$103,'non-road'!$F7,Assumptions!$B$3:$B$103,'non-road'!$D7)/SUMIF(Assumptions!$G$3:$G$103,'non-road'!$F7,Assumptions!BS$3:BS$103)</f>
        <v>0</v>
      </c>
      <c r="W7" s="39">
        <f ca="1">SUMIFS(Assumptions!BT$3:BT$103,Assumptions!$G$3:$G$103,'non-road'!$F7,Assumptions!$B$3:$B$103,'non-road'!$D7)/SUMIF(Assumptions!$G$3:$G$103,'non-road'!$F7,Assumptions!BT$3:BT$103)</f>
        <v>0</v>
      </c>
      <c r="X7" s="39">
        <f ca="1">SUMIFS(Assumptions!BU$3:BU$103,Assumptions!$G$3:$G$103,'non-road'!$F7,Assumptions!$B$3:$B$103,'non-road'!$D7)/SUMIF(Assumptions!$G$3:$G$103,'non-road'!$F7,Assumptions!BU$3:BU$103)</f>
        <v>0</v>
      </c>
      <c r="Y7" s="39">
        <f ca="1">SUMIFS(Assumptions!BV$3:BV$103,Assumptions!$G$3:$G$103,'non-road'!$F7,Assumptions!$B$3:$B$103,'non-road'!$D7)/SUMIF(Assumptions!$G$3:$G$103,'non-road'!$F7,Assumptions!BV$3:BV$103)</f>
        <v>0</v>
      </c>
      <c r="Z7" s="39">
        <f ca="1">SUMIFS(Assumptions!BW$3:BW$103,Assumptions!$G$3:$G$103,'non-road'!$F7,Assumptions!$B$3:$B$103,'non-road'!$D7)/SUMIF(Assumptions!$G$3:$G$103,'non-road'!$F7,Assumptions!BW$3:BW$103)</f>
        <v>0</v>
      </c>
      <c r="AA7" s="39">
        <f ca="1">SUMIFS(Assumptions!BX$3:BX$103,Assumptions!$G$3:$G$103,'non-road'!$F7,Assumptions!$B$3:$B$103,'non-road'!$D7)/SUMIF(Assumptions!$G$3:$G$103,'non-road'!$F7,Assumptions!BX$3:BX$103)</f>
        <v>0</v>
      </c>
      <c r="AB7" s="39">
        <f ca="1">SUMIFS(Assumptions!BY$3:BY$103,Assumptions!$G$3:$G$103,'non-road'!$F7,Assumptions!$B$3:$B$103,'non-road'!$D7)/SUMIF(Assumptions!$G$3:$G$103,'non-road'!$F7,Assumptions!BY$3:BY$103)</f>
        <v>0</v>
      </c>
      <c r="AC7" s="39">
        <f ca="1">SUMIFS(Assumptions!BZ$3:BZ$103,Assumptions!$G$3:$G$103,'non-road'!$F7,Assumptions!$B$3:$B$103,'non-road'!$D7)/SUMIF(Assumptions!$G$3:$G$103,'non-road'!$F7,Assumptions!BZ$3:BZ$103)</f>
        <v>0</v>
      </c>
      <c r="AD7" s="39">
        <f ca="1">SUMIFS(Assumptions!CA$3:CA$103,Assumptions!$G$3:$G$103,'non-road'!$F7,Assumptions!$B$3:$B$103,'non-road'!$D7)/SUMIF(Assumptions!$G$3:$G$103,'non-road'!$F7,Assumptions!CA$3:CA$103)</f>
        <v>0</v>
      </c>
      <c r="AE7" s="39">
        <f ca="1">SUMIFS(Assumptions!CB$3:CB$103,Assumptions!$G$3:$G$103,'non-road'!$F7,Assumptions!$B$3:$B$103,'non-road'!$D7)/SUMIF(Assumptions!$G$3:$G$103,'non-road'!$F7,Assumptions!CB$3:CB$103)</f>
        <v>0.000304010563433355</v>
      </c>
      <c r="AF7" s="39">
        <f ca="1">SUMIFS(Assumptions!CC$3:CC$103,Assumptions!$G$3:$G$103,'non-road'!$F7,Assumptions!$B$3:$B$103,'non-road'!$D7)/SUMIF(Assumptions!$G$3:$G$103,'non-road'!$F7,Assumptions!CC$3:CC$103)</f>
        <v>0.000404010981137574</v>
      </c>
      <c r="AG7" s="39" t="e">
        <f ca="1">SUMIFS(Assumptions!CD$3:CD$103,Assumptions!$G$3:$G$103,'non-road'!$F7,Assumptions!$B$3:$B$103,'non-road'!$D7)/SUMIF(Assumptions!$G$3:$G$103,'non-road'!$F7,Assumptions!CD$3:CD$103)</f>
        <v>#DIV/0!</v>
      </c>
      <c r="AH7" s="39">
        <f ca="1">SUMIFS(Assumptions!CE$3:CE$103,Assumptions!$G$3:$G$103,'non-road'!$F7,Assumptions!$B$3:$B$103,'non-road'!$D7)/SUMIF(Assumptions!$G$3:$G$103,'non-road'!$F7,Assumptions!CE$3:CE$103)</f>
        <v>0.2358105131915</v>
      </c>
      <c r="AI7" s="39">
        <f ca="1">SUMIFS(Assumptions!CF$3:CF$103,Assumptions!$G$3:$G$103,'non-road'!$F7,Assumptions!$B$3:$B$103,'non-road'!$D7)/SUMIF(Assumptions!$G$3:$G$103,'non-road'!$F7,Assumptions!CF$3:CF$103)</f>
        <v>0</v>
      </c>
      <c r="AJ7" s="39">
        <f ca="1">SUMIFS(Assumptions!CG$3:CG$103,Assumptions!$G$3:$G$103,'non-road'!$F7,Assumptions!$B$3:$B$103,'non-road'!$D7)/SUMIF(Assumptions!$G$3:$G$103,'non-road'!$F7,Assumptions!CG$3:CG$103)</f>
        <v>0</v>
      </c>
      <c r="AK7" s="39">
        <f ca="1">SUMIFS(Assumptions!CH$3:CH$103,Assumptions!$G$3:$G$103,'non-road'!$F7,Assumptions!$B$3:$B$103,'non-road'!$D7)/SUMIF(Assumptions!$G$3:$G$103,'non-road'!$F7,Assumptions!CH$3:CH$103)</f>
        <v>0</v>
      </c>
      <c r="AL7" s="39">
        <f ca="1">SUMIFS(Assumptions!CI$3:CI$103,Assumptions!$G$3:$G$103,'non-road'!$F7,Assumptions!$B$3:$B$103,'non-road'!$D7)/SUMIF(Assumptions!$G$3:$G$103,'non-road'!$F7,Assumptions!CI$3:CI$103)</f>
        <v>0</v>
      </c>
      <c r="AM7" s="39">
        <f ca="1">SUMIFS(Assumptions!CJ$3:CJ$103,Assumptions!$G$3:$G$103,'non-road'!$F7,Assumptions!$B$3:$B$103,'non-road'!$D7)/SUMIF(Assumptions!$G$3:$G$103,'non-road'!$F7,Assumptions!CJ$3:CJ$103)</f>
        <v>0</v>
      </c>
      <c r="AN7" s="39">
        <f ca="1">SUMIFS(Assumptions!CK$3:CK$103,Assumptions!$G$3:$G$103,'non-road'!$F7,Assumptions!$B$3:$B$103,'non-road'!$D7)/SUMIF(Assumptions!$G$3:$G$103,'non-road'!$F7,Assumptions!CK$3:CK$103)</f>
        <v>0</v>
      </c>
      <c r="AO7" s="39">
        <f ca="1">SUMIFS(Assumptions!CL$3:CL$103,Assumptions!$G$3:$G$103,'non-road'!$F7,Assumptions!$B$3:$B$103,'non-road'!$D7)/SUMIF(Assumptions!$G$3:$G$103,'non-road'!$F7,Assumptions!CL$3:CL$103)</f>
        <v>0</v>
      </c>
      <c r="AP7" s="39" t="e">
        <f ca="1">SUMIFS(Assumptions!CM$3:CM$103,Assumptions!$G$3:$G$103,'non-road'!$F7,Assumptions!$B$3:$B$103,'non-road'!$D7)/SUMIF(Assumptions!$G$3:$G$103,'non-road'!$F7,Assumptions!CM$3:CM$103)</f>
        <v>#DIV/0!</v>
      </c>
      <c r="AQ7" s="39" t="e">
        <f ca="1">SUMIFS(Assumptions!CN$3:CN$103,Assumptions!$G$3:$G$103,'non-road'!$F7,Assumptions!$B$3:$B$103,'non-road'!$D7)/SUMIF(Assumptions!$G$3:$G$103,'non-road'!$F7,Assumptions!CN$3:CN$103)</f>
        <v>#DIV/0!</v>
      </c>
      <c r="AR7" s="39" t="e">
        <f ca="1">SUMIFS(Assumptions!CO$3:CO$103,Assumptions!$G$3:$G$103,'non-road'!$F7,Assumptions!$B$3:$B$103,'non-road'!$D7)/SUMIF(Assumptions!$G$3:$G$103,'non-road'!$F7,Assumptions!CO$3:CO$103)</f>
        <v>#DIV/0!</v>
      </c>
      <c r="AS7" s="39" t="e">
        <f ca="1">SUMIFS(Assumptions!CP$3:CP$103,Assumptions!$G$3:$G$103,'non-road'!$F7,Assumptions!$B$3:$B$103,'non-road'!$D7)/SUMIF(Assumptions!$G$3:$G$103,'non-road'!$F7,Assumptions!CP$3:CP$103)</f>
        <v>#DIV/0!</v>
      </c>
      <c r="AT7" s="39" t="e">
        <f ca="1">SUMIFS(Assumptions!CQ$3:CQ$103,Assumptions!$G$3:$G$103,'non-road'!$F7,Assumptions!$B$3:$B$103,'non-road'!$D7)/SUMIF(Assumptions!$G$3:$G$103,'non-road'!$F7,Assumptions!CQ$3:CQ$103)</f>
        <v>#DIV/0!</v>
      </c>
      <c r="AU7" s="39" t="e">
        <f ca="1">SUMIFS(Assumptions!CR$3:CR$103,Assumptions!$G$3:$G$103,'non-road'!$F7,Assumptions!$B$3:$B$103,'non-road'!$D7)/SUMIF(Assumptions!$G$3:$G$103,'non-road'!$F7,Assumptions!CR$3:CR$103)</f>
        <v>#DIV/0!</v>
      </c>
      <c r="AV7" s="39" t="e">
        <f ca="1">SUMIFS(Assumptions!CS$3:CS$103,Assumptions!$G$3:$G$103,'non-road'!$F7,Assumptions!$B$3:$B$103,'non-road'!$D7)/SUMIF(Assumptions!$G$3:$G$103,'non-road'!$F7,Assumptions!CS$3:CS$103)</f>
        <v>#DIV/0!</v>
      </c>
      <c r="AW7" s="39" t="e">
        <f ca="1">SUMIFS(Assumptions!CT$3:CT$103,Assumptions!$G$3:$G$103,'non-road'!$F7,Assumptions!$B$3:$B$103,'non-road'!$D7)/SUMIF(Assumptions!$G$3:$G$103,'non-road'!$F7,Assumptions!CT$3:CT$103)</f>
        <v>#DIV/0!</v>
      </c>
      <c r="AX7" s="39" t="e">
        <f ca="1">SUMIFS(Assumptions!CU$3:CU$103,Assumptions!$G$3:$G$103,'non-road'!$F7,Assumptions!$B$3:$B$103,'non-road'!$D7)/SUMIF(Assumptions!$G$3:$G$103,'non-road'!$F7,Assumptions!CU$3:CU$103)</f>
        <v>#DIV/0!</v>
      </c>
      <c r="AY7" s="39" t="e">
        <f ca="1">SUMIFS(Assumptions!CV$3:CV$103,Assumptions!$G$3:$G$103,'non-road'!$F7,Assumptions!$B$3:$B$103,'non-road'!$D7)/SUMIF(Assumptions!$G$3:$G$103,'non-road'!$F7,Assumptions!CV$3:CV$103)</f>
        <v>#DIV/0!</v>
      </c>
      <c r="AZ7" s="39" t="e">
        <f ca="1">SUMIFS(Assumptions!CW$3:CW$103,Assumptions!$G$3:$G$103,'non-road'!$F7,Assumptions!$B$3:$B$103,'non-road'!$D7)/SUMIF(Assumptions!$G$3:$G$103,'non-road'!$F7,Assumptions!CW$3:CW$103)</f>
        <v>#DIV/0!</v>
      </c>
      <c r="BA7" s="40"/>
      <c r="BB7" s="39"/>
      <c r="BC7" s="39"/>
      <c r="BD7" s="38" t="str">
        <f t="shared" si="50"/>
        <v>\I:</v>
      </c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8"/>
      <c r="CZ7" s="38"/>
      <c r="DA7" s="38" t="s">
        <v>87</v>
      </c>
      <c r="DB7" s="38">
        <f>SUMIF(Assumptions!$BB$105:$BB$128,'non-road'!$DA7,Assumptions!BD$105:BD$128)</f>
        <v>12.03307254</v>
      </c>
      <c r="DC7" s="38">
        <f>SUMIF(Assumptions!$BB$105:$BB$128,'non-road'!$DA7,Assumptions!BE$105:BE$128)</f>
        <v>23.5543757688</v>
      </c>
      <c r="DD7" s="38">
        <f>SUMIF(Assumptions!$BB$105:$BB$128,'non-road'!$DA7,Assumptions!BF$105:BF$128)</f>
        <v>29.1869322372</v>
      </c>
      <c r="DE7" s="38">
        <f>SUMIF(Assumptions!$BB$105:$BB$128,'non-road'!$DA7,Assumptions!BG$105:BG$128)</f>
        <v>1.1377042848</v>
      </c>
      <c r="DF7" s="38">
        <f>SUMIF(Assumptions!$BB$105:$BB$128,'non-road'!$DA7,Assumptions!BH$105:BH$128)</f>
        <v>0.5212021716</v>
      </c>
      <c r="DG7" s="38">
        <f>SUMIF(Assumptions!$BB$105:$BB$128,'non-road'!$DA7,Assumptions!BI$105:BI$128)</f>
        <v>17.9581774716</v>
      </c>
      <c r="DH7" s="38">
        <f>SUMIF(Assumptions!$BB$105:$BB$128,'non-road'!$DA7,Assumptions!BJ$105:BJ$128)</f>
        <v>54.3115338516</v>
      </c>
      <c r="DI7" s="38">
        <f>SUMIF(Assumptions!$BB$105:$BB$128,'non-road'!$DA7,Assumptions!BK$105:BK$128)</f>
        <v>1018.0260679932</v>
      </c>
      <c r="DJ7" s="38">
        <f>SUMIF(Assumptions!$BB$105:$BB$128,'non-road'!$DA7,Assumptions!BL$105:BL$128)</f>
        <v>2.0970592632</v>
      </c>
      <c r="DK7" s="38">
        <f>SUMIF(Assumptions!$BB$105:$BB$128,'non-road'!$DA7,Assumptions!BM$105:BM$128)</f>
        <v>0.2129992632</v>
      </c>
      <c r="DL7" s="38">
        <f>SUMIF(Assumptions!$BB$105:$BB$128,'non-road'!$DA7,Assumptions!BN$105:BN$128)</f>
        <v>21.093370542</v>
      </c>
      <c r="DM7" s="38">
        <f>SUMIF(Assumptions!$BB$105:$BB$128,'non-road'!$DA7,Assumptions!BO$105:BO$128)</f>
        <v>11.2463979408</v>
      </c>
      <c r="DN7" s="38">
        <f>SUMIF(Assumptions!$BB$105:$BB$128,'non-road'!$DA7,Assumptions!BP$105:BP$128)</f>
        <v>26.8634424564</v>
      </c>
      <c r="DO7" s="38">
        <f>SUMIF(Assumptions!$BB$105:$BB$128,'non-road'!$DA7,Assumptions!BQ$105:BQ$128)</f>
        <v>2.037966768</v>
      </c>
      <c r="DP7" s="38">
        <f>SUMIF(Assumptions!$BB$105:$BB$128,'non-road'!$DA7,Assumptions!BR$105:BR$128)</f>
        <v>0.6990113808</v>
      </c>
      <c r="DQ7" s="38">
        <f>SUMIF(Assumptions!$BB$105:$BB$128,'non-road'!$DA7,Assumptions!BS$105:BS$128)</f>
        <v>64.3754036268</v>
      </c>
      <c r="DR7" s="38">
        <f>SUMIF(Assumptions!$BB$105:$BB$128,'non-road'!$DA7,Assumptions!BT$105:BT$128)</f>
        <v>3.6805991328</v>
      </c>
      <c r="DS7" s="38">
        <f>SUMIF(Assumptions!$BB$105:$BB$128,'non-road'!$DA7,Assumptions!BU$105:BU$128)</f>
        <v>25.9399641672</v>
      </c>
      <c r="DT7" s="38">
        <f>SUMIF(Assumptions!$BB$105:$BB$128,'non-road'!$DA7,Assumptions!BV$105:BV$128)</f>
        <v>131.0018151528</v>
      </c>
      <c r="DU7" s="38">
        <f>SUMIF(Assumptions!$BB$105:$BB$128,'non-road'!$DA7,Assumptions!BW$105:BW$128)</f>
        <v>51.9456443472</v>
      </c>
      <c r="DV7" s="38">
        <f>SUMIF(Assumptions!$BB$105:$BB$128,'non-road'!$DA7,Assumptions!BX$105:BX$128)</f>
        <v>0</v>
      </c>
      <c r="DW7" s="38">
        <f>SUMIF(Assumptions!$BB$105:$BB$128,'non-road'!$DA7,Assumptions!BY$105:BY$128)</f>
        <v>445.680296388</v>
      </c>
      <c r="DX7" s="38">
        <f>SUMIF(Assumptions!$BB$105:$BB$128,'non-road'!$DA7,Assumptions!BZ$105:BZ$128)</f>
        <v>42.0007801752</v>
      </c>
      <c r="DY7" s="38">
        <f>SUMIF(Assumptions!$BB$105:$BB$128,'non-road'!$DA7,Assumptions!CA$105:CA$128)</f>
        <v>0.077958216</v>
      </c>
      <c r="DZ7" s="38">
        <f>SUMIF(Assumptions!$BB$105:$BB$128,'non-road'!$DA7,Assumptions!CB$105:CB$128)</f>
        <v>280.9286320068</v>
      </c>
      <c r="EA7" s="38">
        <f>SUMIF(Assumptions!$BB$105:$BB$128,'non-road'!$DA7,Assumptions!CC$105:CC$128)</f>
        <v>25.594159608</v>
      </c>
      <c r="EB7" s="38">
        <f>SUMIF(Assumptions!$BB$105:$BB$128,'non-road'!$DA7,Assumptions!CD$105:CD$128)</f>
        <v>0</v>
      </c>
      <c r="EC7" s="38">
        <f>SUMIF(Assumptions!$BB$105:$BB$128,'non-road'!$DA7,Assumptions!CE$105:CE$128)</f>
        <v>11.0551951584</v>
      </c>
      <c r="ED7" s="38">
        <f>SUMIF(Assumptions!$BB$105:$BB$128,'non-road'!$DA7,Assumptions!CF$105:CF$128)</f>
        <v>46.7004380544</v>
      </c>
      <c r="EE7" s="38">
        <f>SUMIF(Assumptions!$BB$105:$BB$128,'non-road'!$DA7,Assumptions!CG$105:CG$128)</f>
        <v>16.4468640888</v>
      </c>
      <c r="EF7" s="38">
        <f>SUMIF(Assumptions!$BB$105:$BB$128,'non-road'!$DA7,Assumptions!CH$105:CH$128)</f>
        <v>1.548676386</v>
      </c>
      <c r="EG7" s="38">
        <f>SUMIF(Assumptions!$BB$105:$BB$128,'non-road'!$DA7,Assumptions!CI$105:CI$128)</f>
        <v>16.2248004036</v>
      </c>
      <c r="EH7" s="38">
        <f>SUMIF(Assumptions!$BB$105:$BB$128,'non-road'!$DA7,Assumptions!CJ$105:CJ$128)</f>
        <v>37.1789765928</v>
      </c>
      <c r="EI7" s="38">
        <f>SUMIF(Assumptions!$BB$105:$BB$128,'non-road'!$DA7,Assumptions!CK$105:CK$128)</f>
        <v>5.6338711236</v>
      </c>
      <c r="EJ7" s="38">
        <f>SUMIF(Assumptions!$BB$105:$BB$128,'non-road'!$DA7,Assumptions!CL$105:CL$128)</f>
        <v>1.8217478556</v>
      </c>
      <c r="EK7" s="38">
        <f>SUMIF(Assumptions!$BB$105:$BB$128,'non-road'!$DA7,Assumptions!CM$105:CM$128)</f>
        <v>0</v>
      </c>
      <c r="EL7" s="38">
        <f>SUMIF(Assumptions!$BB$105:$BB$128,'non-road'!$DA7,Assumptions!CN$105:CN$128)</f>
        <v>0</v>
      </c>
      <c r="EM7" s="38">
        <f>SUMIF(Assumptions!$BB$105:$BB$128,'non-road'!$DA7,Assumptions!CO$105:CO$128)</f>
        <v>0</v>
      </c>
      <c r="EN7" s="38">
        <f>SUMIF(Assumptions!$BB$105:$BB$128,'non-road'!$DA7,Assumptions!CP$105:CP$128)</f>
        <v>0</v>
      </c>
      <c r="EO7" s="38">
        <f>SUMIF(Assumptions!$BB$105:$BB$128,'non-road'!$DA7,Assumptions!CQ$105:CQ$128)</f>
        <v>0</v>
      </c>
      <c r="EP7" s="38">
        <f>SUMIF(Assumptions!$BB$105:$BB$128,'non-road'!$DA7,Assumptions!CR$105:CR$128)</f>
        <v>0</v>
      </c>
      <c r="EQ7" s="38">
        <f>SUMIF(Assumptions!$BB$105:$BB$128,'non-road'!$DA7,Assumptions!CS$105:CS$128)</f>
        <v>0</v>
      </c>
      <c r="ER7" s="38">
        <f>SUMIF(Assumptions!$BB$105:$BB$128,'non-road'!$DA7,Assumptions!CT$105:CT$128)</f>
        <v>0</v>
      </c>
      <c r="ES7" s="38">
        <f>SUMIF(Assumptions!$BB$105:$BB$128,'non-road'!$DA7,Assumptions!CU$105:CU$128)</f>
        <v>0</v>
      </c>
      <c r="ET7" s="38">
        <f>SUMIF(Assumptions!$BB$105:$BB$128,'non-road'!$DA7,Assumptions!CV$105:CV$128)</f>
        <v>0</v>
      </c>
      <c r="EU7" s="38">
        <f>SUMIF(Assumptions!$BB$105:$BB$128,'non-road'!$DA7,Assumptions!CW$105:CW$128)</f>
        <v>0</v>
      </c>
      <c r="EV7" s="38"/>
      <c r="EW7" s="38" t="str">
        <f t="shared" si="48"/>
        <v>\I:</v>
      </c>
      <c r="EX7" s="38" t="str">
        <f t="shared" si="47"/>
        <v/>
      </c>
      <c r="EY7" s="38" t="s">
        <v>133</v>
      </c>
      <c r="EZ7" s="38" t="s">
        <v>85</v>
      </c>
      <c r="FA7" s="38" t="s">
        <v>440</v>
      </c>
      <c r="FB7" s="38"/>
      <c r="FC7" s="38"/>
      <c r="FD7" s="38"/>
    </row>
    <row r="8" spans="1:160">
      <c r="A8" s="38" t="s">
        <v>444</v>
      </c>
      <c r="B8" s="38"/>
      <c r="C8" s="38" t="str">
        <f t="shared" si="49"/>
        <v/>
      </c>
      <c r="D8" s="38" t="s">
        <v>74</v>
      </c>
      <c r="E8" s="38"/>
      <c r="F8" s="38" t="s">
        <v>194</v>
      </c>
      <c r="G8" s="39">
        <f ca="1">SUMIFS(Assumptions!BD$3:BD$103,Assumptions!$G$3:$G$103,'non-road'!$F8,Assumptions!$B$3:$B$103,'non-road'!$D8)/SUMIF(Assumptions!$G$3:$G$103,'non-road'!$F8,Assumptions!BD$3:BD$103)</f>
        <v>0</v>
      </c>
      <c r="H8" s="39">
        <f ca="1">SUMIFS(Assumptions!BE$3:BE$103,Assumptions!$G$3:$G$103,'non-road'!$F8,Assumptions!$B$3:$B$103,'non-road'!$D8)/SUMIF(Assumptions!$G$3:$G$103,'non-road'!$F8,Assumptions!BE$3:BE$103)</f>
        <v>0</v>
      </c>
      <c r="I8" s="39">
        <f ca="1">SUMIFS(Assumptions!BF$3:BF$103,Assumptions!$G$3:$G$103,'non-road'!$F8,Assumptions!$B$3:$B$103,'non-road'!$D8)/SUMIF(Assumptions!$G$3:$G$103,'non-road'!$F8,Assumptions!BF$3:BF$103)</f>
        <v>0</v>
      </c>
      <c r="J8" s="39">
        <f ca="1">SUMIFS(Assumptions!BG$3:BG$103,Assumptions!$G$3:$G$103,'non-road'!$F8,Assumptions!$B$3:$B$103,'non-road'!$D8)/SUMIF(Assumptions!$G$3:$G$103,'non-road'!$F8,Assumptions!BG$3:BG$103)</f>
        <v>0</v>
      </c>
      <c r="K8" s="39">
        <f ca="1">SUMIFS(Assumptions!BH$3:BH$103,Assumptions!$G$3:$G$103,'non-road'!$F8,Assumptions!$B$3:$B$103,'non-road'!$D8)/SUMIF(Assumptions!$G$3:$G$103,'non-road'!$F8,Assumptions!BH$3:BH$103)</f>
        <v>0</v>
      </c>
      <c r="L8" s="39">
        <f ca="1">SUMIFS(Assumptions!BI$3:BI$103,Assumptions!$G$3:$G$103,'non-road'!$F8,Assumptions!$B$3:$B$103,'non-road'!$D8)/SUMIF(Assumptions!$G$3:$G$103,'non-road'!$F8,Assumptions!BI$3:BI$103)</f>
        <v>0</v>
      </c>
      <c r="M8" s="39">
        <f ca="1">SUMIFS(Assumptions!BJ$3:BJ$103,Assumptions!$G$3:$G$103,'non-road'!$F8,Assumptions!$B$3:$B$103,'non-road'!$D8)/SUMIF(Assumptions!$G$3:$G$103,'non-road'!$F8,Assumptions!BJ$3:BJ$103)</f>
        <v>0</v>
      </c>
      <c r="N8" s="39">
        <f ca="1">SUMIFS(Assumptions!BK$3:BK$103,Assumptions!$G$3:$G$103,'non-road'!$F8,Assumptions!$B$3:$B$103,'non-road'!$D8)/SUMIF(Assumptions!$G$3:$G$103,'non-road'!$F8,Assumptions!BK$3:BK$103)</f>
        <v>0</v>
      </c>
      <c r="O8" s="39">
        <f ca="1">SUMIFS(Assumptions!BL$3:BL$103,Assumptions!$G$3:$G$103,'non-road'!$F8,Assumptions!$B$3:$B$103,'non-road'!$D8)/SUMIF(Assumptions!$G$3:$G$103,'non-road'!$F8,Assumptions!BL$3:BL$103)</f>
        <v>0</v>
      </c>
      <c r="P8" s="39">
        <f ca="1">SUMIFS(Assumptions!BM$3:BM$103,Assumptions!$G$3:$G$103,'non-road'!$F8,Assumptions!$B$3:$B$103,'non-road'!$D8)/SUMIF(Assumptions!$G$3:$G$103,'non-road'!$F8,Assumptions!BM$3:BM$103)</f>
        <v>0</v>
      </c>
      <c r="Q8" s="39">
        <f ca="1">SUMIFS(Assumptions!BN$3:BN$103,Assumptions!$G$3:$G$103,'non-road'!$F8,Assumptions!$B$3:$B$103,'non-road'!$D8)/SUMIF(Assumptions!$G$3:$G$103,'non-road'!$F8,Assumptions!BN$3:BN$103)</f>
        <v>0</v>
      </c>
      <c r="R8" s="39">
        <f ca="1">SUMIFS(Assumptions!BO$3:BO$103,Assumptions!$G$3:$G$103,'non-road'!$F8,Assumptions!$B$3:$B$103,'non-road'!$D8)/SUMIF(Assumptions!$G$3:$G$103,'non-road'!$F8,Assumptions!BO$3:BO$103)</f>
        <v>0</v>
      </c>
      <c r="S8" s="39">
        <f ca="1">SUMIFS(Assumptions!BP$3:BP$103,Assumptions!$G$3:$G$103,'non-road'!$F8,Assumptions!$B$3:$B$103,'non-road'!$D8)/SUMIF(Assumptions!$G$3:$G$103,'non-road'!$F8,Assumptions!BP$3:BP$103)</f>
        <v>0</v>
      </c>
      <c r="T8" s="39">
        <f ca="1">SUMIFS(Assumptions!BQ$3:BQ$103,Assumptions!$G$3:$G$103,'non-road'!$F8,Assumptions!$B$3:$B$103,'non-road'!$D8)/SUMIF(Assumptions!$G$3:$G$103,'non-road'!$F8,Assumptions!BQ$3:BQ$103)</f>
        <v>0</v>
      </c>
      <c r="U8" s="39" t="e">
        <f ca="1">SUMIFS(Assumptions!BR$3:BR$103,Assumptions!$G$3:$G$103,'non-road'!$F8,Assumptions!$B$3:$B$103,'non-road'!$D8)/SUMIF(Assumptions!$G$3:$G$103,'non-road'!$F8,Assumptions!BR$3:BR$103)</f>
        <v>#DIV/0!</v>
      </c>
      <c r="V8" s="39">
        <f ca="1">SUMIFS(Assumptions!BS$3:BS$103,Assumptions!$G$3:$G$103,'non-road'!$F8,Assumptions!$B$3:$B$103,'non-road'!$D8)/SUMIF(Assumptions!$G$3:$G$103,'non-road'!$F8,Assumptions!BS$3:BS$103)</f>
        <v>0</v>
      </c>
      <c r="W8" s="39">
        <f ca="1">SUMIFS(Assumptions!BT$3:BT$103,Assumptions!$G$3:$G$103,'non-road'!$F8,Assumptions!$B$3:$B$103,'non-road'!$D8)/SUMIF(Assumptions!$G$3:$G$103,'non-road'!$F8,Assumptions!BT$3:BT$103)</f>
        <v>0</v>
      </c>
      <c r="X8" s="39">
        <f ca="1">SUMIFS(Assumptions!BU$3:BU$103,Assumptions!$G$3:$G$103,'non-road'!$F8,Assumptions!$B$3:$B$103,'non-road'!$D8)/SUMIF(Assumptions!$G$3:$G$103,'non-road'!$F8,Assumptions!BU$3:BU$103)</f>
        <v>0</v>
      </c>
      <c r="Y8" s="39">
        <f ca="1">SUMIFS(Assumptions!BV$3:BV$103,Assumptions!$G$3:$G$103,'non-road'!$F8,Assumptions!$B$3:$B$103,'non-road'!$D8)/SUMIF(Assumptions!$G$3:$G$103,'non-road'!$F8,Assumptions!BV$3:BV$103)</f>
        <v>0</v>
      </c>
      <c r="Z8" s="39">
        <f ca="1">SUMIFS(Assumptions!BW$3:BW$103,Assumptions!$G$3:$G$103,'non-road'!$F8,Assumptions!$B$3:$B$103,'non-road'!$D8)/SUMIF(Assumptions!$G$3:$G$103,'non-road'!$F8,Assumptions!BW$3:BW$103)</f>
        <v>0</v>
      </c>
      <c r="AA8" s="39">
        <f ca="1">SUMIFS(Assumptions!BX$3:BX$103,Assumptions!$G$3:$G$103,'non-road'!$F8,Assumptions!$B$3:$B$103,'non-road'!$D8)/SUMIF(Assumptions!$G$3:$G$103,'non-road'!$F8,Assumptions!BX$3:BX$103)</f>
        <v>0</v>
      </c>
      <c r="AB8" s="39">
        <f ca="1">SUMIFS(Assumptions!BY$3:BY$103,Assumptions!$G$3:$G$103,'non-road'!$F8,Assumptions!$B$3:$B$103,'non-road'!$D8)/SUMIF(Assumptions!$G$3:$G$103,'non-road'!$F8,Assumptions!BY$3:BY$103)</f>
        <v>0</v>
      </c>
      <c r="AC8" s="39">
        <f ca="1">SUMIFS(Assumptions!BZ$3:BZ$103,Assumptions!$G$3:$G$103,'non-road'!$F8,Assumptions!$B$3:$B$103,'non-road'!$D8)/SUMIF(Assumptions!$G$3:$G$103,'non-road'!$F8,Assumptions!BZ$3:BZ$103)</f>
        <v>0</v>
      </c>
      <c r="AD8" s="39">
        <f ca="1">SUMIFS(Assumptions!CA$3:CA$103,Assumptions!$G$3:$G$103,'non-road'!$F8,Assumptions!$B$3:$B$103,'non-road'!$D8)/SUMIF(Assumptions!$G$3:$G$103,'non-road'!$F8,Assumptions!CA$3:CA$103)</f>
        <v>0</v>
      </c>
      <c r="AE8" s="39">
        <f ca="1">SUMIFS(Assumptions!CB$3:CB$103,Assumptions!$G$3:$G$103,'non-road'!$F8,Assumptions!$B$3:$B$103,'non-road'!$D8)/SUMIF(Assumptions!$G$3:$G$103,'non-road'!$F8,Assumptions!CB$3:CB$103)</f>
        <v>0</v>
      </c>
      <c r="AF8" s="39">
        <f ca="1">SUMIFS(Assumptions!CC$3:CC$103,Assumptions!$G$3:$G$103,'non-road'!$F8,Assumptions!$B$3:$B$103,'non-road'!$D8)/SUMIF(Assumptions!$G$3:$G$103,'non-road'!$F8,Assumptions!CC$3:CC$103)</f>
        <v>0</v>
      </c>
      <c r="AG8" s="39" t="e">
        <f ca="1">SUMIFS(Assumptions!CD$3:CD$103,Assumptions!$G$3:$G$103,'non-road'!$F8,Assumptions!$B$3:$B$103,'non-road'!$D8)/SUMIF(Assumptions!$G$3:$G$103,'non-road'!$F8,Assumptions!CD$3:CD$103)</f>
        <v>#DIV/0!</v>
      </c>
      <c r="AH8" s="39">
        <f ca="1">SUMIFS(Assumptions!CE$3:CE$103,Assumptions!$G$3:$G$103,'non-road'!$F8,Assumptions!$B$3:$B$103,'non-road'!$D8)/SUMIF(Assumptions!$G$3:$G$103,'non-road'!$F8,Assumptions!CE$3:CE$103)</f>
        <v>0</v>
      </c>
      <c r="AI8" s="39">
        <f ca="1">SUMIFS(Assumptions!CF$3:CF$103,Assumptions!$G$3:$G$103,'non-road'!$F8,Assumptions!$B$3:$B$103,'non-road'!$D8)/SUMIF(Assumptions!$G$3:$G$103,'non-road'!$F8,Assumptions!CF$3:CF$103)</f>
        <v>0</v>
      </c>
      <c r="AJ8" s="39">
        <f ca="1">SUMIFS(Assumptions!CG$3:CG$103,Assumptions!$G$3:$G$103,'non-road'!$F8,Assumptions!$B$3:$B$103,'non-road'!$D8)/SUMIF(Assumptions!$G$3:$G$103,'non-road'!$F8,Assumptions!CG$3:CG$103)</f>
        <v>0</v>
      </c>
      <c r="AK8" s="39">
        <f ca="1">SUMIFS(Assumptions!CH$3:CH$103,Assumptions!$G$3:$G$103,'non-road'!$F8,Assumptions!$B$3:$B$103,'non-road'!$D8)/SUMIF(Assumptions!$G$3:$G$103,'non-road'!$F8,Assumptions!CH$3:CH$103)</f>
        <v>0</v>
      </c>
      <c r="AL8" s="39">
        <f ca="1">SUMIFS(Assumptions!CI$3:CI$103,Assumptions!$G$3:$G$103,'non-road'!$F8,Assumptions!$B$3:$B$103,'non-road'!$D8)/SUMIF(Assumptions!$G$3:$G$103,'non-road'!$F8,Assumptions!CI$3:CI$103)</f>
        <v>0</v>
      </c>
      <c r="AM8" s="39">
        <f ca="1">SUMIFS(Assumptions!CJ$3:CJ$103,Assumptions!$G$3:$G$103,'non-road'!$F8,Assumptions!$B$3:$B$103,'non-road'!$D8)/SUMIF(Assumptions!$G$3:$G$103,'non-road'!$F8,Assumptions!CJ$3:CJ$103)</f>
        <v>0</v>
      </c>
      <c r="AN8" s="39">
        <f ca="1">SUMIFS(Assumptions!CK$3:CK$103,Assumptions!$G$3:$G$103,'non-road'!$F8,Assumptions!$B$3:$B$103,'non-road'!$D8)/SUMIF(Assumptions!$G$3:$G$103,'non-road'!$F8,Assumptions!CK$3:CK$103)</f>
        <v>0</v>
      </c>
      <c r="AO8" s="39">
        <f ca="1">SUMIFS(Assumptions!CL$3:CL$103,Assumptions!$G$3:$G$103,'non-road'!$F8,Assumptions!$B$3:$B$103,'non-road'!$D8)/SUMIF(Assumptions!$G$3:$G$103,'non-road'!$F8,Assumptions!CL$3:CL$103)</f>
        <v>0</v>
      </c>
      <c r="AP8" s="39" t="e">
        <f ca="1">SUMIFS(Assumptions!CM$3:CM$103,Assumptions!$G$3:$G$103,'non-road'!$F8,Assumptions!$B$3:$B$103,'non-road'!$D8)/SUMIF(Assumptions!$G$3:$G$103,'non-road'!$F8,Assumptions!CM$3:CM$103)</f>
        <v>#DIV/0!</v>
      </c>
      <c r="AQ8" s="39" t="e">
        <f ca="1">SUMIFS(Assumptions!CN$3:CN$103,Assumptions!$G$3:$G$103,'non-road'!$F8,Assumptions!$B$3:$B$103,'non-road'!$D8)/SUMIF(Assumptions!$G$3:$G$103,'non-road'!$F8,Assumptions!CN$3:CN$103)</f>
        <v>#DIV/0!</v>
      </c>
      <c r="AR8" s="39" t="e">
        <f ca="1">SUMIFS(Assumptions!CO$3:CO$103,Assumptions!$G$3:$G$103,'non-road'!$F8,Assumptions!$B$3:$B$103,'non-road'!$D8)/SUMIF(Assumptions!$G$3:$G$103,'non-road'!$F8,Assumptions!CO$3:CO$103)</f>
        <v>#DIV/0!</v>
      </c>
      <c r="AS8" s="39" t="e">
        <f ca="1">SUMIFS(Assumptions!CP$3:CP$103,Assumptions!$G$3:$G$103,'non-road'!$F8,Assumptions!$B$3:$B$103,'non-road'!$D8)/SUMIF(Assumptions!$G$3:$G$103,'non-road'!$F8,Assumptions!CP$3:CP$103)</f>
        <v>#DIV/0!</v>
      </c>
      <c r="AT8" s="39" t="e">
        <f ca="1">SUMIFS(Assumptions!CQ$3:CQ$103,Assumptions!$G$3:$G$103,'non-road'!$F8,Assumptions!$B$3:$B$103,'non-road'!$D8)/SUMIF(Assumptions!$G$3:$G$103,'non-road'!$F8,Assumptions!CQ$3:CQ$103)</f>
        <v>#DIV/0!</v>
      </c>
      <c r="AU8" s="39" t="e">
        <f ca="1">SUMIFS(Assumptions!CR$3:CR$103,Assumptions!$G$3:$G$103,'non-road'!$F8,Assumptions!$B$3:$B$103,'non-road'!$D8)/SUMIF(Assumptions!$G$3:$G$103,'non-road'!$F8,Assumptions!CR$3:CR$103)</f>
        <v>#DIV/0!</v>
      </c>
      <c r="AV8" s="39" t="e">
        <f ca="1">SUMIFS(Assumptions!CS$3:CS$103,Assumptions!$G$3:$G$103,'non-road'!$F8,Assumptions!$B$3:$B$103,'non-road'!$D8)/SUMIF(Assumptions!$G$3:$G$103,'non-road'!$F8,Assumptions!CS$3:CS$103)</f>
        <v>#DIV/0!</v>
      </c>
      <c r="AW8" s="39" t="e">
        <f ca="1">SUMIFS(Assumptions!CT$3:CT$103,Assumptions!$G$3:$G$103,'non-road'!$F8,Assumptions!$B$3:$B$103,'non-road'!$D8)/SUMIF(Assumptions!$G$3:$G$103,'non-road'!$F8,Assumptions!CT$3:CT$103)</f>
        <v>#DIV/0!</v>
      </c>
      <c r="AX8" s="39" t="e">
        <f ca="1">SUMIFS(Assumptions!CU$3:CU$103,Assumptions!$G$3:$G$103,'non-road'!$F8,Assumptions!$B$3:$B$103,'non-road'!$D8)/SUMIF(Assumptions!$G$3:$G$103,'non-road'!$F8,Assumptions!CU$3:CU$103)</f>
        <v>#DIV/0!</v>
      </c>
      <c r="AY8" s="39" t="e">
        <f ca="1">SUMIFS(Assumptions!CV$3:CV$103,Assumptions!$G$3:$G$103,'non-road'!$F8,Assumptions!$B$3:$B$103,'non-road'!$D8)/SUMIF(Assumptions!$G$3:$G$103,'non-road'!$F8,Assumptions!CV$3:CV$103)</f>
        <v>#DIV/0!</v>
      </c>
      <c r="AZ8" s="39" t="e">
        <f ca="1">SUMIFS(Assumptions!CW$3:CW$103,Assumptions!$G$3:$G$103,'non-road'!$F8,Assumptions!$B$3:$B$103,'non-road'!$D8)/SUMIF(Assumptions!$G$3:$G$103,'non-road'!$F8,Assumptions!CW$3:CW$103)</f>
        <v>#DIV/0!</v>
      </c>
      <c r="BA8" s="40"/>
      <c r="BB8" s="39"/>
      <c r="BC8" s="39"/>
      <c r="BD8" s="38" t="str">
        <f t="shared" si="50"/>
        <v>\I:</v>
      </c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8"/>
      <c r="CZ8" s="38"/>
      <c r="DA8" s="38" t="s">
        <v>88</v>
      </c>
      <c r="DB8" s="38">
        <f>SUMIF(Assumptions!$BB$105:$BB$128,'non-road'!$DA8,Assumptions!BD$105:BD$128)</f>
        <v>35.8465693608</v>
      </c>
      <c r="DC8" s="38">
        <f>SUMIF(Assumptions!$BB$105:$BB$128,'non-road'!$DA8,Assumptions!BE$105:BE$128)</f>
        <v>88.4268823464</v>
      </c>
      <c r="DD8" s="38">
        <f>SUMIF(Assumptions!$BB$105:$BB$128,'non-road'!$DA8,Assumptions!BF$105:BF$128)</f>
        <v>32.0973108948</v>
      </c>
      <c r="DE8" s="38">
        <f>SUMIF(Assumptions!$BB$105:$BB$128,'non-road'!$DA8,Assumptions!BG$105:BG$128)</f>
        <v>0.6130145088</v>
      </c>
      <c r="DF8" s="38">
        <f>SUMIF(Assumptions!$BB$105:$BB$128,'non-road'!$DA8,Assumptions!BH$105:BH$128)</f>
        <v>28.1848384044</v>
      </c>
      <c r="DG8" s="38">
        <f>SUMIF(Assumptions!$BB$105:$BB$128,'non-road'!$DA8,Assumptions!BI$105:BI$128)</f>
        <v>811.0212724404</v>
      </c>
      <c r="DH8" s="38">
        <f>SUMIF(Assumptions!$BB$105:$BB$128,'non-road'!$DA8,Assumptions!BJ$105:BJ$128)</f>
        <v>139.1539459932</v>
      </c>
      <c r="DI8" s="38">
        <f>SUMIF(Assumptions!$BB$105:$BB$128,'non-road'!$DA8,Assumptions!BK$105:BK$128)</f>
        <v>475.6065128352</v>
      </c>
      <c r="DJ8" s="38">
        <f>SUMIF(Assumptions!$BB$105:$BB$128,'non-road'!$DA8,Assumptions!BL$105:BL$128)</f>
        <v>8.84492901</v>
      </c>
      <c r="DK8" s="38">
        <f>SUMIF(Assumptions!$BB$105:$BB$128,'non-road'!$DA8,Assumptions!BM$105:BM$128)</f>
        <v>0</v>
      </c>
      <c r="DL8" s="38">
        <f>SUMIF(Assumptions!$BB$105:$BB$128,'non-road'!$DA8,Assumptions!BN$105:BN$128)</f>
        <v>71.088116814</v>
      </c>
      <c r="DM8" s="38">
        <f>SUMIF(Assumptions!$BB$105:$BB$128,'non-road'!$DA8,Assumptions!BO$105:BO$128)</f>
        <v>56.7955999728</v>
      </c>
      <c r="DN8" s="38">
        <f>SUMIF(Assumptions!$BB$105:$BB$128,'non-road'!$DA8,Assumptions!BP$105:BP$128)</f>
        <v>117.0844439652</v>
      </c>
      <c r="DO8" s="38">
        <f>SUMIF(Assumptions!$BB$105:$BB$128,'non-road'!$DA8,Assumptions!BQ$105:BQ$128)</f>
        <v>4.6074729168</v>
      </c>
      <c r="DP8" s="38">
        <f>SUMIF(Assumptions!$BB$105:$BB$128,'non-road'!$DA8,Assumptions!BR$105:BR$128)</f>
        <v>2.6983800396</v>
      </c>
      <c r="DQ8" s="38">
        <f>SUMIF(Assumptions!$BB$105:$BB$128,'non-road'!$DA8,Assumptions!BS$105:BS$128)</f>
        <v>68.148941346</v>
      </c>
      <c r="DR8" s="38">
        <f>SUMIF(Assumptions!$BB$105:$BB$128,'non-road'!$DA8,Assumptions!BT$105:BT$128)</f>
        <v>5.8469541228</v>
      </c>
      <c r="DS8" s="38">
        <f>SUMIF(Assumptions!$BB$105:$BB$128,'non-road'!$DA8,Assumptions!BU$105:BU$128)</f>
        <v>205.8285182796</v>
      </c>
      <c r="DT8" s="38">
        <f>SUMIF(Assumptions!$BB$105:$BB$128,'non-road'!$DA8,Assumptions!BV$105:BV$128)</f>
        <v>188.1684912096</v>
      </c>
      <c r="DU8" s="38">
        <f>SUMIF(Assumptions!$BB$105:$BB$128,'non-road'!$DA8,Assumptions!BW$105:BW$128)</f>
        <v>361.0962056196</v>
      </c>
      <c r="DV8" s="38">
        <f>SUMIF(Assumptions!$BB$105:$BB$128,'non-road'!$DA8,Assumptions!BX$105:BX$128)</f>
        <v>869.3089223292</v>
      </c>
      <c r="DW8" s="38">
        <f>SUMIF(Assumptions!$BB$105:$BB$128,'non-road'!$DA8,Assumptions!BY$105:BY$128)</f>
        <v>1015.1062481016</v>
      </c>
      <c r="DX8" s="38">
        <f>SUMIF(Assumptions!$BB$105:$BB$128,'non-road'!$DA8,Assumptions!BZ$105:BZ$128)</f>
        <v>13.7777204736</v>
      </c>
      <c r="DY8" s="38">
        <f>SUMIF(Assumptions!$BB$105:$BB$128,'non-road'!$DA8,Assumptions!CA$105:CA$128)</f>
        <v>11.40212178</v>
      </c>
      <c r="DZ8" s="38">
        <f>SUMIF(Assumptions!$BB$105:$BB$128,'non-road'!$DA8,Assumptions!CB$105:CB$128)</f>
        <v>2875.1642824788</v>
      </c>
      <c r="EA8" s="38">
        <f>SUMIF(Assumptions!$BB$105:$BB$128,'non-road'!$DA8,Assumptions!CC$105:CC$128)</f>
        <v>452.4944431788</v>
      </c>
      <c r="EB8" s="38">
        <f>SUMIF(Assumptions!$BB$105:$BB$128,'non-road'!$DA8,Assumptions!CD$105:CD$128)</f>
        <v>135.0102909672</v>
      </c>
      <c r="EC8" s="38">
        <f>SUMIF(Assumptions!$BB$105:$BB$128,'non-road'!$DA8,Assumptions!CE$105:CE$128)</f>
        <v>126.3649634604</v>
      </c>
      <c r="ED8" s="38">
        <f>SUMIF(Assumptions!$BB$105:$BB$128,'non-road'!$DA8,Assumptions!CF$105:CF$128)</f>
        <v>337.7253247344</v>
      </c>
      <c r="EE8" s="38">
        <f>SUMIF(Assumptions!$BB$105:$BB$128,'non-road'!$DA8,Assumptions!CG$105:CG$128)</f>
        <v>128.5593700104</v>
      </c>
      <c r="EF8" s="38">
        <f>SUMIF(Assumptions!$BB$105:$BB$128,'non-road'!$DA8,Assumptions!CH$105:CH$128)</f>
        <v>0.1114861104</v>
      </c>
      <c r="EG8" s="38">
        <f>SUMIF(Assumptions!$BB$105:$BB$128,'non-road'!$DA8,Assumptions!CI$105:CI$128)</f>
        <v>36.8969997996</v>
      </c>
      <c r="EH8" s="38">
        <f>SUMIF(Assumptions!$BB$105:$BB$128,'non-road'!$DA8,Assumptions!CJ$105:CJ$128)</f>
        <v>95.2218200988</v>
      </c>
      <c r="EI8" s="38">
        <f>SUMIF(Assumptions!$BB$105:$BB$128,'non-road'!$DA8,Assumptions!CK$105:CK$128)</f>
        <v>0</v>
      </c>
      <c r="EJ8" s="38">
        <f>SUMIF(Assumptions!$BB$105:$BB$128,'non-road'!$DA8,Assumptions!CL$105:CL$128)</f>
        <v>2.0118118284</v>
      </c>
      <c r="EK8" s="38">
        <f>SUMIF(Assumptions!$BB$105:$BB$128,'non-road'!$DA8,Assumptions!CM$105:CM$128)</f>
        <v>0</v>
      </c>
      <c r="EL8" s="38">
        <f>SUMIF(Assumptions!$BB$105:$BB$128,'non-road'!$DA8,Assumptions!CN$105:CN$128)</f>
        <v>0</v>
      </c>
      <c r="EM8" s="38">
        <f>SUMIF(Assumptions!$BB$105:$BB$128,'non-road'!$DA8,Assumptions!CO$105:CO$128)</f>
        <v>0</v>
      </c>
      <c r="EN8" s="38">
        <f>SUMIF(Assumptions!$BB$105:$BB$128,'non-road'!$DA8,Assumptions!CP$105:CP$128)</f>
        <v>0</v>
      </c>
      <c r="EO8" s="38">
        <f>SUMIF(Assumptions!$BB$105:$BB$128,'non-road'!$DA8,Assumptions!CQ$105:CQ$128)</f>
        <v>0</v>
      </c>
      <c r="EP8" s="38">
        <f>SUMIF(Assumptions!$BB$105:$BB$128,'non-road'!$DA8,Assumptions!CR$105:CR$128)</f>
        <v>0</v>
      </c>
      <c r="EQ8" s="38">
        <f>SUMIF(Assumptions!$BB$105:$BB$128,'non-road'!$DA8,Assumptions!CS$105:CS$128)</f>
        <v>0</v>
      </c>
      <c r="ER8" s="38">
        <f>SUMIF(Assumptions!$BB$105:$BB$128,'non-road'!$DA8,Assumptions!CT$105:CT$128)</f>
        <v>0</v>
      </c>
      <c r="ES8" s="38">
        <f>SUMIF(Assumptions!$BB$105:$BB$128,'non-road'!$DA8,Assumptions!CU$105:CU$128)</f>
        <v>0</v>
      </c>
      <c r="ET8" s="38">
        <f>SUMIF(Assumptions!$BB$105:$BB$128,'non-road'!$DA8,Assumptions!CV$105:CV$128)</f>
        <v>0</v>
      </c>
      <c r="EU8" s="38">
        <f>SUMIF(Assumptions!$BB$105:$BB$128,'non-road'!$DA8,Assumptions!CW$105:CW$128)</f>
        <v>0</v>
      </c>
      <c r="EV8" s="38"/>
      <c r="EW8" s="38" t="str">
        <f t="shared" si="48"/>
        <v>\I:</v>
      </c>
      <c r="EX8" s="38" t="str">
        <f t="shared" si="47"/>
        <v/>
      </c>
      <c r="EY8" s="38" t="s">
        <v>133</v>
      </c>
      <c r="EZ8" s="38" t="s">
        <v>85</v>
      </c>
      <c r="FA8" s="38" t="s">
        <v>440</v>
      </c>
      <c r="FB8" s="38"/>
      <c r="FC8" s="38"/>
      <c r="FD8" s="38"/>
    </row>
    <row r="9" spans="1:160">
      <c r="A9" s="38" t="s">
        <v>442</v>
      </c>
      <c r="B9" s="38"/>
      <c r="C9" s="38" t="str">
        <f t="shared" si="49"/>
        <v/>
      </c>
      <c r="D9" s="38" t="s">
        <v>44</v>
      </c>
      <c r="E9" s="38" t="s">
        <v>445</v>
      </c>
      <c r="F9" s="38" t="s">
        <v>194</v>
      </c>
      <c r="G9" s="39">
        <f ca="1">SUMIFS(Assumptions!BD$3:BD$103,Assumptions!$G$3:$G$103,'non-road'!$F9,Assumptions!$B$3:$B$103,'non-road'!$D9)/SUMIF(Assumptions!$G$3:$G$103,'non-road'!$F9,Assumptions!BD$3:BD$103)</f>
        <v>0</v>
      </c>
      <c r="H9" s="39">
        <f ca="1">SUMIFS(Assumptions!BE$3:BE$103,Assumptions!$G$3:$G$103,'non-road'!$F9,Assumptions!$B$3:$B$103,'non-road'!$D9)/SUMIF(Assumptions!$G$3:$G$103,'non-road'!$F9,Assumptions!BE$3:BE$103)</f>
        <v>0</v>
      </c>
      <c r="I9" s="39">
        <f ca="1">SUMIFS(Assumptions!BF$3:BF$103,Assumptions!$G$3:$G$103,'non-road'!$F9,Assumptions!$B$3:$B$103,'non-road'!$D9)/SUMIF(Assumptions!$G$3:$G$103,'non-road'!$F9,Assumptions!BF$3:BF$103)</f>
        <v>0</v>
      </c>
      <c r="J9" s="39">
        <f ca="1">SUMIFS(Assumptions!BG$3:BG$103,Assumptions!$G$3:$G$103,'non-road'!$F9,Assumptions!$B$3:$B$103,'non-road'!$D9)/SUMIF(Assumptions!$G$3:$G$103,'non-road'!$F9,Assumptions!BG$3:BG$103)</f>
        <v>0.0546673975642618</v>
      </c>
      <c r="K9" s="39">
        <f ca="1">SUMIFS(Assumptions!BH$3:BH$103,Assumptions!$G$3:$G$103,'non-road'!$F9,Assumptions!$B$3:$B$103,'non-road'!$D9)/SUMIF(Assumptions!$G$3:$G$103,'non-road'!$F9,Assumptions!BH$3:BH$103)</f>
        <v>0.0266656296135979</v>
      </c>
      <c r="L9" s="39">
        <f ca="1">SUMIFS(Assumptions!BI$3:BI$103,Assumptions!$G$3:$G$103,'non-road'!$F9,Assumptions!$B$3:$B$103,'non-road'!$D9)/SUMIF(Assumptions!$G$3:$G$103,'non-road'!$F9,Assumptions!BI$3:BI$103)</f>
        <v>0.0352183370571601</v>
      </c>
      <c r="M9" s="39">
        <f ca="1">SUMIFS(Assumptions!BJ$3:BJ$103,Assumptions!$G$3:$G$103,'non-road'!$F9,Assumptions!$B$3:$B$103,'non-road'!$D9)/SUMIF(Assumptions!$G$3:$G$103,'non-road'!$F9,Assumptions!BJ$3:BJ$103)</f>
        <v>0.0961439972825099</v>
      </c>
      <c r="N9" s="39">
        <f ca="1">SUMIFS(Assumptions!BK$3:BK$103,Assumptions!$G$3:$G$103,'non-road'!$F9,Assumptions!$B$3:$B$103,'non-road'!$D9)/SUMIF(Assumptions!$G$3:$G$103,'non-road'!$F9,Assumptions!BK$3:BK$103)</f>
        <v>0</v>
      </c>
      <c r="O9" s="39">
        <f ca="1">SUMIFS(Assumptions!BL$3:BL$103,Assumptions!$G$3:$G$103,'non-road'!$F9,Assumptions!$B$3:$B$103,'non-road'!$D9)/SUMIF(Assumptions!$G$3:$G$103,'non-road'!$F9,Assumptions!BL$3:BL$103)</f>
        <v>0</v>
      </c>
      <c r="P9" s="39">
        <f ca="1">SUMIFS(Assumptions!BM$3:BM$103,Assumptions!$G$3:$G$103,'non-road'!$F9,Assumptions!$B$3:$B$103,'non-road'!$D9)/SUMIF(Assumptions!$G$3:$G$103,'non-road'!$F9,Assumptions!BM$3:BM$103)</f>
        <v>0.0429471280564706</v>
      </c>
      <c r="Q9" s="39">
        <f ca="1">SUMIFS(Assumptions!BN$3:BN$103,Assumptions!$G$3:$G$103,'non-road'!$F9,Assumptions!$B$3:$B$103,'non-road'!$D9)/SUMIF(Assumptions!$G$3:$G$103,'non-road'!$F9,Assumptions!BN$3:BN$103)</f>
        <v>0.065068523164662</v>
      </c>
      <c r="R9" s="39">
        <f ca="1">SUMIFS(Assumptions!BO$3:BO$103,Assumptions!$G$3:$G$103,'non-road'!$F9,Assumptions!$B$3:$B$103,'non-road'!$D9)/SUMIF(Assumptions!$G$3:$G$103,'non-road'!$F9,Assumptions!BO$3:BO$103)</f>
        <v>0.0524079712713153</v>
      </c>
      <c r="S9" s="39">
        <f ca="1">SUMIFS(Assumptions!BP$3:BP$103,Assumptions!$G$3:$G$103,'non-road'!$F9,Assumptions!$B$3:$B$103,'non-road'!$D9)/SUMIF(Assumptions!$G$3:$G$103,'non-road'!$F9,Assumptions!BP$3:BP$103)</f>
        <v>0</v>
      </c>
      <c r="T9" s="39">
        <f ca="1">SUMIFS(Assumptions!BQ$3:BQ$103,Assumptions!$G$3:$G$103,'non-road'!$F9,Assumptions!$B$3:$B$103,'non-road'!$D9)/SUMIF(Assumptions!$G$3:$G$103,'non-road'!$F9,Assumptions!BQ$3:BQ$103)</f>
        <v>0</v>
      </c>
      <c r="U9" s="39" t="e">
        <f ca="1">SUMIFS(Assumptions!BR$3:BR$103,Assumptions!$G$3:$G$103,'non-road'!$F9,Assumptions!$B$3:$B$103,'non-road'!$D9)/SUMIF(Assumptions!$G$3:$G$103,'non-road'!$F9,Assumptions!BR$3:BR$103)</f>
        <v>#DIV/0!</v>
      </c>
      <c r="V9" s="39">
        <f ca="1">SUMIFS(Assumptions!BS$3:BS$103,Assumptions!$G$3:$G$103,'non-road'!$F9,Assumptions!$B$3:$B$103,'non-road'!$D9)/SUMIF(Assumptions!$G$3:$G$103,'non-road'!$F9,Assumptions!BS$3:BS$103)</f>
        <v>0</v>
      </c>
      <c r="W9" s="39">
        <f ca="1">SUMIFS(Assumptions!BT$3:BT$103,Assumptions!$G$3:$G$103,'non-road'!$F9,Assumptions!$B$3:$B$103,'non-road'!$D9)/SUMIF(Assumptions!$G$3:$G$103,'non-road'!$F9,Assumptions!BT$3:BT$103)</f>
        <v>0</v>
      </c>
      <c r="X9" s="39">
        <f ca="1">SUMIFS(Assumptions!BU$3:BU$103,Assumptions!$G$3:$G$103,'non-road'!$F9,Assumptions!$B$3:$B$103,'non-road'!$D9)/SUMIF(Assumptions!$G$3:$G$103,'non-road'!$F9,Assumptions!BU$3:BU$103)</f>
        <v>0</v>
      </c>
      <c r="Y9" s="39">
        <f ca="1">SUMIFS(Assumptions!BV$3:BV$103,Assumptions!$G$3:$G$103,'non-road'!$F9,Assumptions!$B$3:$B$103,'non-road'!$D9)/SUMIF(Assumptions!$G$3:$G$103,'non-road'!$F9,Assumptions!BV$3:BV$103)</f>
        <v>0</v>
      </c>
      <c r="Z9" s="39">
        <f ca="1">SUMIFS(Assumptions!BW$3:BW$103,Assumptions!$G$3:$G$103,'non-road'!$F9,Assumptions!$B$3:$B$103,'non-road'!$D9)/SUMIF(Assumptions!$G$3:$G$103,'non-road'!$F9,Assumptions!BW$3:BW$103)</f>
        <v>0</v>
      </c>
      <c r="AA9" s="39">
        <f ca="1">SUMIFS(Assumptions!BX$3:BX$103,Assumptions!$G$3:$G$103,'non-road'!$F9,Assumptions!$B$3:$B$103,'non-road'!$D9)/SUMIF(Assumptions!$G$3:$G$103,'non-road'!$F9,Assumptions!BX$3:BX$103)</f>
        <v>0</v>
      </c>
      <c r="AB9" s="39">
        <f ca="1">SUMIFS(Assumptions!BY$3:BY$103,Assumptions!$G$3:$G$103,'non-road'!$F9,Assumptions!$B$3:$B$103,'non-road'!$D9)/SUMIF(Assumptions!$G$3:$G$103,'non-road'!$F9,Assumptions!BY$3:BY$103)</f>
        <v>0.0245458831244119</v>
      </c>
      <c r="AC9" s="39">
        <f ca="1">SUMIFS(Assumptions!BZ$3:BZ$103,Assumptions!$G$3:$G$103,'non-road'!$F9,Assumptions!$B$3:$B$103,'non-road'!$D9)/SUMIF(Assumptions!$G$3:$G$103,'non-road'!$F9,Assumptions!BZ$3:BZ$103)</f>
        <v>0</v>
      </c>
      <c r="AD9" s="39">
        <f ca="1">SUMIFS(Assumptions!CA$3:CA$103,Assumptions!$G$3:$G$103,'non-road'!$F9,Assumptions!$B$3:$B$103,'non-road'!$D9)/SUMIF(Assumptions!$G$3:$G$103,'non-road'!$F9,Assumptions!CA$3:CA$103)</f>
        <v>0</v>
      </c>
      <c r="AE9" s="39">
        <f ca="1">SUMIFS(Assumptions!CB$3:CB$103,Assumptions!$G$3:$G$103,'non-road'!$F9,Assumptions!$B$3:$B$103,'non-road'!$D9)/SUMIF(Assumptions!$G$3:$G$103,'non-road'!$F9,Assumptions!CB$3:CB$103)</f>
        <v>1.52693289270075e-5</v>
      </c>
      <c r="AF9" s="39">
        <f ca="1">SUMIFS(Assumptions!CC$3:CC$103,Assumptions!$G$3:$G$103,'non-road'!$F9,Assumptions!$B$3:$B$103,'non-road'!$D9)/SUMIF(Assumptions!$G$3:$G$103,'non-road'!$F9,Assumptions!CC$3:CC$103)</f>
        <v>0</v>
      </c>
      <c r="AG9" s="39" t="e">
        <f ca="1">SUMIFS(Assumptions!CD$3:CD$103,Assumptions!$G$3:$G$103,'non-road'!$F9,Assumptions!$B$3:$B$103,'non-road'!$D9)/SUMIF(Assumptions!$G$3:$G$103,'non-road'!$F9,Assumptions!CD$3:CD$103)</f>
        <v>#DIV/0!</v>
      </c>
      <c r="AH9" s="39">
        <f ca="1">SUMIFS(Assumptions!CE$3:CE$103,Assumptions!$G$3:$G$103,'non-road'!$F9,Assumptions!$B$3:$B$103,'non-road'!$D9)/SUMIF(Assumptions!$G$3:$G$103,'non-road'!$F9,Assumptions!CE$3:CE$103)</f>
        <v>0</v>
      </c>
      <c r="AI9" s="39">
        <f ca="1">SUMIFS(Assumptions!CF$3:CF$103,Assumptions!$G$3:$G$103,'non-road'!$F9,Assumptions!$B$3:$B$103,'non-road'!$D9)/SUMIF(Assumptions!$G$3:$G$103,'non-road'!$F9,Assumptions!CF$3:CF$103)</f>
        <v>0</v>
      </c>
      <c r="AJ9" s="39">
        <f ca="1">SUMIFS(Assumptions!CG$3:CG$103,Assumptions!$G$3:$G$103,'non-road'!$F9,Assumptions!$B$3:$B$103,'non-road'!$D9)/SUMIF(Assumptions!$G$3:$G$103,'non-road'!$F9,Assumptions!CG$3:CG$103)</f>
        <v>0</v>
      </c>
      <c r="AK9" s="39">
        <f ca="1">SUMIFS(Assumptions!CH$3:CH$103,Assumptions!$G$3:$G$103,'non-road'!$F9,Assumptions!$B$3:$B$103,'non-road'!$D9)/SUMIF(Assumptions!$G$3:$G$103,'non-road'!$F9,Assumptions!CH$3:CH$103)</f>
        <v>0.0330850973028337</v>
      </c>
      <c r="AL9" s="39">
        <f ca="1">SUMIFS(Assumptions!CI$3:CI$103,Assumptions!$G$3:$G$103,'non-road'!$F9,Assumptions!$B$3:$B$103,'non-road'!$D9)/SUMIF(Assumptions!$G$3:$G$103,'non-road'!$F9,Assumptions!CI$3:CI$103)</f>
        <v>0</v>
      </c>
      <c r="AM9" s="39">
        <f ca="1">SUMIFS(Assumptions!CJ$3:CJ$103,Assumptions!$G$3:$G$103,'non-road'!$F9,Assumptions!$B$3:$B$103,'non-road'!$D9)/SUMIF(Assumptions!$G$3:$G$103,'non-road'!$F9,Assumptions!CJ$3:CJ$103)</f>
        <v>0</v>
      </c>
      <c r="AN9" s="39">
        <f ca="1">SUMIFS(Assumptions!CK$3:CK$103,Assumptions!$G$3:$G$103,'non-road'!$F9,Assumptions!$B$3:$B$103,'non-road'!$D9)/SUMIF(Assumptions!$G$3:$G$103,'non-road'!$F9,Assumptions!CK$3:CK$103)</f>
        <v>0</v>
      </c>
      <c r="AO9" s="39">
        <f ca="1">SUMIFS(Assumptions!CL$3:CL$103,Assumptions!$G$3:$G$103,'non-road'!$F9,Assumptions!$B$3:$B$103,'non-road'!$D9)/SUMIF(Assumptions!$G$3:$G$103,'non-road'!$F9,Assumptions!CL$3:CL$103)</f>
        <v>0</v>
      </c>
      <c r="AP9" s="39" t="e">
        <f ca="1">SUMIFS(Assumptions!CM$3:CM$103,Assumptions!$G$3:$G$103,'non-road'!$F9,Assumptions!$B$3:$B$103,'non-road'!$D9)/SUMIF(Assumptions!$G$3:$G$103,'non-road'!$F9,Assumptions!CM$3:CM$103)</f>
        <v>#DIV/0!</v>
      </c>
      <c r="AQ9" s="39" t="e">
        <f ca="1">SUMIFS(Assumptions!CN$3:CN$103,Assumptions!$G$3:$G$103,'non-road'!$F9,Assumptions!$B$3:$B$103,'non-road'!$D9)/SUMIF(Assumptions!$G$3:$G$103,'non-road'!$F9,Assumptions!CN$3:CN$103)</f>
        <v>#DIV/0!</v>
      </c>
      <c r="AR9" s="39" t="e">
        <f ca="1">SUMIFS(Assumptions!CO$3:CO$103,Assumptions!$G$3:$G$103,'non-road'!$F9,Assumptions!$B$3:$B$103,'non-road'!$D9)/SUMIF(Assumptions!$G$3:$G$103,'non-road'!$F9,Assumptions!CO$3:CO$103)</f>
        <v>#DIV/0!</v>
      </c>
      <c r="AS9" s="39" t="e">
        <f ca="1">SUMIFS(Assumptions!CP$3:CP$103,Assumptions!$G$3:$G$103,'non-road'!$F9,Assumptions!$B$3:$B$103,'non-road'!$D9)/SUMIF(Assumptions!$G$3:$G$103,'non-road'!$F9,Assumptions!CP$3:CP$103)</f>
        <v>#DIV/0!</v>
      </c>
      <c r="AT9" s="39" t="e">
        <f ca="1">SUMIFS(Assumptions!CQ$3:CQ$103,Assumptions!$G$3:$G$103,'non-road'!$F9,Assumptions!$B$3:$B$103,'non-road'!$D9)/SUMIF(Assumptions!$G$3:$G$103,'non-road'!$F9,Assumptions!CQ$3:CQ$103)</f>
        <v>#DIV/0!</v>
      </c>
      <c r="AU9" s="39" t="e">
        <f ca="1">SUMIFS(Assumptions!CR$3:CR$103,Assumptions!$G$3:$G$103,'non-road'!$F9,Assumptions!$B$3:$B$103,'non-road'!$D9)/SUMIF(Assumptions!$G$3:$G$103,'non-road'!$F9,Assumptions!CR$3:CR$103)</f>
        <v>#DIV/0!</v>
      </c>
      <c r="AV9" s="39" t="e">
        <f ca="1">SUMIFS(Assumptions!CS$3:CS$103,Assumptions!$G$3:$G$103,'non-road'!$F9,Assumptions!$B$3:$B$103,'non-road'!$D9)/SUMIF(Assumptions!$G$3:$G$103,'non-road'!$F9,Assumptions!CS$3:CS$103)</f>
        <v>#DIV/0!</v>
      </c>
      <c r="AW9" s="39" t="e">
        <f ca="1">SUMIFS(Assumptions!CT$3:CT$103,Assumptions!$G$3:$G$103,'non-road'!$F9,Assumptions!$B$3:$B$103,'non-road'!$D9)/SUMIF(Assumptions!$G$3:$G$103,'non-road'!$F9,Assumptions!CT$3:CT$103)</f>
        <v>#DIV/0!</v>
      </c>
      <c r="AX9" s="39" t="e">
        <f ca="1">SUMIFS(Assumptions!CU$3:CU$103,Assumptions!$G$3:$G$103,'non-road'!$F9,Assumptions!$B$3:$B$103,'non-road'!$D9)/SUMIF(Assumptions!$G$3:$G$103,'non-road'!$F9,Assumptions!CU$3:CU$103)</f>
        <v>#DIV/0!</v>
      </c>
      <c r="AY9" s="39" t="e">
        <f ca="1">SUMIFS(Assumptions!CV$3:CV$103,Assumptions!$G$3:$G$103,'non-road'!$F9,Assumptions!$B$3:$B$103,'non-road'!$D9)/SUMIF(Assumptions!$G$3:$G$103,'non-road'!$F9,Assumptions!CV$3:CV$103)</f>
        <v>#DIV/0!</v>
      </c>
      <c r="AZ9" s="39" t="e">
        <f ca="1">SUMIFS(Assumptions!CW$3:CW$103,Assumptions!$G$3:$G$103,'non-road'!$F9,Assumptions!$B$3:$B$103,'non-road'!$D9)/SUMIF(Assumptions!$G$3:$G$103,'non-road'!$F9,Assumptions!CW$3:CW$103)</f>
        <v>#DIV/0!</v>
      </c>
      <c r="BA9" s="40"/>
      <c r="BB9" s="39"/>
      <c r="BC9" s="39"/>
      <c r="BD9" s="38" t="str">
        <f t="shared" si="50"/>
        <v>\I:</v>
      </c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8"/>
      <c r="DL9" s="38"/>
      <c r="DM9" s="38"/>
      <c r="DN9" s="38"/>
      <c r="DO9" s="38"/>
      <c r="DP9" s="38"/>
      <c r="DQ9" s="38"/>
      <c r="DR9" s="38"/>
      <c r="DS9" s="38"/>
      <c r="DT9" s="38"/>
      <c r="DU9" s="38"/>
      <c r="DV9" s="38"/>
      <c r="DW9" s="38"/>
      <c r="DX9" s="38"/>
      <c r="DY9" s="38"/>
      <c r="DZ9" s="38"/>
      <c r="EA9" s="38"/>
      <c r="EB9" s="38"/>
      <c r="EC9" s="38"/>
      <c r="ED9" s="38"/>
      <c r="EE9" s="38"/>
      <c r="EF9" s="38"/>
      <c r="EG9" s="38"/>
      <c r="EH9" s="38"/>
      <c r="EI9" s="38"/>
      <c r="EJ9" s="38"/>
      <c r="EK9" s="38"/>
      <c r="EL9" s="38"/>
      <c r="EM9" s="38"/>
      <c r="EN9" s="38"/>
      <c r="EO9" s="38"/>
      <c r="EP9" s="38"/>
      <c r="EQ9" s="38"/>
      <c r="ER9" s="38"/>
      <c r="ES9" s="38"/>
      <c r="ET9" s="38"/>
      <c r="EU9" s="38"/>
      <c r="EV9" s="38"/>
      <c r="EW9" s="38" t="str">
        <f t="shared" si="48"/>
        <v>\I:</v>
      </c>
      <c r="EX9" s="38" t="str">
        <f t="shared" si="47"/>
        <v/>
      </c>
      <c r="EY9" s="38" t="s">
        <v>133</v>
      </c>
      <c r="EZ9" s="38" t="s">
        <v>85</v>
      </c>
      <c r="FA9" s="38" t="s">
        <v>440</v>
      </c>
      <c r="FB9" s="38"/>
      <c r="FC9" s="38"/>
      <c r="FD9" s="38"/>
    </row>
    <row r="10" spans="1:160">
      <c r="A10" s="38" t="s">
        <v>446</v>
      </c>
      <c r="B10" s="38"/>
      <c r="C10" s="38" t="str">
        <f t="shared" si="49"/>
        <v/>
      </c>
      <c r="D10" s="38" t="s">
        <v>64</v>
      </c>
      <c r="E10" s="38" t="s">
        <v>445</v>
      </c>
      <c r="F10" s="38" t="s">
        <v>194</v>
      </c>
      <c r="G10" s="39">
        <f ca="1">SUMIFS(Assumptions!BD$3:BD$103,Assumptions!$G$3:$G$103,'non-road'!$F10,Assumptions!$B$3:$B$103,'non-road'!$D10)/SUMIF(Assumptions!$G$3:$G$103,'non-road'!$F10,Assumptions!BD$3:BD$103)</f>
        <v>0.325718220043482</v>
      </c>
      <c r="H10" s="39">
        <f ca="1">SUMIFS(Assumptions!BE$3:BE$103,Assumptions!$G$3:$G$103,'non-road'!$F10,Assumptions!$B$3:$B$103,'non-road'!$D10)/SUMIF(Assumptions!$G$3:$G$103,'non-road'!$F10,Assumptions!BE$3:BE$103)</f>
        <v>0.00508505942050479</v>
      </c>
      <c r="I10" s="39">
        <f ca="1">SUMIFS(Assumptions!BF$3:BF$103,Assumptions!$G$3:$G$103,'non-road'!$F10,Assumptions!$B$3:$B$103,'non-road'!$D10)/SUMIF(Assumptions!$G$3:$G$103,'non-road'!$F10,Assumptions!BF$3:BF$103)</f>
        <v>0.0948524518210555</v>
      </c>
      <c r="J10" s="39">
        <f ca="1">SUMIFS(Assumptions!BG$3:BG$103,Assumptions!$G$3:$G$103,'non-road'!$F10,Assumptions!$B$3:$B$103,'non-road'!$D10)/SUMIF(Assumptions!$G$3:$G$103,'non-road'!$F10,Assumptions!BG$3:BG$103)</f>
        <v>0</v>
      </c>
      <c r="K10" s="39">
        <f ca="1">SUMIFS(Assumptions!BH$3:BH$103,Assumptions!$G$3:$G$103,'non-road'!$F10,Assumptions!$B$3:$B$103,'non-road'!$D10)/SUMIF(Assumptions!$G$3:$G$103,'non-road'!$F10,Assumptions!BH$3:BH$103)</f>
        <v>0.0157256537299127</v>
      </c>
      <c r="L10" s="39">
        <f ca="1">SUMIFS(Assumptions!BI$3:BI$103,Assumptions!$G$3:$G$103,'non-road'!$F10,Assumptions!$B$3:$B$103,'non-road'!$D10)/SUMIF(Assumptions!$G$3:$G$103,'non-road'!$F10,Assumptions!BI$3:BI$103)</f>
        <v>0</v>
      </c>
      <c r="M10" s="39">
        <f ca="1">SUMIFS(Assumptions!BJ$3:BJ$103,Assumptions!$G$3:$G$103,'non-road'!$F10,Assumptions!$B$3:$B$103,'non-road'!$D10)/SUMIF(Assumptions!$G$3:$G$103,'non-road'!$F10,Assumptions!BJ$3:BJ$103)</f>
        <v>0.0110842519308172</v>
      </c>
      <c r="N10" s="39">
        <f ca="1">SUMIFS(Assumptions!BK$3:BK$103,Assumptions!$G$3:$G$103,'non-road'!$F10,Assumptions!$B$3:$B$103,'non-road'!$D10)/SUMIF(Assumptions!$G$3:$G$103,'non-road'!$F10,Assumptions!BK$3:BK$103)</f>
        <v>0.506300255336484</v>
      </c>
      <c r="O10" s="39">
        <f ca="1">SUMIFS(Assumptions!BL$3:BL$103,Assumptions!$G$3:$G$103,'non-road'!$F10,Assumptions!$B$3:$B$103,'non-road'!$D10)/SUMIF(Assumptions!$G$3:$G$103,'non-road'!$F10,Assumptions!BL$3:BL$103)</f>
        <v>0.166603910768661</v>
      </c>
      <c r="P10" s="39">
        <f ca="1">SUMIFS(Assumptions!BM$3:BM$103,Assumptions!$G$3:$G$103,'non-road'!$F10,Assumptions!$B$3:$B$103,'non-road'!$D10)/SUMIF(Assumptions!$G$3:$G$103,'non-road'!$F10,Assumptions!BM$3:BM$103)</f>
        <v>0.192841000568274</v>
      </c>
      <c r="Q10" s="39">
        <f ca="1">SUMIFS(Assumptions!BN$3:BN$103,Assumptions!$G$3:$G$103,'non-road'!$F10,Assumptions!$B$3:$B$103,'non-road'!$D10)/SUMIF(Assumptions!$G$3:$G$103,'non-road'!$F10,Assumptions!BN$3:BN$103)</f>
        <v>0</v>
      </c>
      <c r="R10" s="39">
        <f ca="1">SUMIFS(Assumptions!BO$3:BO$103,Assumptions!$G$3:$G$103,'non-road'!$F10,Assumptions!$B$3:$B$103,'non-road'!$D10)/SUMIF(Assumptions!$G$3:$G$103,'non-road'!$F10,Assumptions!BO$3:BO$103)</f>
        <v>0</v>
      </c>
      <c r="S10" s="39">
        <f ca="1">SUMIFS(Assumptions!BP$3:BP$103,Assumptions!$G$3:$G$103,'non-road'!$F10,Assumptions!$B$3:$B$103,'non-road'!$D10)/SUMIF(Assumptions!$G$3:$G$103,'non-road'!$F10,Assumptions!BP$3:BP$103)</f>
        <v>0</v>
      </c>
      <c r="T10" s="39">
        <f ca="1">SUMIFS(Assumptions!BQ$3:BQ$103,Assumptions!$G$3:$G$103,'non-road'!$F10,Assumptions!$B$3:$B$103,'non-road'!$D10)/SUMIF(Assumptions!$G$3:$G$103,'non-road'!$F10,Assumptions!BQ$3:BQ$103)</f>
        <v>0.116634104174982</v>
      </c>
      <c r="U10" s="39" t="e">
        <f ca="1">SUMIFS(Assumptions!BR$3:BR$103,Assumptions!$G$3:$G$103,'non-road'!$F10,Assumptions!$B$3:$B$103,'non-road'!$D10)/SUMIF(Assumptions!$G$3:$G$103,'non-road'!$F10,Assumptions!BR$3:BR$103)</f>
        <v>#DIV/0!</v>
      </c>
      <c r="V10" s="39">
        <f ca="1">SUMIFS(Assumptions!BS$3:BS$103,Assumptions!$G$3:$G$103,'non-road'!$F10,Assumptions!$B$3:$B$103,'non-road'!$D10)/SUMIF(Assumptions!$G$3:$G$103,'non-road'!$F10,Assumptions!BS$3:BS$103)</f>
        <v>0.27333369532161</v>
      </c>
      <c r="W10" s="39">
        <f ca="1">SUMIFS(Assumptions!BT$3:BT$103,Assumptions!$G$3:$G$103,'non-road'!$F10,Assumptions!$B$3:$B$103,'non-road'!$D10)/SUMIF(Assumptions!$G$3:$G$103,'non-road'!$F10,Assumptions!BT$3:BT$103)</f>
        <v>0</v>
      </c>
      <c r="X10" s="39">
        <f ca="1">SUMIFS(Assumptions!BU$3:BU$103,Assumptions!$G$3:$G$103,'non-road'!$F10,Assumptions!$B$3:$B$103,'non-road'!$D10)/SUMIF(Assumptions!$G$3:$G$103,'non-road'!$F10,Assumptions!BU$3:BU$103)</f>
        <v>0</v>
      </c>
      <c r="Y10" s="39">
        <f ca="1">SUMIFS(Assumptions!BV$3:BV$103,Assumptions!$G$3:$G$103,'non-road'!$F10,Assumptions!$B$3:$B$103,'non-road'!$D10)/SUMIF(Assumptions!$G$3:$G$103,'non-road'!$F10,Assumptions!BV$3:BV$103)</f>
        <v>0</v>
      </c>
      <c r="Z10" s="39">
        <f ca="1">SUMIFS(Assumptions!BW$3:BW$103,Assumptions!$G$3:$G$103,'non-road'!$F10,Assumptions!$B$3:$B$103,'non-road'!$D10)/SUMIF(Assumptions!$G$3:$G$103,'non-road'!$F10,Assumptions!BW$3:BW$103)</f>
        <v>0.141040117710812</v>
      </c>
      <c r="AA10" s="39">
        <f ca="1">SUMIFS(Assumptions!BX$3:BX$103,Assumptions!$G$3:$G$103,'non-road'!$F10,Assumptions!$B$3:$B$103,'non-road'!$D10)/SUMIF(Assumptions!$G$3:$G$103,'non-road'!$F10,Assumptions!BX$3:BX$103)</f>
        <v>0</v>
      </c>
      <c r="AB10" s="39">
        <f ca="1">SUMIFS(Assumptions!BY$3:BY$103,Assumptions!$G$3:$G$103,'non-road'!$F10,Assumptions!$B$3:$B$103,'non-road'!$D10)/SUMIF(Assumptions!$G$3:$G$103,'non-road'!$F10,Assumptions!BY$3:BY$103)</f>
        <v>0</v>
      </c>
      <c r="AC10" s="39">
        <f ca="1">SUMIFS(Assumptions!BZ$3:BZ$103,Assumptions!$G$3:$G$103,'non-road'!$F10,Assumptions!$B$3:$B$103,'non-road'!$D10)/SUMIF(Assumptions!$G$3:$G$103,'non-road'!$F10,Assumptions!BZ$3:BZ$103)</f>
        <v>0</v>
      </c>
      <c r="AD10" s="39">
        <f ca="1">SUMIFS(Assumptions!CA$3:CA$103,Assumptions!$G$3:$G$103,'non-road'!$F10,Assumptions!$B$3:$B$103,'non-road'!$D10)/SUMIF(Assumptions!$G$3:$G$103,'non-road'!$F10,Assumptions!CA$3:CA$103)</f>
        <v>0.26000507403478</v>
      </c>
      <c r="AE10" s="39">
        <f ca="1">SUMIFS(Assumptions!CB$3:CB$103,Assumptions!$G$3:$G$103,'non-road'!$F10,Assumptions!$B$3:$B$103,'non-road'!$D10)/SUMIF(Assumptions!$G$3:$G$103,'non-road'!$F10,Assumptions!CB$3:CB$103)</f>
        <v>0.0385833050674255</v>
      </c>
      <c r="AF10" s="39">
        <f ca="1">SUMIFS(Assumptions!CC$3:CC$103,Assumptions!$G$3:$G$103,'non-road'!$F10,Assumptions!$B$3:$B$103,'non-road'!$D10)/SUMIF(Assumptions!$G$3:$G$103,'non-road'!$F10,Assumptions!CC$3:CC$103)</f>
        <v>0.19853556079576</v>
      </c>
      <c r="AG10" s="39" t="e">
        <f ca="1">SUMIFS(Assumptions!CD$3:CD$103,Assumptions!$G$3:$G$103,'non-road'!$F10,Assumptions!$B$3:$B$103,'non-road'!$D10)/SUMIF(Assumptions!$G$3:$G$103,'non-road'!$F10,Assumptions!CD$3:CD$103)</f>
        <v>#DIV/0!</v>
      </c>
      <c r="AH10" s="39">
        <f ca="1">SUMIFS(Assumptions!CE$3:CE$103,Assumptions!$G$3:$G$103,'non-road'!$F10,Assumptions!$B$3:$B$103,'non-road'!$D10)/SUMIF(Assumptions!$G$3:$G$103,'non-road'!$F10,Assumptions!CE$3:CE$103)</f>
        <v>0.306101511161912</v>
      </c>
      <c r="AI10" s="39">
        <f ca="1">SUMIFS(Assumptions!CF$3:CF$103,Assumptions!$G$3:$G$103,'non-road'!$F10,Assumptions!$B$3:$B$103,'non-road'!$D10)/SUMIF(Assumptions!$G$3:$G$103,'non-road'!$F10,Assumptions!CF$3:CF$103)</f>
        <v>0</v>
      </c>
      <c r="AJ10" s="39">
        <f ca="1">SUMIFS(Assumptions!CG$3:CG$103,Assumptions!$G$3:$G$103,'non-road'!$F10,Assumptions!$B$3:$B$103,'non-road'!$D10)/SUMIF(Assumptions!$G$3:$G$103,'non-road'!$F10,Assumptions!CG$3:CG$103)</f>
        <v>0</v>
      </c>
      <c r="AK10" s="39">
        <f ca="1">SUMIFS(Assumptions!CH$3:CH$103,Assumptions!$G$3:$G$103,'non-road'!$F10,Assumptions!$B$3:$B$103,'non-road'!$D10)/SUMIF(Assumptions!$G$3:$G$103,'non-road'!$F10,Assumptions!CH$3:CH$103)</f>
        <v>0</v>
      </c>
      <c r="AL10" s="39">
        <f ca="1">SUMIFS(Assumptions!CI$3:CI$103,Assumptions!$G$3:$G$103,'non-road'!$F10,Assumptions!$B$3:$B$103,'non-road'!$D10)/SUMIF(Assumptions!$G$3:$G$103,'non-road'!$F10,Assumptions!CI$3:CI$103)</f>
        <v>0.11999925000401</v>
      </c>
      <c r="AM10" s="39">
        <f ca="1">SUMIFS(Assumptions!CJ$3:CJ$103,Assumptions!$G$3:$G$103,'non-road'!$F10,Assumptions!$B$3:$B$103,'non-road'!$D10)/SUMIF(Assumptions!$G$3:$G$103,'non-road'!$F10,Assumptions!CJ$3:CJ$103)</f>
        <v>0</v>
      </c>
      <c r="AN10" s="39">
        <f ca="1">SUMIFS(Assumptions!CK$3:CK$103,Assumptions!$G$3:$G$103,'non-road'!$F10,Assumptions!$B$3:$B$103,'non-road'!$D10)/SUMIF(Assumptions!$G$3:$G$103,'non-road'!$F10,Assumptions!CK$3:CK$103)</f>
        <v>0.728452644563828</v>
      </c>
      <c r="AO10" s="39">
        <f ca="1">SUMIFS(Assumptions!CL$3:CL$103,Assumptions!$G$3:$G$103,'non-road'!$F10,Assumptions!$B$3:$B$103,'non-road'!$D10)/SUMIF(Assumptions!$G$3:$G$103,'non-road'!$F10,Assumptions!CL$3:CL$103)</f>
        <v>0.193098658850042</v>
      </c>
      <c r="AP10" s="39" t="e">
        <f ca="1">SUMIFS(Assumptions!CM$3:CM$103,Assumptions!$G$3:$G$103,'non-road'!$F10,Assumptions!$B$3:$B$103,'non-road'!$D10)/SUMIF(Assumptions!$G$3:$G$103,'non-road'!$F10,Assumptions!CM$3:CM$103)</f>
        <v>#DIV/0!</v>
      </c>
      <c r="AQ10" s="39" t="e">
        <f ca="1">SUMIFS(Assumptions!CN$3:CN$103,Assumptions!$G$3:$G$103,'non-road'!$F10,Assumptions!$B$3:$B$103,'non-road'!$D10)/SUMIF(Assumptions!$G$3:$G$103,'non-road'!$F10,Assumptions!CN$3:CN$103)</f>
        <v>#DIV/0!</v>
      </c>
      <c r="AR10" s="39" t="e">
        <f ca="1">SUMIFS(Assumptions!CO$3:CO$103,Assumptions!$G$3:$G$103,'non-road'!$F10,Assumptions!$B$3:$B$103,'non-road'!$D10)/SUMIF(Assumptions!$G$3:$G$103,'non-road'!$F10,Assumptions!CO$3:CO$103)</f>
        <v>#DIV/0!</v>
      </c>
      <c r="AS10" s="39" t="e">
        <f ca="1">SUMIFS(Assumptions!CP$3:CP$103,Assumptions!$G$3:$G$103,'non-road'!$F10,Assumptions!$B$3:$B$103,'non-road'!$D10)/SUMIF(Assumptions!$G$3:$G$103,'non-road'!$F10,Assumptions!CP$3:CP$103)</f>
        <v>#DIV/0!</v>
      </c>
      <c r="AT10" s="39" t="e">
        <f ca="1">SUMIFS(Assumptions!CQ$3:CQ$103,Assumptions!$G$3:$G$103,'non-road'!$F10,Assumptions!$B$3:$B$103,'non-road'!$D10)/SUMIF(Assumptions!$G$3:$G$103,'non-road'!$F10,Assumptions!CQ$3:CQ$103)</f>
        <v>#DIV/0!</v>
      </c>
      <c r="AU10" s="39" t="e">
        <f ca="1">SUMIFS(Assumptions!CR$3:CR$103,Assumptions!$G$3:$G$103,'non-road'!$F10,Assumptions!$B$3:$B$103,'non-road'!$D10)/SUMIF(Assumptions!$G$3:$G$103,'non-road'!$F10,Assumptions!CR$3:CR$103)</f>
        <v>#DIV/0!</v>
      </c>
      <c r="AV10" s="39" t="e">
        <f ca="1">SUMIFS(Assumptions!CS$3:CS$103,Assumptions!$G$3:$G$103,'non-road'!$F10,Assumptions!$B$3:$B$103,'non-road'!$D10)/SUMIF(Assumptions!$G$3:$G$103,'non-road'!$F10,Assumptions!CS$3:CS$103)</f>
        <v>#DIV/0!</v>
      </c>
      <c r="AW10" s="39" t="e">
        <f ca="1">SUMIFS(Assumptions!CT$3:CT$103,Assumptions!$G$3:$G$103,'non-road'!$F10,Assumptions!$B$3:$B$103,'non-road'!$D10)/SUMIF(Assumptions!$G$3:$G$103,'non-road'!$F10,Assumptions!CT$3:CT$103)</f>
        <v>#DIV/0!</v>
      </c>
      <c r="AX10" s="39" t="e">
        <f ca="1">SUMIFS(Assumptions!CU$3:CU$103,Assumptions!$G$3:$G$103,'non-road'!$F10,Assumptions!$B$3:$B$103,'non-road'!$D10)/SUMIF(Assumptions!$G$3:$G$103,'non-road'!$F10,Assumptions!CU$3:CU$103)</f>
        <v>#DIV/0!</v>
      </c>
      <c r="AY10" s="39" t="e">
        <f ca="1">SUMIFS(Assumptions!CV$3:CV$103,Assumptions!$G$3:$G$103,'non-road'!$F10,Assumptions!$B$3:$B$103,'non-road'!$D10)/SUMIF(Assumptions!$G$3:$G$103,'non-road'!$F10,Assumptions!CV$3:CV$103)</f>
        <v>#DIV/0!</v>
      </c>
      <c r="AZ10" s="39" t="e">
        <f ca="1">SUMIFS(Assumptions!CW$3:CW$103,Assumptions!$G$3:$G$103,'non-road'!$F10,Assumptions!$B$3:$B$103,'non-road'!$D10)/SUMIF(Assumptions!$G$3:$G$103,'non-road'!$F10,Assumptions!CW$3:CW$103)</f>
        <v>#DIV/0!</v>
      </c>
      <c r="BA10" s="40"/>
      <c r="BB10" s="39"/>
      <c r="BC10" s="39"/>
      <c r="BD10" s="38" t="str">
        <f t="shared" si="50"/>
        <v>\I:</v>
      </c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8"/>
      <c r="CZ10" s="38"/>
      <c r="EV10" s="38"/>
      <c r="EW10" s="38" t="str">
        <f t="shared" si="48"/>
        <v>DMD</v>
      </c>
      <c r="EX10" s="38" t="str">
        <f t="shared" ref="EX10:EX16" si="51">C11</f>
        <v>TTP_Generic</v>
      </c>
      <c r="EY10" s="38" t="s">
        <v>447</v>
      </c>
      <c r="EZ10" s="38" t="s">
        <v>85</v>
      </c>
      <c r="FA10" s="38" t="s">
        <v>440</v>
      </c>
      <c r="FB10" s="38"/>
      <c r="FC10" s="38"/>
      <c r="FD10" s="38"/>
    </row>
    <row r="11" spans="1:160">
      <c r="A11" s="38" t="s">
        <v>441</v>
      </c>
      <c r="B11" s="38"/>
      <c r="C11" s="38" t="str">
        <f t="shared" si="49"/>
        <v>TTP_Generic</v>
      </c>
      <c r="D11" s="38" t="s">
        <v>56</v>
      </c>
      <c r="E11" s="38"/>
      <c r="F11" s="38" t="s">
        <v>198</v>
      </c>
      <c r="G11" s="39">
        <f ca="1">SUMIFS(Assumptions!BD$3:BD$103,Assumptions!$G$3:$G$103,'non-road'!$F11,Assumptions!$B$3:$B$103,'non-road'!$D11)/SUMIF(Assumptions!$G$3:$G$103,'non-road'!$F11,Assumptions!BD$3:BD$103)</f>
        <v>0</v>
      </c>
      <c r="H11" s="39">
        <f ca="1">SUMIFS(Assumptions!BE$3:BE$103,Assumptions!$G$3:$G$103,'non-road'!$F11,Assumptions!$B$3:$B$103,'non-road'!$D11)/SUMIF(Assumptions!$G$3:$G$103,'non-road'!$F11,Assumptions!BE$3:BE$103)</f>
        <v>0.00624346583625537</v>
      </c>
      <c r="I11" s="39">
        <f ca="1">SUMIFS(Assumptions!BF$3:BF$103,Assumptions!$G$3:$G$103,'non-road'!$F11,Assumptions!$B$3:$B$103,'non-road'!$D11)/SUMIF(Assumptions!$G$3:$G$103,'non-road'!$F11,Assumptions!BF$3:BF$103)</f>
        <v>0</v>
      </c>
      <c r="J11" s="39">
        <f ca="1">SUMIFS(Assumptions!BG$3:BG$103,Assumptions!$G$3:$G$103,'non-road'!$F11,Assumptions!$B$3:$B$103,'non-road'!$D11)/SUMIF(Assumptions!$G$3:$G$103,'non-road'!$F11,Assumptions!BG$3:BG$103)</f>
        <v>0</v>
      </c>
      <c r="K11" s="39">
        <f ca="1">SUMIFS(Assumptions!BH$3:BH$103,Assumptions!$G$3:$G$103,'non-road'!$F11,Assumptions!$B$3:$B$103,'non-road'!$D11)/SUMIF(Assumptions!$G$3:$G$103,'non-road'!$F11,Assumptions!BH$3:BH$103)</f>
        <v>0</v>
      </c>
      <c r="L11" s="39">
        <f ca="1">SUMIFS(Assumptions!BI$3:BI$103,Assumptions!$G$3:$G$103,'non-road'!$F11,Assumptions!$B$3:$B$103,'non-road'!$D11)/SUMIF(Assumptions!$G$3:$G$103,'non-road'!$F11,Assumptions!BI$3:BI$103)</f>
        <v>0</v>
      </c>
      <c r="M11" s="39">
        <f ca="1">SUMIFS(Assumptions!BJ$3:BJ$103,Assumptions!$G$3:$G$103,'non-road'!$F11,Assumptions!$B$3:$B$103,'non-road'!$D11)/SUMIF(Assumptions!$G$3:$G$103,'non-road'!$F11,Assumptions!BJ$3:BJ$103)</f>
        <v>0</v>
      </c>
      <c r="N11" s="39">
        <f ca="1">SUMIFS(Assumptions!BK$3:BK$103,Assumptions!$G$3:$G$103,'non-road'!$F11,Assumptions!$B$3:$B$103,'non-road'!$D11)/SUMIF(Assumptions!$G$3:$G$103,'non-road'!$F11,Assumptions!BK$3:BK$103)</f>
        <v>0</v>
      </c>
      <c r="O11" s="39">
        <f ca="1">SUMIFS(Assumptions!BL$3:BL$103,Assumptions!$G$3:$G$103,'non-road'!$F11,Assumptions!$B$3:$B$103,'non-road'!$D11)/SUMIF(Assumptions!$G$3:$G$103,'non-road'!$F11,Assumptions!BL$3:BL$103)</f>
        <v>0.000540812661862017</v>
      </c>
      <c r="P11" s="39">
        <f ca="1">SUMIFS(Assumptions!BM$3:BM$103,Assumptions!$G$3:$G$103,'non-road'!$F11,Assumptions!$B$3:$B$103,'non-road'!$D11)/SUMIF(Assumptions!$G$3:$G$103,'non-road'!$F11,Assumptions!BM$3:BM$103)</f>
        <v>0.000371968835542332</v>
      </c>
      <c r="Q11" s="39">
        <f ca="1">SUMIFS(Assumptions!BN$3:BN$103,Assumptions!$G$3:$G$103,'non-road'!$F11,Assumptions!$B$3:$B$103,'non-road'!$D11)/SUMIF(Assumptions!$G$3:$G$103,'non-road'!$F11,Assumptions!BN$3:BN$103)</f>
        <v>0</v>
      </c>
      <c r="R11" s="39">
        <f ca="1">SUMIFS(Assumptions!BO$3:BO$103,Assumptions!$G$3:$G$103,'non-road'!$F11,Assumptions!$B$3:$B$103,'non-road'!$D11)/SUMIF(Assumptions!$G$3:$G$103,'non-road'!$F11,Assumptions!BO$3:BO$103)</f>
        <v>0</v>
      </c>
      <c r="S11" s="39">
        <f ca="1">SUMIFS(Assumptions!BP$3:BP$103,Assumptions!$G$3:$G$103,'non-road'!$F11,Assumptions!$B$3:$B$103,'non-road'!$D11)/SUMIF(Assumptions!$G$3:$G$103,'non-road'!$F11,Assumptions!BP$3:BP$103)</f>
        <v>0</v>
      </c>
      <c r="T11" s="39">
        <f ca="1">SUMIFS(Assumptions!BQ$3:BQ$103,Assumptions!$G$3:$G$103,'non-road'!$F11,Assumptions!$B$3:$B$103,'non-road'!$D11)/SUMIF(Assumptions!$G$3:$G$103,'non-road'!$F11,Assumptions!BQ$3:BQ$103)</f>
        <v>0</v>
      </c>
      <c r="U11" s="39" t="e">
        <f ca="1">SUMIFS(Assumptions!BR$3:BR$103,Assumptions!$G$3:$G$103,'non-road'!$F11,Assumptions!$B$3:$B$103,'non-road'!$D11)/SUMIF(Assumptions!$G$3:$G$103,'non-road'!$F11,Assumptions!BR$3:BR$103)</f>
        <v>#DIV/0!</v>
      </c>
      <c r="V11" s="39">
        <f ca="1">SUMIFS(Assumptions!BS$3:BS$103,Assumptions!$G$3:$G$103,'non-road'!$F11,Assumptions!$B$3:$B$103,'non-road'!$D11)/SUMIF(Assumptions!$G$3:$G$103,'non-road'!$F11,Assumptions!BS$3:BS$103)</f>
        <v>0</v>
      </c>
      <c r="W11" s="39">
        <f ca="1">SUMIFS(Assumptions!BT$3:BT$103,Assumptions!$G$3:$G$103,'non-road'!$F11,Assumptions!$B$3:$B$103,'non-road'!$D11)/SUMIF(Assumptions!$G$3:$G$103,'non-road'!$F11,Assumptions!BT$3:BT$103)</f>
        <v>0</v>
      </c>
      <c r="X11" s="39">
        <f ca="1">SUMIFS(Assumptions!BU$3:BU$103,Assumptions!$G$3:$G$103,'non-road'!$F11,Assumptions!$B$3:$B$103,'non-road'!$D11)/SUMIF(Assumptions!$G$3:$G$103,'non-road'!$F11,Assumptions!BU$3:BU$103)</f>
        <v>0</v>
      </c>
      <c r="Y11" s="39">
        <f ca="1">SUMIFS(Assumptions!BV$3:BV$103,Assumptions!$G$3:$G$103,'non-road'!$F11,Assumptions!$B$3:$B$103,'non-road'!$D11)/SUMIF(Assumptions!$G$3:$G$103,'non-road'!$F11,Assumptions!BV$3:BV$103)</f>
        <v>0.000499478353307013</v>
      </c>
      <c r="Z11" s="39">
        <f ca="1">SUMIFS(Assumptions!BW$3:BW$103,Assumptions!$G$3:$G$103,'non-road'!$F11,Assumptions!$B$3:$B$103,'non-road'!$D11)/SUMIF(Assumptions!$G$3:$G$103,'non-road'!$F11,Assumptions!BW$3:BW$103)</f>
        <v>0</v>
      </c>
      <c r="AA11" s="39">
        <f ca="1">SUMIFS(Assumptions!BX$3:BX$103,Assumptions!$G$3:$G$103,'non-road'!$F11,Assumptions!$B$3:$B$103,'non-road'!$D11)/SUMIF(Assumptions!$G$3:$G$103,'non-road'!$F11,Assumptions!BX$3:BX$103)</f>
        <v>0</v>
      </c>
      <c r="AB11" s="39">
        <f ca="1">SUMIFS(Assumptions!BY$3:BY$103,Assumptions!$G$3:$G$103,'non-road'!$F11,Assumptions!$B$3:$B$103,'non-road'!$D11)/SUMIF(Assumptions!$G$3:$G$103,'non-road'!$F11,Assumptions!BY$3:BY$103)</f>
        <v>0</v>
      </c>
      <c r="AC11" s="39">
        <f ca="1">SUMIFS(Assumptions!BZ$3:BZ$103,Assumptions!$G$3:$G$103,'non-road'!$F11,Assumptions!$B$3:$B$103,'non-road'!$D11)/SUMIF(Assumptions!$G$3:$G$103,'non-road'!$F11,Assumptions!BZ$3:BZ$103)</f>
        <v>0</v>
      </c>
      <c r="AD11" s="39">
        <f ca="1">SUMIFS(Assumptions!CA$3:CA$103,Assumptions!$G$3:$G$103,'non-road'!$F11,Assumptions!$B$3:$B$103,'non-road'!$D11)/SUMIF(Assumptions!$G$3:$G$103,'non-road'!$F11,Assumptions!CA$3:CA$103)</f>
        <v>0</v>
      </c>
      <c r="AE11" s="39">
        <f ca="1">SUMIFS(Assumptions!CB$3:CB$103,Assumptions!$G$3:$G$103,'non-road'!$F11,Assumptions!$B$3:$B$103,'non-road'!$D11)/SUMIF(Assumptions!$G$3:$G$103,'non-road'!$F11,Assumptions!CB$3:CB$103)</f>
        <v>0.00454657824089503</v>
      </c>
      <c r="AF11" s="39">
        <f ca="1">SUMIFS(Assumptions!CC$3:CC$103,Assumptions!$G$3:$G$103,'non-road'!$F11,Assumptions!$B$3:$B$103,'non-road'!$D11)/SUMIF(Assumptions!$G$3:$G$103,'non-road'!$F11,Assumptions!CC$3:CC$103)</f>
        <v>0.000281811698746213</v>
      </c>
      <c r="AG11" s="39" t="e">
        <f ca="1">SUMIFS(Assumptions!CD$3:CD$103,Assumptions!$G$3:$G$103,'non-road'!$F11,Assumptions!$B$3:$B$103,'non-road'!$D11)/SUMIF(Assumptions!$G$3:$G$103,'non-road'!$F11,Assumptions!CD$3:CD$103)</f>
        <v>#DIV/0!</v>
      </c>
      <c r="AH11" s="39">
        <f ca="1">SUMIFS(Assumptions!CE$3:CE$103,Assumptions!$G$3:$G$103,'non-road'!$F11,Assumptions!$B$3:$B$103,'non-road'!$D11)/SUMIF(Assumptions!$G$3:$G$103,'non-road'!$F11,Assumptions!CE$3:CE$103)</f>
        <v>0</v>
      </c>
      <c r="AI11" s="39">
        <f ca="1">SUMIFS(Assumptions!CF$3:CF$103,Assumptions!$G$3:$G$103,'non-road'!$F11,Assumptions!$B$3:$B$103,'non-road'!$D11)/SUMIF(Assumptions!$G$3:$G$103,'non-road'!$F11,Assumptions!CF$3:CF$103)</f>
        <v>0</v>
      </c>
      <c r="AJ11" s="39">
        <f ca="1">SUMIFS(Assumptions!CG$3:CG$103,Assumptions!$G$3:$G$103,'non-road'!$F11,Assumptions!$B$3:$B$103,'non-road'!$D11)/SUMIF(Assumptions!$G$3:$G$103,'non-road'!$F11,Assumptions!CG$3:CG$103)</f>
        <v>0</v>
      </c>
      <c r="AK11" s="39">
        <f ca="1">SUMIFS(Assumptions!CH$3:CH$103,Assumptions!$G$3:$G$103,'non-road'!$F11,Assumptions!$B$3:$B$103,'non-road'!$D11)/SUMIF(Assumptions!$G$3:$G$103,'non-road'!$F11,Assumptions!CH$3:CH$103)</f>
        <v>0</v>
      </c>
      <c r="AL11" s="39">
        <f ca="1">SUMIFS(Assumptions!CI$3:CI$103,Assumptions!$G$3:$G$103,'non-road'!$F11,Assumptions!$B$3:$B$103,'non-road'!$D11)/SUMIF(Assumptions!$G$3:$G$103,'non-road'!$F11,Assumptions!CI$3:CI$103)</f>
        <v>0</v>
      </c>
      <c r="AM11" s="39">
        <f ca="1">SUMIFS(Assumptions!CJ$3:CJ$103,Assumptions!$G$3:$G$103,'non-road'!$F11,Assumptions!$B$3:$B$103,'non-road'!$D11)/SUMIF(Assumptions!$G$3:$G$103,'non-road'!$F11,Assumptions!CJ$3:CJ$103)</f>
        <v>0</v>
      </c>
      <c r="AN11" s="39">
        <f ca="1">SUMIFS(Assumptions!CK$3:CK$103,Assumptions!$G$3:$G$103,'non-road'!$F11,Assumptions!$B$3:$B$103,'non-road'!$D11)/SUMIF(Assumptions!$G$3:$G$103,'non-road'!$F11,Assumptions!CK$3:CK$103)</f>
        <v>0.00253721240384647</v>
      </c>
      <c r="AO11" s="39">
        <f ca="1">SUMIFS(Assumptions!CL$3:CL$103,Assumptions!$G$3:$G$103,'non-road'!$F11,Assumptions!$B$3:$B$103,'non-road'!$D11)/SUMIF(Assumptions!$G$3:$G$103,'non-road'!$F11,Assumptions!CL$3:CL$103)</f>
        <v>0</v>
      </c>
      <c r="AP11" s="39" t="e">
        <f ca="1">SUMIFS(Assumptions!CM$3:CM$103,Assumptions!$G$3:$G$103,'non-road'!$F11,Assumptions!$B$3:$B$103,'non-road'!$D11)/SUMIF(Assumptions!$G$3:$G$103,'non-road'!$F11,Assumptions!CM$3:CM$103)</f>
        <v>#DIV/0!</v>
      </c>
      <c r="AQ11" s="39" t="e">
        <f ca="1">SUMIFS(Assumptions!CN$3:CN$103,Assumptions!$G$3:$G$103,'non-road'!$F11,Assumptions!$B$3:$B$103,'non-road'!$D11)/SUMIF(Assumptions!$G$3:$G$103,'non-road'!$F11,Assumptions!CN$3:CN$103)</f>
        <v>#DIV/0!</v>
      </c>
      <c r="AR11" s="39" t="e">
        <f ca="1">SUMIFS(Assumptions!CO$3:CO$103,Assumptions!$G$3:$G$103,'non-road'!$F11,Assumptions!$B$3:$B$103,'non-road'!$D11)/SUMIF(Assumptions!$G$3:$G$103,'non-road'!$F11,Assumptions!CO$3:CO$103)</f>
        <v>#DIV/0!</v>
      </c>
      <c r="AS11" s="39" t="e">
        <f ca="1">SUMIFS(Assumptions!CP$3:CP$103,Assumptions!$G$3:$G$103,'non-road'!$F11,Assumptions!$B$3:$B$103,'non-road'!$D11)/SUMIF(Assumptions!$G$3:$G$103,'non-road'!$F11,Assumptions!CP$3:CP$103)</f>
        <v>#DIV/0!</v>
      </c>
      <c r="AT11" s="39" t="e">
        <f ca="1">SUMIFS(Assumptions!CQ$3:CQ$103,Assumptions!$G$3:$G$103,'non-road'!$F11,Assumptions!$B$3:$B$103,'non-road'!$D11)/SUMIF(Assumptions!$G$3:$G$103,'non-road'!$F11,Assumptions!CQ$3:CQ$103)</f>
        <v>#DIV/0!</v>
      </c>
      <c r="AU11" s="39" t="e">
        <f ca="1">SUMIFS(Assumptions!CR$3:CR$103,Assumptions!$G$3:$G$103,'non-road'!$F11,Assumptions!$B$3:$B$103,'non-road'!$D11)/SUMIF(Assumptions!$G$3:$G$103,'non-road'!$F11,Assumptions!CR$3:CR$103)</f>
        <v>#DIV/0!</v>
      </c>
      <c r="AV11" s="39" t="e">
        <f ca="1">SUMIFS(Assumptions!CS$3:CS$103,Assumptions!$G$3:$G$103,'non-road'!$F11,Assumptions!$B$3:$B$103,'non-road'!$D11)/SUMIF(Assumptions!$G$3:$G$103,'non-road'!$F11,Assumptions!CS$3:CS$103)</f>
        <v>#DIV/0!</v>
      </c>
      <c r="AW11" s="39" t="e">
        <f ca="1">SUMIFS(Assumptions!CT$3:CT$103,Assumptions!$G$3:$G$103,'non-road'!$F11,Assumptions!$B$3:$B$103,'non-road'!$D11)/SUMIF(Assumptions!$G$3:$G$103,'non-road'!$F11,Assumptions!CT$3:CT$103)</f>
        <v>#DIV/0!</v>
      </c>
      <c r="AX11" s="39" t="e">
        <f ca="1">SUMIFS(Assumptions!CU$3:CU$103,Assumptions!$G$3:$G$103,'non-road'!$F11,Assumptions!$B$3:$B$103,'non-road'!$D11)/SUMIF(Assumptions!$G$3:$G$103,'non-road'!$F11,Assumptions!CU$3:CU$103)</f>
        <v>#DIV/0!</v>
      </c>
      <c r="AY11" s="39" t="e">
        <f ca="1">SUMIFS(Assumptions!CV$3:CV$103,Assumptions!$G$3:$G$103,'non-road'!$F11,Assumptions!$B$3:$B$103,'non-road'!$D11)/SUMIF(Assumptions!$G$3:$G$103,'non-road'!$F11,Assumptions!CV$3:CV$103)</f>
        <v>#DIV/0!</v>
      </c>
      <c r="AZ11" s="39" t="e">
        <f ca="1">SUMIFS(Assumptions!CW$3:CW$103,Assumptions!$G$3:$G$103,'non-road'!$F11,Assumptions!$B$3:$B$103,'non-road'!$D11)/SUMIF(Assumptions!$G$3:$G$103,'non-road'!$F11,Assumptions!CW$3:CW$103)</f>
        <v>#DIV/0!</v>
      </c>
      <c r="BA11" s="40"/>
      <c r="BB11" s="39"/>
      <c r="BC11" s="39"/>
      <c r="BD11" s="38" t="str">
        <f t="shared" si="50"/>
        <v>TTP_Generic</v>
      </c>
      <c r="BE11" s="39">
        <f>VLOOKUP($F11,Assumptions!$E$152:$BC$157,COLUMN()-COLUMN($BC$4),FALSE)</f>
        <v>1</v>
      </c>
      <c r="BF11" s="39">
        <f>VLOOKUP($F11,Assumptions!$E$152:$BC$157,COLUMN()-COLUMN($BC$4),FALSE)</f>
        <v>1</v>
      </c>
      <c r="BG11" s="39">
        <f>VLOOKUP($F11,Assumptions!$E$152:$BC$157,COLUMN()-COLUMN($BC$4),FALSE)</f>
        <v>1</v>
      </c>
      <c r="BH11" s="39">
        <f>VLOOKUP($F11,Assumptions!$E$152:$BC$157,COLUMN()-COLUMN($BC$4),FALSE)</f>
        <v>1</v>
      </c>
      <c r="BI11" s="39">
        <f>VLOOKUP($F11,Assumptions!$E$152:$BC$157,COLUMN()-COLUMN($BC$4),FALSE)</f>
        <v>1</v>
      </c>
      <c r="BJ11" s="39">
        <f>VLOOKUP($F11,Assumptions!$E$152:$BC$157,COLUMN()-COLUMN($BC$4),FALSE)</f>
        <v>1</v>
      </c>
      <c r="BK11" s="39">
        <f>VLOOKUP($F11,Assumptions!$E$152:$BC$157,COLUMN()-COLUMN($BC$4),FALSE)</f>
        <v>1</v>
      </c>
      <c r="BL11" s="39">
        <f>VLOOKUP($F11,Assumptions!$E$152:$BC$157,COLUMN()-COLUMN($BC$4),FALSE)</f>
        <v>1</v>
      </c>
      <c r="BM11" s="39">
        <f>VLOOKUP($F11,Assumptions!$E$152:$BC$157,COLUMN()-COLUMN($BC$4),FALSE)</f>
        <v>1</v>
      </c>
      <c r="BN11" s="39">
        <f>VLOOKUP($F11,Assumptions!$E$152:$BC$157,COLUMN()-COLUMN($BC$4),FALSE)</f>
        <v>1</v>
      </c>
      <c r="BO11" s="39">
        <f>VLOOKUP($F11,Assumptions!$E$152:$BC$157,COLUMN()-COLUMN($BC$4),FALSE)</f>
        <v>1</v>
      </c>
      <c r="BP11" s="39">
        <f>VLOOKUP($F11,Assumptions!$E$152:$BC$157,COLUMN()-COLUMN($BC$4),FALSE)</f>
        <v>1</v>
      </c>
      <c r="BQ11" s="39">
        <f>VLOOKUP($F11,Assumptions!$E$152:$BC$157,COLUMN()-COLUMN($BC$4),FALSE)</f>
        <v>1</v>
      </c>
      <c r="BR11" s="39">
        <f>VLOOKUP($F11,Assumptions!$E$152:$BC$157,COLUMN()-COLUMN($BC$4),FALSE)</f>
        <v>1</v>
      </c>
      <c r="BS11" s="39">
        <f>VLOOKUP($F11,Assumptions!$E$152:$BC$157,COLUMN()-COLUMN($BC$4),FALSE)</f>
        <v>1</v>
      </c>
      <c r="BT11" s="39">
        <f>VLOOKUP($F11,Assumptions!$E$152:$BC$157,COLUMN()-COLUMN($BC$4),FALSE)</f>
        <v>1</v>
      </c>
      <c r="BU11" s="39">
        <f>VLOOKUP($F11,Assumptions!$E$152:$BC$157,COLUMN()-COLUMN($BC$4),FALSE)</f>
        <v>1</v>
      </c>
      <c r="BV11" s="39">
        <f>VLOOKUP($F11,Assumptions!$E$152:$BC$157,COLUMN()-COLUMN($BC$4),FALSE)</f>
        <v>1</v>
      </c>
      <c r="BW11" s="39">
        <f>VLOOKUP($F11,Assumptions!$E$152:$BC$157,COLUMN()-COLUMN($BC$4),FALSE)</f>
        <v>1</v>
      </c>
      <c r="BX11" s="39">
        <f>VLOOKUP($F11,Assumptions!$E$152:$BC$157,COLUMN()-COLUMN($BC$4),FALSE)</f>
        <v>1</v>
      </c>
      <c r="BY11" s="39">
        <f>VLOOKUP($F11,Assumptions!$E$152:$BC$157,COLUMN()-COLUMN($BC$4),FALSE)</f>
        <v>1</v>
      </c>
      <c r="BZ11" s="39">
        <f>VLOOKUP($F11,Assumptions!$E$152:$BC$157,COLUMN()-COLUMN($BC$4),FALSE)</f>
        <v>1</v>
      </c>
      <c r="CA11" s="39">
        <f>VLOOKUP($F11,Assumptions!$E$152:$BC$157,COLUMN()-COLUMN($BC$4),FALSE)</f>
        <v>1</v>
      </c>
      <c r="CB11" s="39">
        <f>VLOOKUP($F11,Assumptions!$E$152:$BC$157,COLUMN()-COLUMN($BC$4),FALSE)</f>
        <v>1</v>
      </c>
      <c r="CC11" s="39">
        <f>VLOOKUP($F11,Assumptions!$E$152:$BC$157,COLUMN()-COLUMN($BC$4),FALSE)</f>
        <v>1</v>
      </c>
      <c r="CD11" s="39">
        <f>VLOOKUP($F11,Assumptions!$E$152:$BC$157,COLUMN()-COLUMN($BC$4),FALSE)</f>
        <v>1</v>
      </c>
      <c r="CE11" s="39">
        <f>VLOOKUP($F11,Assumptions!$E$152:$BC$157,COLUMN()-COLUMN($BC$4),FALSE)</f>
        <v>1</v>
      </c>
      <c r="CF11" s="39">
        <f>VLOOKUP($F11,Assumptions!$E$152:$BC$157,COLUMN()-COLUMN($BC$4),FALSE)</f>
        <v>1</v>
      </c>
      <c r="CG11" s="39">
        <f>VLOOKUP($F11,Assumptions!$E$152:$BC$157,COLUMN()-COLUMN($BC$4),FALSE)</f>
        <v>1</v>
      </c>
      <c r="CH11" s="39">
        <f>VLOOKUP($F11,Assumptions!$E$152:$BC$157,COLUMN()-COLUMN($BC$4),FALSE)</f>
        <v>1</v>
      </c>
      <c r="CI11" s="39">
        <f>VLOOKUP($F11,Assumptions!$E$152:$BC$157,COLUMN()-COLUMN($BC$4),FALSE)</f>
        <v>1</v>
      </c>
      <c r="CJ11" s="39">
        <f>VLOOKUP($F11,Assumptions!$E$152:$BC$157,COLUMN()-COLUMN($BC$4),FALSE)</f>
        <v>1</v>
      </c>
      <c r="CK11" s="39">
        <f>VLOOKUP($F11,Assumptions!$E$152:$BC$157,COLUMN()-COLUMN($BC$4),FALSE)</f>
        <v>1</v>
      </c>
      <c r="CL11" s="39">
        <f>VLOOKUP($F11,Assumptions!$E$152:$BC$157,COLUMN()-COLUMN($BC$4),FALSE)</f>
        <v>1</v>
      </c>
      <c r="CM11" s="39">
        <f>VLOOKUP($F11,Assumptions!$E$152:$BC$157,COLUMN()-COLUMN($BC$4),FALSE)</f>
        <v>1</v>
      </c>
      <c r="CN11" s="39">
        <f>VLOOKUP($F11,Assumptions!$E$152:$BC$157,COLUMN()-COLUMN($BC$4),FALSE)</f>
        <v>1</v>
      </c>
      <c r="CO11" s="39">
        <f>VLOOKUP($F11,Assumptions!$E$152:$BC$157,COLUMN()-COLUMN($BC$4),FALSE)</f>
        <v>1</v>
      </c>
      <c r="CP11" s="39">
        <f>VLOOKUP($F11,Assumptions!$E$152:$BC$157,COLUMN()-COLUMN($BC$4),FALSE)</f>
        <v>1</v>
      </c>
      <c r="CQ11" s="39">
        <f>VLOOKUP($F11,Assumptions!$E$152:$BC$157,COLUMN()-COLUMN($BC$4),FALSE)</f>
        <v>1</v>
      </c>
      <c r="CR11" s="39">
        <f>VLOOKUP($F11,Assumptions!$E$152:$BC$157,COLUMN()-COLUMN($BC$4),FALSE)</f>
        <v>1</v>
      </c>
      <c r="CS11" s="39">
        <f>VLOOKUP($F11,Assumptions!$E$152:$BC$157,COLUMN()-COLUMN($BC$4),FALSE)</f>
        <v>1</v>
      </c>
      <c r="CT11" s="39">
        <f>VLOOKUP($F11,Assumptions!$E$152:$BC$157,COLUMN()-COLUMN($BC$4),FALSE)</f>
        <v>1</v>
      </c>
      <c r="CU11" s="39">
        <f>VLOOKUP($F11,Assumptions!$E$152:$BC$157,COLUMN()-COLUMN($BC$4),FALSE)</f>
        <v>1</v>
      </c>
      <c r="CV11" s="39">
        <f>VLOOKUP($F11,Assumptions!$E$152:$BC$157,COLUMN()-COLUMN($BC$4),FALSE)</f>
        <v>1</v>
      </c>
      <c r="CW11" s="39">
        <f>VLOOKUP($F11,Assumptions!$E$152:$BC$157,COLUMN()-COLUMN($BC$4),FALSE)</f>
        <v>1</v>
      </c>
      <c r="CX11" s="39">
        <f>VLOOKUP($F11,Assumptions!$E$152:$BC$157,COLUMN()-COLUMN($BC$4),FALSE)</f>
        <v>1</v>
      </c>
      <c r="CY11" s="38"/>
      <c r="CZ11" s="38"/>
      <c r="DA11" s="38"/>
      <c r="DB11" s="38" t="str">
        <f t="shared" ref="DB11" si="52">DB2</f>
        <v>Africa_North</v>
      </c>
      <c r="DC11" s="38" t="str">
        <f t="shared" ref="DC11:EU11" si="53">DC2</f>
        <v>Africa_Other</v>
      </c>
      <c r="DD11" s="38" t="str">
        <f t="shared" si="53"/>
        <v>Australia</v>
      </c>
      <c r="DE11" s="38" t="str">
        <f t="shared" si="53"/>
        <v>Austria</v>
      </c>
      <c r="DF11" s="38" t="str">
        <f t="shared" si="53"/>
        <v>Baltics</v>
      </c>
      <c r="DG11" s="38" t="str">
        <f t="shared" si="53"/>
        <v>BeNeLux</v>
      </c>
      <c r="DH11" s="38" t="str">
        <f t="shared" si="53"/>
        <v>Brazil</v>
      </c>
      <c r="DI11" s="38" t="str">
        <f t="shared" si="53"/>
        <v>China</v>
      </c>
      <c r="DJ11" s="38" t="str">
        <f t="shared" si="53"/>
        <v>CroSloven</v>
      </c>
      <c r="DK11" s="38" t="str">
        <f t="shared" si="53"/>
        <v>CzechSlovak</v>
      </c>
      <c r="DL11" s="38" t="str">
        <f t="shared" si="53"/>
        <v>France</v>
      </c>
      <c r="DM11" s="38" t="str">
        <f t="shared" si="53"/>
        <v>Germany</v>
      </c>
      <c r="DN11" s="38" t="str">
        <f t="shared" si="53"/>
        <v>GreeceCyp</v>
      </c>
      <c r="DO11" s="38" t="str">
        <f t="shared" si="53"/>
        <v>HunRomBul</v>
      </c>
      <c r="DP11" s="38" t="str">
        <f t="shared" si="53"/>
        <v>Iceland</v>
      </c>
      <c r="DQ11" s="38" t="str">
        <f t="shared" si="53"/>
        <v>India</v>
      </c>
      <c r="DR11" s="38" t="str">
        <f t="shared" si="53"/>
        <v>Ireland</v>
      </c>
      <c r="DS11" s="38" t="str">
        <f t="shared" si="53"/>
        <v>ItalyMal</v>
      </c>
      <c r="DT11" s="38" t="str">
        <f t="shared" si="53"/>
        <v>Japan</v>
      </c>
      <c r="DU11" s="38" t="str">
        <f t="shared" si="53"/>
        <v>LatAm</v>
      </c>
      <c r="DV11" s="38" t="str">
        <f t="shared" si="53"/>
        <v>MidEast</v>
      </c>
      <c r="DW11" s="38" t="str">
        <f t="shared" si="53"/>
        <v>NorthAm</v>
      </c>
      <c r="DX11" s="38" t="str">
        <f t="shared" si="53"/>
        <v>Norway</v>
      </c>
      <c r="DY11" s="38" t="str">
        <f t="shared" si="53"/>
        <v>Poland</v>
      </c>
      <c r="DZ11" s="38" t="str">
        <f t="shared" si="53"/>
        <v>ROW</v>
      </c>
      <c r="EA11" s="38" t="str">
        <f t="shared" si="53"/>
        <v>Russia</v>
      </c>
      <c r="EB11" s="38" t="str">
        <f t="shared" si="53"/>
        <v>SaudiArabia</v>
      </c>
      <c r="EC11" s="38" t="str">
        <f t="shared" si="53"/>
        <v>SouthAfrica</v>
      </c>
      <c r="ED11" s="38" t="str">
        <f t="shared" si="53"/>
        <v>SpainPor</v>
      </c>
      <c r="EE11" s="38" t="str">
        <f t="shared" si="53"/>
        <v>SweFinDen</v>
      </c>
      <c r="EF11" s="38" t="str">
        <f t="shared" si="53"/>
        <v>Switzerland</v>
      </c>
      <c r="EG11" s="38" t="str">
        <f t="shared" si="53"/>
        <v>Turkey</v>
      </c>
      <c r="EH11" s="38" t="str">
        <f t="shared" si="53"/>
        <v>UK</v>
      </c>
      <c r="EI11" s="38" t="str">
        <f t="shared" si="53"/>
        <v>Ukraine</v>
      </c>
      <c r="EJ11" s="38" t="str">
        <f t="shared" si="53"/>
        <v>WestBalkans</v>
      </c>
      <c r="EK11" s="38" t="str">
        <f t="shared" si="53"/>
        <v>\I:</v>
      </c>
      <c r="EL11" s="38" t="str">
        <f t="shared" si="53"/>
        <v>\I:</v>
      </c>
      <c r="EM11" s="38" t="str">
        <f t="shared" si="53"/>
        <v>\I:</v>
      </c>
      <c r="EN11" s="38" t="str">
        <f t="shared" si="53"/>
        <v>\I:</v>
      </c>
      <c r="EO11" s="38" t="str">
        <f t="shared" si="53"/>
        <v>\I:</v>
      </c>
      <c r="EP11" s="38" t="str">
        <f t="shared" si="53"/>
        <v>\I:</v>
      </c>
      <c r="EQ11" s="38" t="str">
        <f t="shared" si="53"/>
        <v>\I:</v>
      </c>
      <c r="ER11" s="38" t="str">
        <f t="shared" si="53"/>
        <v>\I:</v>
      </c>
      <c r="ES11" s="38" t="str">
        <f t="shared" si="53"/>
        <v>\I:</v>
      </c>
      <c r="ET11" s="38" t="str">
        <f t="shared" si="53"/>
        <v>\I:</v>
      </c>
      <c r="EU11" s="38" t="str">
        <f t="shared" si="53"/>
        <v>\I:</v>
      </c>
      <c r="EV11" s="38"/>
      <c r="EW11" s="38" t="str">
        <f t="shared" si="48"/>
        <v>\I:</v>
      </c>
      <c r="EX11" s="38" t="str">
        <f t="shared" si="51"/>
        <v/>
      </c>
      <c r="EY11" s="38" t="s">
        <v>133</v>
      </c>
      <c r="EZ11" s="38" t="s">
        <v>85</v>
      </c>
      <c r="FA11" s="38" t="s">
        <v>440</v>
      </c>
      <c r="FB11" s="38"/>
      <c r="FC11" s="38"/>
      <c r="FD11" s="38"/>
    </row>
    <row r="12" spans="1:160">
      <c r="A12" s="38" t="s">
        <v>442</v>
      </c>
      <c r="B12" s="38"/>
      <c r="C12" s="38" t="str">
        <f t="shared" ref="C12:C41" si="54">IF(F12&lt;&gt;F11,F12&amp;"_Generic","")</f>
        <v/>
      </c>
      <c r="D12" s="38" t="s">
        <v>60</v>
      </c>
      <c r="E12" s="38"/>
      <c r="F12" s="38" t="s">
        <v>198</v>
      </c>
      <c r="G12" s="39">
        <f ca="1">SUMIFS(Assumptions!BD$3:BD$103,Assumptions!$G$3:$G$103,'non-road'!$F12,Assumptions!$B$3:$B$103,'non-road'!$D12)/SUMIF(Assumptions!$G$3:$G$103,'non-road'!$F12,Assumptions!BD$3:BD$103)</f>
        <v>0.106392242536338</v>
      </c>
      <c r="H12" s="39">
        <f ca="1">SUMIFS(Assumptions!BE$3:BE$103,Assumptions!$G$3:$G$103,'non-road'!$F12,Assumptions!$B$3:$B$103,'non-road'!$D12)/SUMIF(Assumptions!$G$3:$G$103,'non-road'!$F12,Assumptions!BE$3:BE$103)</f>
        <v>0.966562340628108</v>
      </c>
      <c r="I12" s="39">
        <f ca="1">SUMIFS(Assumptions!BF$3:BF$103,Assumptions!$G$3:$G$103,'non-road'!$F12,Assumptions!$B$3:$B$103,'non-road'!$D12)/SUMIF(Assumptions!$G$3:$G$103,'non-road'!$F12,Assumptions!BF$3:BF$103)</f>
        <v>0.635928630218476</v>
      </c>
      <c r="J12" s="39">
        <f ca="1">SUMIFS(Assumptions!BG$3:BG$103,Assumptions!$G$3:$G$103,'non-road'!$F12,Assumptions!$B$3:$B$103,'non-road'!$D12)/SUMIF(Assumptions!$G$3:$G$103,'non-road'!$F12,Assumptions!BG$3:BG$103)</f>
        <v>0.0181958057374866</v>
      </c>
      <c r="K12" s="39">
        <f ca="1">SUMIFS(Assumptions!BH$3:BH$103,Assumptions!$G$3:$G$103,'non-road'!$F12,Assumptions!$B$3:$B$103,'non-road'!$D12)/SUMIF(Assumptions!$G$3:$G$103,'non-road'!$F12,Assumptions!BH$3:BH$103)</f>
        <v>0.617653525376767</v>
      </c>
      <c r="L12" s="39">
        <f ca="1">SUMIFS(Assumptions!BI$3:BI$103,Assumptions!$G$3:$G$103,'non-road'!$F12,Assumptions!$B$3:$B$103,'non-road'!$D12)/SUMIF(Assumptions!$G$3:$G$103,'non-road'!$F12,Assumptions!BI$3:BI$103)</f>
        <v>0.0153503061546347</v>
      </c>
      <c r="M12" s="39">
        <f ca="1">SUMIFS(Assumptions!BJ$3:BJ$103,Assumptions!$G$3:$G$103,'non-road'!$F12,Assumptions!$B$3:$B$103,'non-road'!$D12)/SUMIF(Assumptions!$G$3:$G$103,'non-road'!$F12,Assumptions!BJ$3:BJ$103)</f>
        <v>0.487502069309818</v>
      </c>
      <c r="N12" s="39">
        <f ca="1">SUMIFS(Assumptions!BK$3:BK$103,Assumptions!$G$3:$G$103,'non-road'!$F12,Assumptions!$B$3:$B$103,'non-road'!$D12)/SUMIF(Assumptions!$G$3:$G$103,'non-road'!$F12,Assumptions!BK$3:BK$103)</f>
        <v>0.139798829444941</v>
      </c>
      <c r="O12" s="39">
        <f ca="1">SUMIFS(Assumptions!BL$3:BL$103,Assumptions!$G$3:$G$103,'non-road'!$F12,Assumptions!$B$3:$B$103,'non-road'!$D12)/SUMIF(Assumptions!$G$3:$G$103,'non-road'!$F12,Assumptions!BL$3:BL$103)</f>
        <v>0.0579064494147954</v>
      </c>
      <c r="P12" s="39">
        <f ca="1">SUMIFS(Assumptions!BM$3:BM$103,Assumptions!$G$3:$G$103,'non-road'!$F12,Assumptions!$B$3:$B$103,'non-road'!$D12)/SUMIF(Assumptions!$G$3:$G$103,'non-road'!$F12,Assumptions!BM$3:BM$103)</f>
        <v>0.0463459681666136</v>
      </c>
      <c r="Q12" s="39">
        <f ca="1">SUMIFS(Assumptions!BN$3:BN$103,Assumptions!$G$3:$G$103,'non-road'!$F12,Assumptions!$B$3:$B$103,'non-road'!$D12)/SUMIF(Assumptions!$G$3:$G$103,'non-road'!$F12,Assumptions!BN$3:BN$103)</f>
        <v>0.015839039784247</v>
      </c>
      <c r="R12" s="39">
        <f ca="1">SUMIFS(Assumptions!BO$3:BO$103,Assumptions!$G$3:$G$103,'non-road'!$F12,Assumptions!$B$3:$B$103,'non-road'!$D12)/SUMIF(Assumptions!$G$3:$G$103,'non-road'!$F12,Assumptions!BO$3:BO$103)</f>
        <v>0.0257430820018994</v>
      </c>
      <c r="S12" s="39">
        <f ca="1">SUMIFS(Assumptions!BP$3:BP$103,Assumptions!$G$3:$G$103,'non-road'!$F12,Assumptions!$B$3:$B$103,'non-road'!$D12)/SUMIF(Assumptions!$G$3:$G$103,'non-road'!$F12,Assumptions!BP$3:BP$103)</f>
        <v>0.0633977432523772</v>
      </c>
      <c r="T12" s="39">
        <f ca="1">SUMIFS(Assumptions!BQ$3:BQ$103,Assumptions!$G$3:$G$103,'non-road'!$F12,Assumptions!$B$3:$B$103,'non-road'!$D12)/SUMIF(Assumptions!$G$3:$G$103,'non-road'!$F12,Assumptions!BQ$3:BQ$103)</f>
        <v>0.0855085786079429</v>
      </c>
      <c r="U12" s="39" t="e">
        <f ca="1">SUMIFS(Assumptions!BR$3:BR$103,Assumptions!$G$3:$G$103,'non-road'!$F12,Assumptions!$B$3:$B$103,'non-road'!$D12)/SUMIF(Assumptions!$G$3:$G$103,'non-road'!$F12,Assumptions!BR$3:BR$103)</f>
        <v>#DIV/0!</v>
      </c>
      <c r="V12" s="39">
        <f ca="1">SUMIFS(Assumptions!BS$3:BS$103,Assumptions!$G$3:$G$103,'non-road'!$F12,Assumptions!$B$3:$B$103,'non-road'!$D12)/SUMIF(Assumptions!$G$3:$G$103,'non-road'!$F12,Assumptions!BS$3:BS$103)</f>
        <v>0.532572836212055</v>
      </c>
      <c r="W12" s="39">
        <f ca="1">SUMIFS(Assumptions!BT$3:BT$103,Assumptions!$G$3:$G$103,'non-road'!$F12,Assumptions!$B$3:$B$103,'non-road'!$D12)/SUMIF(Assumptions!$G$3:$G$103,'non-road'!$F12,Assumptions!BT$3:BT$103)</f>
        <v>0.467681198711571</v>
      </c>
      <c r="X12" s="39">
        <f ca="1">SUMIFS(Assumptions!BU$3:BU$103,Assumptions!$G$3:$G$103,'non-road'!$F12,Assumptions!$B$3:$B$103,'non-road'!$D12)/SUMIF(Assumptions!$G$3:$G$103,'non-road'!$F12,Assumptions!BU$3:BU$103)</f>
        <v>0.00908511788509317</v>
      </c>
      <c r="Y12" s="39">
        <f ca="1">SUMIFS(Assumptions!BV$3:BV$103,Assumptions!$G$3:$G$103,'non-road'!$F12,Assumptions!$B$3:$B$103,'non-road'!$D12)/SUMIF(Assumptions!$G$3:$G$103,'non-road'!$F12,Assumptions!BV$3:BV$103)</f>
        <v>0.0698863390656033</v>
      </c>
      <c r="Z12" s="39">
        <f ca="1">SUMIFS(Assumptions!BW$3:BW$103,Assumptions!$G$3:$G$103,'non-road'!$F12,Assumptions!$B$3:$B$103,'non-road'!$D12)/SUMIF(Assumptions!$G$3:$G$103,'non-road'!$F12,Assumptions!BW$3:BW$103)</f>
        <v>0.0732249214960131</v>
      </c>
      <c r="AA12" s="39">
        <f ca="1">SUMIFS(Assumptions!BX$3:BX$103,Assumptions!$G$3:$G$103,'non-road'!$F12,Assumptions!$B$3:$B$103,'non-road'!$D12)/SUMIF(Assumptions!$G$3:$G$103,'non-road'!$F12,Assumptions!BX$3:BX$103)</f>
        <v>1</v>
      </c>
      <c r="AB12" s="39">
        <f ca="1">SUMIFS(Assumptions!BY$3:BY$103,Assumptions!$G$3:$G$103,'non-road'!$F12,Assumptions!$B$3:$B$103,'non-road'!$D12)/SUMIF(Assumptions!$G$3:$G$103,'non-road'!$F12,Assumptions!BY$3:BY$103)</f>
        <v>0.466236925269191</v>
      </c>
      <c r="AC12" s="39">
        <f ca="1">SUMIFS(Assumptions!BZ$3:BZ$103,Assumptions!$G$3:$G$103,'non-road'!$F12,Assumptions!$B$3:$B$103,'non-road'!$D12)/SUMIF(Assumptions!$G$3:$G$103,'non-road'!$F12,Assumptions!BZ$3:BZ$103)</f>
        <v>0.0262413551811614</v>
      </c>
      <c r="AD12" s="39">
        <f ca="1">SUMIFS(Assumptions!CA$3:CA$103,Assumptions!$G$3:$G$103,'non-road'!$F12,Assumptions!$B$3:$B$103,'non-road'!$D12)/SUMIF(Assumptions!$G$3:$G$103,'non-road'!$F12,Assumptions!CA$3:CA$103)</f>
        <v>0.0339440893250475</v>
      </c>
      <c r="AE12" s="39">
        <f ca="1">SUMIFS(Assumptions!CB$3:CB$103,Assumptions!$G$3:$G$103,'non-road'!$F12,Assumptions!$B$3:$B$103,'non-road'!$D12)/SUMIF(Assumptions!$G$3:$G$103,'non-road'!$F12,Assumptions!CB$3:CB$103)</f>
        <v>0.242015318741171</v>
      </c>
      <c r="AF12" s="39">
        <f ca="1">SUMIFS(Assumptions!CC$3:CC$103,Assumptions!$G$3:$G$103,'non-road'!$F12,Assumptions!$B$3:$B$103,'non-road'!$D12)/SUMIF(Assumptions!$G$3:$G$103,'non-road'!$F12,Assumptions!CC$3:CC$103)</f>
        <v>0.0999394622486834</v>
      </c>
      <c r="AG12" s="39" t="e">
        <f ca="1">SUMIFS(Assumptions!CD$3:CD$103,Assumptions!$G$3:$G$103,'non-road'!$F12,Assumptions!$B$3:$B$103,'non-road'!$D12)/SUMIF(Assumptions!$G$3:$G$103,'non-road'!$F12,Assumptions!CD$3:CD$103)</f>
        <v>#DIV/0!</v>
      </c>
      <c r="AH12" s="39">
        <f ca="1">SUMIFS(Assumptions!CE$3:CE$103,Assumptions!$G$3:$G$103,'non-road'!$F12,Assumptions!$B$3:$B$103,'non-road'!$D12)/SUMIF(Assumptions!$G$3:$G$103,'non-road'!$F12,Assumptions!CE$3:CE$103)</f>
        <v>0.156737651007814</v>
      </c>
      <c r="AI12" s="39">
        <f ca="1">SUMIFS(Assumptions!CF$3:CF$103,Assumptions!$G$3:$G$103,'non-road'!$F12,Assumptions!$B$3:$B$103,'non-road'!$D12)/SUMIF(Assumptions!$G$3:$G$103,'non-road'!$F12,Assumptions!CF$3:CF$103)</f>
        <v>0.0264437988370131</v>
      </c>
      <c r="AJ12" s="39">
        <f ca="1">SUMIFS(Assumptions!CG$3:CG$103,Assumptions!$G$3:$G$103,'non-road'!$F12,Assumptions!$B$3:$B$103,'non-road'!$D12)/SUMIF(Assumptions!$G$3:$G$103,'non-road'!$F12,Assumptions!CG$3:CG$103)</f>
        <v>0.0332112949069308</v>
      </c>
      <c r="AK12" s="39">
        <f ca="1">SUMIFS(Assumptions!CH$3:CH$103,Assumptions!$G$3:$G$103,'non-road'!$F12,Assumptions!$B$3:$B$103,'non-road'!$D12)/SUMIF(Assumptions!$G$3:$G$103,'non-road'!$F12,Assumptions!CH$3:CH$103)</f>
        <v>0.00345280465942515</v>
      </c>
      <c r="AL12" s="39">
        <f ca="1">SUMIFS(Assumptions!CI$3:CI$103,Assumptions!$G$3:$G$103,'non-road'!$F12,Assumptions!$B$3:$B$103,'non-road'!$D12)/SUMIF(Assumptions!$G$3:$G$103,'non-road'!$F12,Assumptions!CI$3:CI$103)</f>
        <v>0.258824891867238</v>
      </c>
      <c r="AM12" s="39">
        <f ca="1">SUMIFS(Assumptions!CJ$3:CJ$103,Assumptions!$G$3:$G$103,'non-road'!$F12,Assumptions!$B$3:$B$103,'non-road'!$D12)/SUMIF(Assumptions!$G$3:$G$103,'non-road'!$F12,Assumptions!CJ$3:CJ$103)</f>
        <v>0.117220847009956</v>
      </c>
      <c r="AN12" s="39">
        <f ca="1">SUMIFS(Assumptions!CK$3:CK$103,Assumptions!$G$3:$G$103,'non-road'!$F12,Assumptions!$B$3:$B$103,'non-road'!$D12)/SUMIF(Assumptions!$G$3:$G$103,'non-road'!$F12,Assumptions!CK$3:CK$103)</f>
        <v>0.00910658176683085</v>
      </c>
      <c r="AO12" s="39">
        <f ca="1">SUMIFS(Assumptions!CL$3:CL$103,Assumptions!$G$3:$G$103,'non-road'!$F12,Assumptions!$B$3:$B$103,'non-road'!$D12)/SUMIF(Assumptions!$G$3:$G$103,'non-road'!$F12,Assumptions!CL$3:CL$103)</f>
        <v>0.0490580377361855</v>
      </c>
      <c r="AP12" s="39" t="e">
        <f ca="1">SUMIFS(Assumptions!CM$3:CM$103,Assumptions!$G$3:$G$103,'non-road'!$F12,Assumptions!$B$3:$B$103,'non-road'!$D12)/SUMIF(Assumptions!$G$3:$G$103,'non-road'!$F12,Assumptions!CM$3:CM$103)</f>
        <v>#DIV/0!</v>
      </c>
      <c r="AQ12" s="39" t="e">
        <f ca="1">SUMIFS(Assumptions!CN$3:CN$103,Assumptions!$G$3:$G$103,'non-road'!$F12,Assumptions!$B$3:$B$103,'non-road'!$D12)/SUMIF(Assumptions!$G$3:$G$103,'non-road'!$F12,Assumptions!CN$3:CN$103)</f>
        <v>#DIV/0!</v>
      </c>
      <c r="AR12" s="39" t="e">
        <f ca="1">SUMIFS(Assumptions!CO$3:CO$103,Assumptions!$G$3:$G$103,'non-road'!$F12,Assumptions!$B$3:$B$103,'non-road'!$D12)/SUMIF(Assumptions!$G$3:$G$103,'non-road'!$F12,Assumptions!CO$3:CO$103)</f>
        <v>#DIV/0!</v>
      </c>
      <c r="AS12" s="39" t="e">
        <f ca="1">SUMIFS(Assumptions!CP$3:CP$103,Assumptions!$G$3:$G$103,'non-road'!$F12,Assumptions!$B$3:$B$103,'non-road'!$D12)/SUMIF(Assumptions!$G$3:$G$103,'non-road'!$F12,Assumptions!CP$3:CP$103)</f>
        <v>#DIV/0!</v>
      </c>
      <c r="AT12" s="39" t="e">
        <f ca="1">SUMIFS(Assumptions!CQ$3:CQ$103,Assumptions!$G$3:$G$103,'non-road'!$F12,Assumptions!$B$3:$B$103,'non-road'!$D12)/SUMIF(Assumptions!$G$3:$G$103,'non-road'!$F12,Assumptions!CQ$3:CQ$103)</f>
        <v>#DIV/0!</v>
      </c>
      <c r="AU12" s="39" t="e">
        <f ca="1">SUMIFS(Assumptions!CR$3:CR$103,Assumptions!$G$3:$G$103,'non-road'!$F12,Assumptions!$B$3:$B$103,'non-road'!$D12)/SUMIF(Assumptions!$G$3:$G$103,'non-road'!$F12,Assumptions!CR$3:CR$103)</f>
        <v>#DIV/0!</v>
      </c>
      <c r="AV12" s="39" t="e">
        <f ca="1">SUMIFS(Assumptions!CS$3:CS$103,Assumptions!$G$3:$G$103,'non-road'!$F12,Assumptions!$B$3:$B$103,'non-road'!$D12)/SUMIF(Assumptions!$G$3:$G$103,'non-road'!$F12,Assumptions!CS$3:CS$103)</f>
        <v>#DIV/0!</v>
      </c>
      <c r="AW12" s="39" t="e">
        <f ca="1">SUMIFS(Assumptions!CT$3:CT$103,Assumptions!$G$3:$G$103,'non-road'!$F12,Assumptions!$B$3:$B$103,'non-road'!$D12)/SUMIF(Assumptions!$G$3:$G$103,'non-road'!$F12,Assumptions!CT$3:CT$103)</f>
        <v>#DIV/0!</v>
      </c>
      <c r="AX12" s="39" t="e">
        <f ca="1">SUMIFS(Assumptions!CU$3:CU$103,Assumptions!$G$3:$G$103,'non-road'!$F12,Assumptions!$B$3:$B$103,'non-road'!$D12)/SUMIF(Assumptions!$G$3:$G$103,'non-road'!$F12,Assumptions!CU$3:CU$103)</f>
        <v>#DIV/0!</v>
      </c>
      <c r="AY12" s="39" t="e">
        <f ca="1">SUMIFS(Assumptions!CV$3:CV$103,Assumptions!$G$3:$G$103,'non-road'!$F12,Assumptions!$B$3:$B$103,'non-road'!$D12)/SUMIF(Assumptions!$G$3:$G$103,'non-road'!$F12,Assumptions!CV$3:CV$103)</f>
        <v>#DIV/0!</v>
      </c>
      <c r="AZ12" s="39" t="e">
        <f ca="1">SUMIFS(Assumptions!CW$3:CW$103,Assumptions!$G$3:$G$103,'non-road'!$F12,Assumptions!$B$3:$B$103,'non-road'!$D12)/SUMIF(Assumptions!$G$3:$G$103,'non-road'!$F12,Assumptions!CW$3:CW$103)</f>
        <v>#DIV/0!</v>
      </c>
      <c r="BA12" s="40"/>
      <c r="BB12" s="39"/>
      <c r="BC12" s="39"/>
      <c r="BD12" s="38" t="str">
        <f t="shared" ref="BD12:BD41" si="55">IF(C12="","\I:",C12)</f>
        <v>\I:</v>
      </c>
      <c r="BE12" s="39">
        <f>VLOOKUP($F12,Assumptions!$E$152:$BC$157,COLUMN()-COLUMN($BC$4),FALSE)</f>
        <v>1</v>
      </c>
      <c r="BF12" s="39">
        <f>VLOOKUP($F12,Assumptions!$E$152:$BC$157,COLUMN()-COLUMN($BC$4),FALSE)</f>
        <v>1</v>
      </c>
      <c r="BG12" s="39">
        <f>VLOOKUP($F12,Assumptions!$E$152:$BC$157,COLUMN()-COLUMN($BC$4),FALSE)</f>
        <v>1</v>
      </c>
      <c r="BH12" s="39">
        <f>VLOOKUP($F12,Assumptions!$E$152:$BC$157,COLUMN()-COLUMN($BC$4),FALSE)</f>
        <v>1</v>
      </c>
      <c r="BI12" s="39">
        <f>VLOOKUP($F12,Assumptions!$E$152:$BC$157,COLUMN()-COLUMN($BC$4),FALSE)</f>
        <v>1</v>
      </c>
      <c r="BJ12" s="39">
        <f>VLOOKUP($F12,Assumptions!$E$152:$BC$157,COLUMN()-COLUMN($BC$4),FALSE)</f>
        <v>1</v>
      </c>
      <c r="BK12" s="39">
        <f>VLOOKUP($F12,Assumptions!$E$152:$BC$157,COLUMN()-COLUMN($BC$4),FALSE)</f>
        <v>1</v>
      </c>
      <c r="BL12" s="39">
        <f>VLOOKUP($F12,Assumptions!$E$152:$BC$157,COLUMN()-COLUMN($BC$4),FALSE)</f>
        <v>1</v>
      </c>
      <c r="BM12" s="39">
        <f>VLOOKUP($F12,Assumptions!$E$152:$BC$157,COLUMN()-COLUMN($BC$4),FALSE)</f>
        <v>1</v>
      </c>
      <c r="BN12" s="39">
        <f>VLOOKUP($F12,Assumptions!$E$152:$BC$157,COLUMN()-COLUMN($BC$4),FALSE)</f>
        <v>1</v>
      </c>
      <c r="BO12" s="39">
        <f>VLOOKUP($F12,Assumptions!$E$152:$BC$157,COLUMN()-COLUMN($BC$4),FALSE)</f>
        <v>1</v>
      </c>
      <c r="BP12" s="39">
        <f>VLOOKUP($F12,Assumptions!$E$152:$BC$157,COLUMN()-COLUMN($BC$4),FALSE)</f>
        <v>1</v>
      </c>
      <c r="BQ12" s="39">
        <f>VLOOKUP($F12,Assumptions!$E$152:$BC$157,COLUMN()-COLUMN($BC$4),FALSE)</f>
        <v>1</v>
      </c>
      <c r="BR12" s="39">
        <f>VLOOKUP($F12,Assumptions!$E$152:$BC$157,COLUMN()-COLUMN($BC$4),FALSE)</f>
        <v>1</v>
      </c>
      <c r="BS12" s="39">
        <f>VLOOKUP($F12,Assumptions!$E$152:$BC$157,COLUMN()-COLUMN($BC$4),FALSE)</f>
        <v>1</v>
      </c>
      <c r="BT12" s="39">
        <f>VLOOKUP($F12,Assumptions!$E$152:$BC$157,COLUMN()-COLUMN($BC$4),FALSE)</f>
        <v>1</v>
      </c>
      <c r="BU12" s="39">
        <f>VLOOKUP($F12,Assumptions!$E$152:$BC$157,COLUMN()-COLUMN($BC$4),FALSE)</f>
        <v>1</v>
      </c>
      <c r="BV12" s="39">
        <f>VLOOKUP($F12,Assumptions!$E$152:$BC$157,COLUMN()-COLUMN($BC$4),FALSE)</f>
        <v>1</v>
      </c>
      <c r="BW12" s="39">
        <f>VLOOKUP($F12,Assumptions!$E$152:$BC$157,COLUMN()-COLUMN($BC$4),FALSE)</f>
        <v>1</v>
      </c>
      <c r="BX12" s="39">
        <f>VLOOKUP($F12,Assumptions!$E$152:$BC$157,COLUMN()-COLUMN($BC$4),FALSE)</f>
        <v>1</v>
      </c>
      <c r="BY12" s="39">
        <f>VLOOKUP($F12,Assumptions!$E$152:$BC$157,COLUMN()-COLUMN($BC$4),FALSE)</f>
        <v>1</v>
      </c>
      <c r="BZ12" s="39">
        <f>VLOOKUP($F12,Assumptions!$E$152:$BC$157,COLUMN()-COLUMN($BC$4),FALSE)</f>
        <v>1</v>
      </c>
      <c r="CA12" s="39">
        <f>VLOOKUP($F12,Assumptions!$E$152:$BC$157,COLUMN()-COLUMN($BC$4),FALSE)</f>
        <v>1</v>
      </c>
      <c r="CB12" s="39">
        <f>VLOOKUP($F12,Assumptions!$E$152:$BC$157,COLUMN()-COLUMN($BC$4),FALSE)</f>
        <v>1</v>
      </c>
      <c r="CC12" s="39">
        <f>VLOOKUP($F12,Assumptions!$E$152:$BC$157,COLUMN()-COLUMN($BC$4),FALSE)</f>
        <v>1</v>
      </c>
      <c r="CD12" s="39">
        <f>VLOOKUP($F12,Assumptions!$E$152:$BC$157,COLUMN()-COLUMN($BC$4),FALSE)</f>
        <v>1</v>
      </c>
      <c r="CE12" s="39">
        <f>VLOOKUP($F12,Assumptions!$E$152:$BC$157,COLUMN()-COLUMN($BC$4),FALSE)</f>
        <v>1</v>
      </c>
      <c r="CF12" s="39">
        <f>VLOOKUP($F12,Assumptions!$E$152:$BC$157,COLUMN()-COLUMN($BC$4),FALSE)</f>
        <v>1</v>
      </c>
      <c r="CG12" s="39">
        <f>VLOOKUP($F12,Assumptions!$E$152:$BC$157,COLUMN()-COLUMN($BC$4),FALSE)</f>
        <v>1</v>
      </c>
      <c r="CH12" s="39">
        <f>VLOOKUP($F12,Assumptions!$E$152:$BC$157,COLUMN()-COLUMN($BC$4),FALSE)</f>
        <v>1</v>
      </c>
      <c r="CI12" s="39">
        <f>VLOOKUP($F12,Assumptions!$E$152:$BC$157,COLUMN()-COLUMN($BC$4),FALSE)</f>
        <v>1</v>
      </c>
      <c r="CJ12" s="39">
        <f>VLOOKUP($F12,Assumptions!$E$152:$BC$157,COLUMN()-COLUMN($BC$4),FALSE)</f>
        <v>1</v>
      </c>
      <c r="CK12" s="39">
        <f>VLOOKUP($F12,Assumptions!$E$152:$BC$157,COLUMN()-COLUMN($BC$4),FALSE)</f>
        <v>1</v>
      </c>
      <c r="CL12" s="39">
        <f>VLOOKUP($F12,Assumptions!$E$152:$BC$157,COLUMN()-COLUMN($BC$4),FALSE)</f>
        <v>1</v>
      </c>
      <c r="CM12" s="39">
        <f>VLOOKUP($F12,Assumptions!$E$152:$BC$157,COLUMN()-COLUMN($BC$4),FALSE)</f>
        <v>1</v>
      </c>
      <c r="CN12" s="39">
        <f>VLOOKUP($F12,Assumptions!$E$152:$BC$157,COLUMN()-COLUMN($BC$4),FALSE)</f>
        <v>1</v>
      </c>
      <c r="CO12" s="39">
        <f>VLOOKUP($F12,Assumptions!$E$152:$BC$157,COLUMN()-COLUMN($BC$4),FALSE)</f>
        <v>1</v>
      </c>
      <c r="CP12" s="39">
        <f>VLOOKUP($F12,Assumptions!$E$152:$BC$157,COLUMN()-COLUMN($BC$4),FALSE)</f>
        <v>1</v>
      </c>
      <c r="CQ12" s="39">
        <f>VLOOKUP($F12,Assumptions!$E$152:$BC$157,COLUMN()-COLUMN($BC$4),FALSE)</f>
        <v>1</v>
      </c>
      <c r="CR12" s="39">
        <f>VLOOKUP($F12,Assumptions!$E$152:$BC$157,COLUMN()-COLUMN($BC$4),FALSE)</f>
        <v>1</v>
      </c>
      <c r="CS12" s="39">
        <f>VLOOKUP($F12,Assumptions!$E$152:$BC$157,COLUMN()-COLUMN($BC$4),FALSE)</f>
        <v>1</v>
      </c>
      <c r="CT12" s="39">
        <f>VLOOKUP($F12,Assumptions!$E$152:$BC$157,COLUMN()-COLUMN($BC$4),FALSE)</f>
        <v>1</v>
      </c>
      <c r="CU12" s="39">
        <f>VLOOKUP($F12,Assumptions!$E$152:$BC$157,COLUMN()-COLUMN($BC$4),FALSE)</f>
        <v>1</v>
      </c>
      <c r="CV12" s="39">
        <f>VLOOKUP($F12,Assumptions!$E$152:$BC$157,COLUMN()-COLUMN($BC$4),FALSE)</f>
        <v>1</v>
      </c>
      <c r="CW12" s="39">
        <f>VLOOKUP($F12,Assumptions!$E$152:$BC$157,COLUMN()-COLUMN($BC$4),FALSE)</f>
        <v>1</v>
      </c>
      <c r="CX12" s="39">
        <f>VLOOKUP($F12,Assumptions!$E$152:$BC$157,COLUMN()-COLUMN($BC$4),FALSE)</f>
        <v>1</v>
      </c>
      <c r="CY12" s="38"/>
      <c r="CZ12" s="38"/>
      <c r="DA12" s="38" t="str">
        <f t="shared" ref="DA12:DA17" si="56">DA3</f>
        <v>TTF</v>
      </c>
      <c r="DB12" s="39">
        <f ca="1">IFERROR(DB3/DB$20,"")</f>
        <v>0.0035531835601509</v>
      </c>
      <c r="DC12" s="39">
        <f ca="1" t="shared" ref="DC12:EU12" si="57">IFERROR(DC3/DC$20,"")</f>
        <v>0.0038422529385064</v>
      </c>
      <c r="DD12" s="39">
        <f ca="1" t="shared" si="57"/>
        <v>0.0382297549237964</v>
      </c>
      <c r="DE12" s="39">
        <f ca="1" t="shared" si="57"/>
        <v>0.0036135160137602</v>
      </c>
      <c r="DF12" s="39">
        <f ca="1" t="shared" si="57"/>
        <v>0.030371131295588</v>
      </c>
      <c r="DG12" s="39">
        <f ca="1" t="shared" si="57"/>
        <v>0.00145829254099857</v>
      </c>
      <c r="DH12" s="39">
        <f ca="1" t="shared" si="57"/>
        <v>0.013412288031443</v>
      </c>
      <c r="DI12" s="39">
        <f ca="1" t="shared" si="57"/>
        <v>0.006508518637925</v>
      </c>
      <c r="DJ12" s="39">
        <f ca="1" t="shared" si="57"/>
        <v>0.00724682311236265</v>
      </c>
      <c r="DK12" s="39">
        <f ca="1" t="shared" si="57"/>
        <v>0.00845611720954581</v>
      </c>
      <c r="DL12" s="39">
        <f ca="1" t="shared" si="57"/>
        <v>0.00210169936397814</v>
      </c>
      <c r="DM12" s="39">
        <f ca="1" t="shared" si="57"/>
        <v>0.00316767944278094</v>
      </c>
      <c r="DN12" s="39">
        <f ca="1" t="shared" si="57"/>
        <v>0.00152232329231778</v>
      </c>
      <c r="DO12" s="39">
        <f ca="1" t="shared" si="57"/>
        <v>0.0113696943680274</v>
      </c>
      <c r="DP12" s="39">
        <f ca="1" t="shared" si="57"/>
        <v>0</v>
      </c>
      <c r="DQ12" s="39">
        <f ca="1" t="shared" si="57"/>
        <v>0.00906293674310048</v>
      </c>
      <c r="DR12" s="39">
        <f ca="1" t="shared" si="57"/>
        <v>0.00487399862152342</v>
      </c>
      <c r="DS12" s="39">
        <f ca="1" t="shared" si="57"/>
        <v>0.000944139498504663</v>
      </c>
      <c r="DT12" s="39">
        <f ca="1" t="shared" si="57"/>
        <v>0.000456803594813626</v>
      </c>
      <c r="DU12" s="39">
        <f ca="1" t="shared" si="57"/>
        <v>0.000500743134674196</v>
      </c>
      <c r="DV12" s="39">
        <f ca="1" t="shared" si="57"/>
        <v>0.00061596330605528</v>
      </c>
      <c r="DW12" s="39">
        <f ca="1" t="shared" si="57"/>
        <v>0.0335646264838188</v>
      </c>
      <c r="DX12" s="39">
        <f ca="1" t="shared" si="57"/>
        <v>0.00193087793774817</v>
      </c>
      <c r="DY12" s="39">
        <f ca="1" t="shared" si="57"/>
        <v>0.00473671055987058</v>
      </c>
      <c r="DZ12" s="39">
        <f ca="1" t="shared" si="57"/>
        <v>0.00472790196241546</v>
      </c>
      <c r="EA12" s="39">
        <f ca="1" t="shared" si="57"/>
        <v>0.0790491286803778</v>
      </c>
      <c r="EB12" s="39">
        <f ca="1" t="shared" si="57"/>
        <v>0</v>
      </c>
      <c r="EC12" s="39">
        <f ca="1" t="shared" si="57"/>
        <v>0.0146584423215279</v>
      </c>
      <c r="ED12" s="39">
        <f ca="1" t="shared" si="57"/>
        <v>0.00210145512736234</v>
      </c>
      <c r="EE12" s="39">
        <f ca="1" t="shared" si="57"/>
        <v>0.00500271029107867</v>
      </c>
      <c r="EF12" s="39">
        <f ca="1" t="shared" si="57"/>
        <v>0.000859810526654056</v>
      </c>
      <c r="EG12" s="39">
        <f ca="1" t="shared" si="57"/>
        <v>0.00250456525860996</v>
      </c>
      <c r="EH12" s="39">
        <f ca="1" t="shared" si="57"/>
        <v>0.0104659446738869</v>
      </c>
      <c r="EI12" s="39">
        <f ca="1" t="shared" si="57"/>
        <v>0.0137183743683513</v>
      </c>
      <c r="EJ12" s="39">
        <f ca="1" t="shared" si="57"/>
        <v>0.00462027222816052</v>
      </c>
      <c r="EK12" s="39">
        <f ca="1" t="shared" si="57"/>
        <v>0</v>
      </c>
      <c r="EL12" s="39">
        <f ca="1" t="shared" si="57"/>
        <v>0</v>
      </c>
      <c r="EM12" s="39">
        <f ca="1" t="shared" si="57"/>
        <v>0</v>
      </c>
      <c r="EN12" s="39">
        <f ca="1" t="shared" si="57"/>
        <v>0</v>
      </c>
      <c r="EO12" s="39">
        <f ca="1" t="shared" si="57"/>
        <v>0</v>
      </c>
      <c r="EP12" s="39">
        <f ca="1" t="shared" si="57"/>
        <v>0</v>
      </c>
      <c r="EQ12" s="39">
        <f ca="1" t="shared" si="57"/>
        <v>0</v>
      </c>
      <c r="ER12" s="39">
        <f ca="1" t="shared" si="57"/>
        <v>0</v>
      </c>
      <c r="ES12" s="39">
        <f ca="1" t="shared" si="57"/>
        <v>0</v>
      </c>
      <c r="ET12" s="39">
        <f ca="1" t="shared" si="57"/>
        <v>0</v>
      </c>
      <c r="EU12" s="39" t="str">
        <f ca="1" t="shared" si="57"/>
        <v/>
      </c>
      <c r="EV12" s="38"/>
      <c r="EW12" s="38" t="str">
        <f t="shared" si="48"/>
        <v>\I:</v>
      </c>
      <c r="EX12" s="38" t="str">
        <f t="shared" si="51"/>
        <v/>
      </c>
      <c r="EY12" s="38" t="s">
        <v>133</v>
      </c>
      <c r="EZ12" s="38" t="s">
        <v>85</v>
      </c>
      <c r="FA12" s="38" t="s">
        <v>440</v>
      </c>
      <c r="FB12" s="38"/>
      <c r="FC12" s="38"/>
      <c r="FD12" s="38"/>
    </row>
    <row r="13" spans="1:160">
      <c r="A13" s="38" t="s">
        <v>294</v>
      </c>
      <c r="B13" s="38"/>
      <c r="C13" s="38" t="str">
        <f t="shared" si="54"/>
        <v/>
      </c>
      <c r="D13" s="38" t="s">
        <v>66</v>
      </c>
      <c r="E13" s="38"/>
      <c r="F13" s="38" t="s">
        <v>198</v>
      </c>
      <c r="G13" s="39">
        <f ca="1">SUMIFS(Assumptions!BD$3:BD$103,Assumptions!$G$3:$G$103,'non-road'!$F13,Assumptions!$B$3:$B$103,'non-road'!$D13)/SUMIF(Assumptions!$G$3:$G$103,'non-road'!$F13,Assumptions!BD$3:BD$103)</f>
        <v>0</v>
      </c>
      <c r="H13" s="39">
        <f ca="1">SUMIFS(Assumptions!BE$3:BE$103,Assumptions!$G$3:$G$103,'non-road'!$F13,Assumptions!$B$3:$B$103,'non-road'!$D13)/SUMIF(Assumptions!$G$3:$G$103,'non-road'!$F13,Assumptions!BE$3:BE$103)</f>
        <v>0</v>
      </c>
      <c r="I13" s="39">
        <f ca="1">SUMIFS(Assumptions!BF$3:BF$103,Assumptions!$G$3:$G$103,'non-road'!$F13,Assumptions!$B$3:$B$103,'non-road'!$D13)/SUMIF(Assumptions!$G$3:$G$103,'non-road'!$F13,Assumptions!BF$3:BF$103)</f>
        <v>0.000990679107828765</v>
      </c>
      <c r="J13" s="39">
        <f ca="1">SUMIFS(Assumptions!BG$3:BG$103,Assumptions!$G$3:$G$103,'non-road'!$F13,Assumptions!$B$3:$B$103,'non-road'!$D13)/SUMIF(Assumptions!$G$3:$G$103,'non-road'!$F13,Assumptions!BG$3:BG$103)</f>
        <v>0</v>
      </c>
      <c r="K13" s="39">
        <f ca="1">SUMIFS(Assumptions!BH$3:BH$103,Assumptions!$G$3:$G$103,'non-road'!$F13,Assumptions!$B$3:$B$103,'non-road'!$D13)/SUMIF(Assumptions!$G$3:$G$103,'non-road'!$F13,Assumptions!BH$3:BH$103)</f>
        <v>0</v>
      </c>
      <c r="L13" s="39">
        <f ca="1">SUMIFS(Assumptions!BI$3:BI$103,Assumptions!$G$3:$G$103,'non-road'!$F13,Assumptions!$B$3:$B$103,'non-road'!$D13)/SUMIF(Assumptions!$G$3:$G$103,'non-road'!$F13,Assumptions!BI$3:BI$103)</f>
        <v>0</v>
      </c>
      <c r="M13" s="39">
        <f ca="1">SUMIFS(Assumptions!BJ$3:BJ$103,Assumptions!$G$3:$G$103,'non-road'!$F13,Assumptions!$B$3:$B$103,'non-road'!$D13)/SUMIF(Assumptions!$G$3:$G$103,'non-road'!$F13,Assumptions!BJ$3:BJ$103)</f>
        <v>0</v>
      </c>
      <c r="N13" s="39">
        <f ca="1">SUMIFS(Assumptions!BK$3:BK$103,Assumptions!$G$3:$G$103,'non-road'!$F13,Assumptions!$B$3:$B$103,'non-road'!$D13)/SUMIF(Assumptions!$G$3:$G$103,'non-road'!$F13,Assumptions!BK$3:BK$103)</f>
        <v>0</v>
      </c>
      <c r="O13" s="39">
        <f ca="1">SUMIFS(Assumptions!BL$3:BL$103,Assumptions!$G$3:$G$103,'non-road'!$F13,Assumptions!$B$3:$B$103,'non-road'!$D13)/SUMIF(Assumptions!$G$3:$G$103,'non-road'!$F13,Assumptions!BL$3:BL$103)</f>
        <v>0</v>
      </c>
      <c r="P13" s="39">
        <f ca="1">SUMIFS(Assumptions!BM$3:BM$103,Assumptions!$G$3:$G$103,'non-road'!$F13,Assumptions!$B$3:$B$103,'non-road'!$D13)/SUMIF(Assumptions!$G$3:$G$103,'non-road'!$F13,Assumptions!BM$3:BM$103)</f>
        <v>0</v>
      </c>
      <c r="Q13" s="39">
        <f ca="1">SUMIFS(Assumptions!BN$3:BN$103,Assumptions!$G$3:$G$103,'non-road'!$F13,Assumptions!$B$3:$B$103,'non-road'!$D13)/SUMIF(Assumptions!$G$3:$G$103,'non-road'!$F13,Assumptions!BN$3:BN$103)</f>
        <v>0</v>
      </c>
      <c r="R13" s="39">
        <f ca="1">SUMIFS(Assumptions!BO$3:BO$103,Assumptions!$G$3:$G$103,'non-road'!$F13,Assumptions!$B$3:$B$103,'non-road'!$D13)/SUMIF(Assumptions!$G$3:$G$103,'non-road'!$F13,Assumptions!BO$3:BO$103)</f>
        <v>0</v>
      </c>
      <c r="S13" s="39">
        <f ca="1">SUMIFS(Assumptions!BP$3:BP$103,Assumptions!$G$3:$G$103,'non-road'!$F13,Assumptions!$B$3:$B$103,'non-road'!$D13)/SUMIF(Assumptions!$G$3:$G$103,'non-road'!$F13,Assumptions!BP$3:BP$103)</f>
        <v>0</v>
      </c>
      <c r="T13" s="39">
        <f ca="1">SUMIFS(Assumptions!BQ$3:BQ$103,Assumptions!$G$3:$G$103,'non-road'!$F13,Assumptions!$B$3:$B$103,'non-road'!$D13)/SUMIF(Assumptions!$G$3:$G$103,'non-road'!$F13,Assumptions!BQ$3:BQ$103)</f>
        <v>0</v>
      </c>
      <c r="U13" s="39" t="e">
        <f ca="1">SUMIFS(Assumptions!BR$3:BR$103,Assumptions!$G$3:$G$103,'non-road'!$F13,Assumptions!$B$3:$B$103,'non-road'!$D13)/SUMIF(Assumptions!$G$3:$G$103,'non-road'!$F13,Assumptions!BR$3:BR$103)</f>
        <v>#DIV/0!</v>
      </c>
      <c r="V13" s="39">
        <f ca="1">SUMIFS(Assumptions!BS$3:BS$103,Assumptions!$G$3:$G$103,'non-road'!$F13,Assumptions!$B$3:$B$103,'non-road'!$D13)/SUMIF(Assumptions!$G$3:$G$103,'non-road'!$F13,Assumptions!BS$3:BS$103)</f>
        <v>0</v>
      </c>
      <c r="W13" s="39">
        <f ca="1">SUMIFS(Assumptions!BT$3:BT$103,Assumptions!$G$3:$G$103,'non-road'!$F13,Assumptions!$B$3:$B$103,'non-road'!$D13)/SUMIF(Assumptions!$G$3:$G$103,'non-road'!$F13,Assumptions!BT$3:BT$103)</f>
        <v>0</v>
      </c>
      <c r="X13" s="39">
        <f ca="1">SUMIFS(Assumptions!BU$3:BU$103,Assumptions!$G$3:$G$103,'non-road'!$F13,Assumptions!$B$3:$B$103,'non-road'!$D13)/SUMIF(Assumptions!$G$3:$G$103,'non-road'!$F13,Assumptions!BU$3:BU$103)</f>
        <v>0</v>
      </c>
      <c r="Y13" s="39">
        <f ca="1">SUMIFS(Assumptions!BV$3:BV$103,Assumptions!$G$3:$G$103,'non-road'!$F13,Assumptions!$B$3:$B$103,'non-road'!$D13)/SUMIF(Assumptions!$G$3:$G$103,'non-road'!$F13,Assumptions!BV$3:BV$103)</f>
        <v>0</v>
      </c>
      <c r="Z13" s="39">
        <f ca="1">SUMIFS(Assumptions!BW$3:BW$103,Assumptions!$G$3:$G$103,'non-road'!$F13,Assumptions!$B$3:$B$103,'non-road'!$D13)/SUMIF(Assumptions!$G$3:$G$103,'non-road'!$F13,Assumptions!BW$3:BW$103)</f>
        <v>0</v>
      </c>
      <c r="AA13" s="39">
        <f ca="1">SUMIFS(Assumptions!BX$3:BX$103,Assumptions!$G$3:$G$103,'non-road'!$F13,Assumptions!$B$3:$B$103,'non-road'!$D13)/SUMIF(Assumptions!$G$3:$G$103,'non-road'!$F13,Assumptions!BX$3:BX$103)</f>
        <v>0</v>
      </c>
      <c r="AB13" s="39">
        <f ca="1">SUMIFS(Assumptions!BY$3:BY$103,Assumptions!$G$3:$G$103,'non-road'!$F13,Assumptions!$B$3:$B$103,'non-road'!$D13)/SUMIF(Assumptions!$G$3:$G$103,'non-road'!$F13,Assumptions!BY$3:BY$103)</f>
        <v>0</v>
      </c>
      <c r="AC13" s="39">
        <f ca="1">SUMIFS(Assumptions!BZ$3:BZ$103,Assumptions!$G$3:$G$103,'non-road'!$F13,Assumptions!$B$3:$B$103,'non-road'!$D13)/SUMIF(Assumptions!$G$3:$G$103,'non-road'!$F13,Assumptions!BZ$3:BZ$103)</f>
        <v>0</v>
      </c>
      <c r="AD13" s="39">
        <f ca="1">SUMIFS(Assumptions!CA$3:CA$103,Assumptions!$G$3:$G$103,'non-road'!$F13,Assumptions!$B$3:$B$103,'non-road'!$D13)/SUMIF(Assumptions!$G$3:$G$103,'non-road'!$F13,Assumptions!CA$3:CA$103)</f>
        <v>0</v>
      </c>
      <c r="AE13" s="39">
        <f ca="1">SUMIFS(Assumptions!CB$3:CB$103,Assumptions!$G$3:$G$103,'non-road'!$F13,Assumptions!$B$3:$B$103,'non-road'!$D13)/SUMIF(Assumptions!$G$3:$G$103,'non-road'!$F13,Assumptions!CB$3:CB$103)</f>
        <v>0.000642889226159119</v>
      </c>
      <c r="AF13" s="39">
        <f ca="1">SUMIFS(Assumptions!CC$3:CC$103,Assumptions!$G$3:$G$103,'non-road'!$F13,Assumptions!$B$3:$B$103,'non-road'!$D13)/SUMIF(Assumptions!$G$3:$G$103,'non-road'!$F13,Assumptions!CC$3:CC$103)</f>
        <v>0.00347668386813796</v>
      </c>
      <c r="AG13" s="39" t="e">
        <f ca="1">SUMIFS(Assumptions!CD$3:CD$103,Assumptions!$G$3:$G$103,'non-road'!$F13,Assumptions!$B$3:$B$103,'non-road'!$D13)/SUMIF(Assumptions!$G$3:$G$103,'non-road'!$F13,Assumptions!CD$3:CD$103)</f>
        <v>#DIV/0!</v>
      </c>
      <c r="AH13" s="39">
        <f ca="1">SUMIFS(Assumptions!CE$3:CE$103,Assumptions!$G$3:$G$103,'non-road'!$F13,Assumptions!$B$3:$B$103,'non-road'!$D13)/SUMIF(Assumptions!$G$3:$G$103,'non-road'!$F13,Assumptions!CE$3:CE$103)</f>
        <v>0.0691984770814521</v>
      </c>
      <c r="AI13" s="39">
        <f ca="1">SUMIFS(Assumptions!CF$3:CF$103,Assumptions!$G$3:$G$103,'non-road'!$F13,Assumptions!$B$3:$B$103,'non-road'!$D13)/SUMIF(Assumptions!$G$3:$G$103,'non-road'!$F13,Assumptions!CF$3:CF$103)</f>
        <v>0</v>
      </c>
      <c r="AJ13" s="39">
        <f ca="1">SUMIFS(Assumptions!CG$3:CG$103,Assumptions!$G$3:$G$103,'non-road'!$F13,Assumptions!$B$3:$B$103,'non-road'!$D13)/SUMIF(Assumptions!$G$3:$G$103,'non-road'!$F13,Assumptions!CG$3:CG$103)</f>
        <v>0</v>
      </c>
      <c r="AK13" s="39">
        <f ca="1">SUMIFS(Assumptions!CH$3:CH$103,Assumptions!$G$3:$G$103,'non-road'!$F13,Assumptions!$B$3:$B$103,'non-road'!$D13)/SUMIF(Assumptions!$G$3:$G$103,'non-road'!$F13,Assumptions!CH$3:CH$103)</f>
        <v>0</v>
      </c>
      <c r="AL13" s="39">
        <f ca="1">SUMIFS(Assumptions!CI$3:CI$103,Assumptions!$G$3:$G$103,'non-road'!$F13,Assumptions!$B$3:$B$103,'non-road'!$D13)/SUMIF(Assumptions!$G$3:$G$103,'non-road'!$F13,Assumptions!CI$3:CI$103)</f>
        <v>0</v>
      </c>
      <c r="AM13" s="39">
        <f ca="1">SUMIFS(Assumptions!CJ$3:CJ$103,Assumptions!$G$3:$G$103,'non-road'!$F13,Assumptions!$B$3:$B$103,'non-road'!$D13)/SUMIF(Assumptions!$G$3:$G$103,'non-road'!$F13,Assumptions!CJ$3:CJ$103)</f>
        <v>0</v>
      </c>
      <c r="AN13" s="39">
        <f ca="1">SUMIFS(Assumptions!CK$3:CK$103,Assumptions!$G$3:$G$103,'non-road'!$F13,Assumptions!$B$3:$B$103,'non-road'!$D13)/SUMIF(Assumptions!$G$3:$G$103,'non-road'!$F13,Assumptions!CK$3:CK$103)</f>
        <v>0</v>
      </c>
      <c r="AO13" s="39">
        <f ca="1">SUMIFS(Assumptions!CL$3:CL$103,Assumptions!$G$3:$G$103,'non-road'!$F13,Assumptions!$B$3:$B$103,'non-road'!$D13)/SUMIF(Assumptions!$G$3:$G$103,'non-road'!$F13,Assumptions!CL$3:CL$103)</f>
        <v>0</v>
      </c>
      <c r="AP13" s="39" t="e">
        <f ca="1">SUMIFS(Assumptions!CM$3:CM$103,Assumptions!$G$3:$G$103,'non-road'!$F13,Assumptions!$B$3:$B$103,'non-road'!$D13)/SUMIF(Assumptions!$G$3:$G$103,'non-road'!$F13,Assumptions!CM$3:CM$103)</f>
        <v>#DIV/0!</v>
      </c>
      <c r="AQ13" s="39" t="e">
        <f ca="1">SUMIFS(Assumptions!CN$3:CN$103,Assumptions!$G$3:$G$103,'non-road'!$F13,Assumptions!$B$3:$B$103,'non-road'!$D13)/SUMIF(Assumptions!$G$3:$G$103,'non-road'!$F13,Assumptions!CN$3:CN$103)</f>
        <v>#DIV/0!</v>
      </c>
      <c r="AR13" s="39" t="e">
        <f ca="1">SUMIFS(Assumptions!CO$3:CO$103,Assumptions!$G$3:$G$103,'non-road'!$F13,Assumptions!$B$3:$B$103,'non-road'!$D13)/SUMIF(Assumptions!$G$3:$G$103,'non-road'!$F13,Assumptions!CO$3:CO$103)</f>
        <v>#DIV/0!</v>
      </c>
      <c r="AS13" s="39" t="e">
        <f ca="1">SUMIFS(Assumptions!CP$3:CP$103,Assumptions!$G$3:$G$103,'non-road'!$F13,Assumptions!$B$3:$B$103,'non-road'!$D13)/SUMIF(Assumptions!$G$3:$G$103,'non-road'!$F13,Assumptions!CP$3:CP$103)</f>
        <v>#DIV/0!</v>
      </c>
      <c r="AT13" s="39" t="e">
        <f ca="1">SUMIFS(Assumptions!CQ$3:CQ$103,Assumptions!$G$3:$G$103,'non-road'!$F13,Assumptions!$B$3:$B$103,'non-road'!$D13)/SUMIF(Assumptions!$G$3:$G$103,'non-road'!$F13,Assumptions!CQ$3:CQ$103)</f>
        <v>#DIV/0!</v>
      </c>
      <c r="AU13" s="39" t="e">
        <f ca="1">SUMIFS(Assumptions!CR$3:CR$103,Assumptions!$G$3:$G$103,'non-road'!$F13,Assumptions!$B$3:$B$103,'non-road'!$D13)/SUMIF(Assumptions!$G$3:$G$103,'non-road'!$F13,Assumptions!CR$3:CR$103)</f>
        <v>#DIV/0!</v>
      </c>
      <c r="AV13" s="39" t="e">
        <f ca="1">SUMIFS(Assumptions!CS$3:CS$103,Assumptions!$G$3:$G$103,'non-road'!$F13,Assumptions!$B$3:$B$103,'non-road'!$D13)/SUMIF(Assumptions!$G$3:$G$103,'non-road'!$F13,Assumptions!CS$3:CS$103)</f>
        <v>#DIV/0!</v>
      </c>
      <c r="AW13" s="39" t="e">
        <f ca="1">SUMIFS(Assumptions!CT$3:CT$103,Assumptions!$G$3:$G$103,'non-road'!$F13,Assumptions!$B$3:$B$103,'non-road'!$D13)/SUMIF(Assumptions!$G$3:$G$103,'non-road'!$F13,Assumptions!CT$3:CT$103)</f>
        <v>#DIV/0!</v>
      </c>
      <c r="AX13" s="39" t="e">
        <f ca="1">SUMIFS(Assumptions!CU$3:CU$103,Assumptions!$G$3:$G$103,'non-road'!$F13,Assumptions!$B$3:$B$103,'non-road'!$D13)/SUMIF(Assumptions!$G$3:$G$103,'non-road'!$F13,Assumptions!CU$3:CU$103)</f>
        <v>#DIV/0!</v>
      </c>
      <c r="AY13" s="39" t="e">
        <f ca="1">SUMIFS(Assumptions!CV$3:CV$103,Assumptions!$G$3:$G$103,'non-road'!$F13,Assumptions!$B$3:$B$103,'non-road'!$D13)/SUMIF(Assumptions!$G$3:$G$103,'non-road'!$F13,Assumptions!CV$3:CV$103)</f>
        <v>#DIV/0!</v>
      </c>
      <c r="AZ13" s="39" t="e">
        <f ca="1">SUMIFS(Assumptions!CW$3:CW$103,Assumptions!$G$3:$G$103,'non-road'!$F13,Assumptions!$B$3:$B$103,'non-road'!$D13)/SUMIF(Assumptions!$G$3:$G$103,'non-road'!$F13,Assumptions!CW$3:CW$103)</f>
        <v>#DIV/0!</v>
      </c>
      <c r="BA13" s="40"/>
      <c r="BB13" s="39"/>
      <c r="BC13" s="39"/>
      <c r="BD13" s="38" t="str">
        <f t="shared" si="55"/>
        <v>\I:</v>
      </c>
      <c r="BE13" s="39">
        <f>VLOOKUP($F13,Assumptions!$E$152:$BC$157,COLUMN()-COLUMN($BC$4),FALSE)</f>
        <v>1</v>
      </c>
      <c r="BF13" s="39">
        <f>VLOOKUP($F13,Assumptions!$E$152:$BC$157,COLUMN()-COLUMN($BC$4),FALSE)</f>
        <v>1</v>
      </c>
      <c r="BG13" s="39">
        <f>VLOOKUP($F13,Assumptions!$E$152:$BC$157,COLUMN()-COLUMN($BC$4),FALSE)</f>
        <v>1</v>
      </c>
      <c r="BH13" s="39">
        <f>VLOOKUP($F13,Assumptions!$E$152:$BC$157,COLUMN()-COLUMN($BC$4),FALSE)</f>
        <v>1</v>
      </c>
      <c r="BI13" s="39">
        <f>VLOOKUP($F13,Assumptions!$E$152:$BC$157,COLUMN()-COLUMN($BC$4),FALSE)</f>
        <v>1</v>
      </c>
      <c r="BJ13" s="39">
        <f>VLOOKUP($F13,Assumptions!$E$152:$BC$157,COLUMN()-COLUMN($BC$4),FALSE)</f>
        <v>1</v>
      </c>
      <c r="BK13" s="39">
        <f>VLOOKUP($F13,Assumptions!$E$152:$BC$157,COLUMN()-COLUMN($BC$4),FALSE)</f>
        <v>1</v>
      </c>
      <c r="BL13" s="39">
        <f>VLOOKUP($F13,Assumptions!$E$152:$BC$157,COLUMN()-COLUMN($BC$4),FALSE)</f>
        <v>1</v>
      </c>
      <c r="BM13" s="39">
        <f>VLOOKUP($F13,Assumptions!$E$152:$BC$157,COLUMN()-COLUMN($BC$4),FALSE)</f>
        <v>1</v>
      </c>
      <c r="BN13" s="39">
        <f>VLOOKUP($F13,Assumptions!$E$152:$BC$157,COLUMN()-COLUMN($BC$4),FALSE)</f>
        <v>1</v>
      </c>
      <c r="BO13" s="39">
        <f>VLOOKUP($F13,Assumptions!$E$152:$BC$157,COLUMN()-COLUMN($BC$4),FALSE)</f>
        <v>1</v>
      </c>
      <c r="BP13" s="39">
        <f>VLOOKUP($F13,Assumptions!$E$152:$BC$157,COLUMN()-COLUMN($BC$4),FALSE)</f>
        <v>1</v>
      </c>
      <c r="BQ13" s="39">
        <f>VLOOKUP($F13,Assumptions!$E$152:$BC$157,COLUMN()-COLUMN($BC$4),FALSE)</f>
        <v>1</v>
      </c>
      <c r="BR13" s="39">
        <f>VLOOKUP($F13,Assumptions!$E$152:$BC$157,COLUMN()-COLUMN($BC$4),FALSE)</f>
        <v>1</v>
      </c>
      <c r="BS13" s="39">
        <f>VLOOKUP($F13,Assumptions!$E$152:$BC$157,COLUMN()-COLUMN($BC$4),FALSE)</f>
        <v>1</v>
      </c>
      <c r="BT13" s="39">
        <f>VLOOKUP($F13,Assumptions!$E$152:$BC$157,COLUMN()-COLUMN($BC$4),FALSE)</f>
        <v>1</v>
      </c>
      <c r="BU13" s="39">
        <f>VLOOKUP($F13,Assumptions!$E$152:$BC$157,COLUMN()-COLUMN($BC$4),FALSE)</f>
        <v>1</v>
      </c>
      <c r="BV13" s="39">
        <f>VLOOKUP($F13,Assumptions!$E$152:$BC$157,COLUMN()-COLUMN($BC$4),FALSE)</f>
        <v>1</v>
      </c>
      <c r="BW13" s="39">
        <f>VLOOKUP($F13,Assumptions!$E$152:$BC$157,COLUMN()-COLUMN($BC$4),FALSE)</f>
        <v>1</v>
      </c>
      <c r="BX13" s="39">
        <f>VLOOKUP($F13,Assumptions!$E$152:$BC$157,COLUMN()-COLUMN($BC$4),FALSE)</f>
        <v>1</v>
      </c>
      <c r="BY13" s="39">
        <f>VLOOKUP($F13,Assumptions!$E$152:$BC$157,COLUMN()-COLUMN($BC$4),FALSE)</f>
        <v>1</v>
      </c>
      <c r="BZ13" s="39">
        <f>VLOOKUP($F13,Assumptions!$E$152:$BC$157,COLUMN()-COLUMN($BC$4),FALSE)</f>
        <v>1</v>
      </c>
      <c r="CA13" s="39">
        <f>VLOOKUP($F13,Assumptions!$E$152:$BC$157,COLUMN()-COLUMN($BC$4),FALSE)</f>
        <v>1</v>
      </c>
      <c r="CB13" s="39">
        <f>VLOOKUP($F13,Assumptions!$E$152:$BC$157,COLUMN()-COLUMN($BC$4),FALSE)</f>
        <v>1</v>
      </c>
      <c r="CC13" s="39">
        <f>VLOOKUP($F13,Assumptions!$E$152:$BC$157,COLUMN()-COLUMN($BC$4),FALSE)</f>
        <v>1</v>
      </c>
      <c r="CD13" s="39">
        <f>VLOOKUP($F13,Assumptions!$E$152:$BC$157,COLUMN()-COLUMN($BC$4),FALSE)</f>
        <v>1</v>
      </c>
      <c r="CE13" s="39">
        <f>VLOOKUP($F13,Assumptions!$E$152:$BC$157,COLUMN()-COLUMN($BC$4),FALSE)</f>
        <v>1</v>
      </c>
      <c r="CF13" s="39">
        <f>VLOOKUP($F13,Assumptions!$E$152:$BC$157,COLUMN()-COLUMN($BC$4),FALSE)</f>
        <v>1</v>
      </c>
      <c r="CG13" s="39">
        <f>VLOOKUP($F13,Assumptions!$E$152:$BC$157,COLUMN()-COLUMN($BC$4),FALSE)</f>
        <v>1</v>
      </c>
      <c r="CH13" s="39">
        <f>VLOOKUP($F13,Assumptions!$E$152:$BC$157,COLUMN()-COLUMN($BC$4),FALSE)</f>
        <v>1</v>
      </c>
      <c r="CI13" s="39">
        <f>VLOOKUP($F13,Assumptions!$E$152:$BC$157,COLUMN()-COLUMN($BC$4),FALSE)</f>
        <v>1</v>
      </c>
      <c r="CJ13" s="39">
        <f>VLOOKUP($F13,Assumptions!$E$152:$BC$157,COLUMN()-COLUMN($BC$4),FALSE)</f>
        <v>1</v>
      </c>
      <c r="CK13" s="39">
        <f>VLOOKUP($F13,Assumptions!$E$152:$BC$157,COLUMN()-COLUMN($BC$4),FALSE)</f>
        <v>1</v>
      </c>
      <c r="CL13" s="39">
        <f>VLOOKUP($F13,Assumptions!$E$152:$BC$157,COLUMN()-COLUMN($BC$4),FALSE)</f>
        <v>1</v>
      </c>
      <c r="CM13" s="39">
        <f>VLOOKUP($F13,Assumptions!$E$152:$BC$157,COLUMN()-COLUMN($BC$4),FALSE)</f>
        <v>1</v>
      </c>
      <c r="CN13" s="39">
        <f>VLOOKUP($F13,Assumptions!$E$152:$BC$157,COLUMN()-COLUMN($BC$4),FALSE)</f>
        <v>1</v>
      </c>
      <c r="CO13" s="39">
        <f>VLOOKUP($F13,Assumptions!$E$152:$BC$157,COLUMN()-COLUMN($BC$4),FALSE)</f>
        <v>1</v>
      </c>
      <c r="CP13" s="39">
        <f>VLOOKUP($F13,Assumptions!$E$152:$BC$157,COLUMN()-COLUMN($BC$4),FALSE)</f>
        <v>1</v>
      </c>
      <c r="CQ13" s="39">
        <f>VLOOKUP($F13,Assumptions!$E$152:$BC$157,COLUMN()-COLUMN($BC$4),FALSE)</f>
        <v>1</v>
      </c>
      <c r="CR13" s="39">
        <f>VLOOKUP($F13,Assumptions!$E$152:$BC$157,COLUMN()-COLUMN($BC$4),FALSE)</f>
        <v>1</v>
      </c>
      <c r="CS13" s="39">
        <f>VLOOKUP($F13,Assumptions!$E$152:$BC$157,COLUMN()-COLUMN($BC$4),FALSE)</f>
        <v>1</v>
      </c>
      <c r="CT13" s="39">
        <f>VLOOKUP($F13,Assumptions!$E$152:$BC$157,COLUMN()-COLUMN($BC$4),FALSE)</f>
        <v>1</v>
      </c>
      <c r="CU13" s="39">
        <f>VLOOKUP($F13,Assumptions!$E$152:$BC$157,COLUMN()-COLUMN($BC$4),FALSE)</f>
        <v>1</v>
      </c>
      <c r="CV13" s="39">
        <f>VLOOKUP($F13,Assumptions!$E$152:$BC$157,COLUMN()-COLUMN($BC$4),FALSE)</f>
        <v>1</v>
      </c>
      <c r="CW13" s="39">
        <f>VLOOKUP($F13,Assumptions!$E$152:$BC$157,COLUMN()-COLUMN($BC$4),FALSE)</f>
        <v>1</v>
      </c>
      <c r="CX13" s="39">
        <f>VLOOKUP($F13,Assumptions!$E$152:$BC$157,COLUMN()-COLUMN($BC$4),FALSE)</f>
        <v>1</v>
      </c>
      <c r="CY13" s="38"/>
      <c r="CZ13" s="38"/>
      <c r="DA13" s="38" t="str">
        <f t="shared" si="56"/>
        <v>TTP</v>
      </c>
      <c r="DB13" s="39">
        <f ca="1" t="shared" ref="DB13" si="58">IFERROR(DB4/DB$20,"")</f>
        <v>0.00372724366806489</v>
      </c>
      <c r="DC13" s="39">
        <f ca="1" t="shared" ref="DC13:EU13" si="59">IFERROR(DC4/DC$20,"")</f>
        <v>0.00167641904054717</v>
      </c>
      <c r="DD13" s="39">
        <f ca="1" t="shared" si="59"/>
        <v>0.0233036370530404</v>
      </c>
      <c r="DE13" s="39">
        <f ca="1" t="shared" si="59"/>
        <v>0.0207845187333092</v>
      </c>
      <c r="DF13" s="39">
        <f ca="1" t="shared" si="59"/>
        <v>0.00523192639894363</v>
      </c>
      <c r="DG13" s="39">
        <f ca="1" t="shared" si="59"/>
        <v>0.0101682389594397</v>
      </c>
      <c r="DH13" s="39">
        <f ca="1" t="shared" si="59"/>
        <v>0.00614054412365822</v>
      </c>
      <c r="DI13" s="39">
        <f ca="1" t="shared" si="59"/>
        <v>0.015323227919429</v>
      </c>
      <c r="DJ13" s="39">
        <f ca="1" t="shared" si="59"/>
        <v>0.0115406617206393</v>
      </c>
      <c r="DK13" s="39">
        <f ca="1" t="shared" si="59"/>
        <v>0.0154377463667951</v>
      </c>
      <c r="DL13" s="39">
        <f ca="1" t="shared" si="59"/>
        <v>0.0137841190501</v>
      </c>
      <c r="DM13" s="39">
        <f ca="1" t="shared" si="59"/>
        <v>0.0129556609911115</v>
      </c>
      <c r="DN13" s="39">
        <f ca="1" t="shared" si="59"/>
        <v>0.00260220728919621</v>
      </c>
      <c r="DO13" s="39">
        <f ca="1" t="shared" si="59"/>
        <v>0.0130508026396316</v>
      </c>
      <c r="DP13" s="39">
        <f ca="1" t="shared" si="59"/>
        <v>0</v>
      </c>
      <c r="DQ13" s="39">
        <f ca="1" t="shared" si="59"/>
        <v>0.0123658780637107</v>
      </c>
      <c r="DR13" s="39">
        <f ca="1" t="shared" si="59"/>
        <v>0.00115795846376429</v>
      </c>
      <c r="DS13" s="39">
        <f ca="1" t="shared" si="59"/>
        <v>0.0115468384724944</v>
      </c>
      <c r="DT13" s="39">
        <f ca="1" t="shared" si="59"/>
        <v>0.0152324309645855</v>
      </c>
      <c r="DU13" s="39">
        <f ca="1" t="shared" si="59"/>
        <v>0.00144789450386962</v>
      </c>
      <c r="DV13" s="39">
        <f ca="1" t="shared" si="59"/>
        <v>0.000263984274023691</v>
      </c>
      <c r="DW13" s="39">
        <f ca="1" t="shared" si="59"/>
        <v>0.00290150724376189</v>
      </c>
      <c r="DX13" s="39">
        <f ca="1" t="shared" si="59"/>
        <v>0.00817572078888479</v>
      </c>
      <c r="DY13" s="39">
        <f ca="1" t="shared" si="59"/>
        <v>0.0114735792159898</v>
      </c>
      <c r="DZ13" s="39">
        <f ca="1" t="shared" si="59"/>
        <v>0.00460433498937293</v>
      </c>
      <c r="EA13" s="39">
        <f ca="1" t="shared" si="59"/>
        <v>0.0700431304863475</v>
      </c>
      <c r="EB13" s="39">
        <f ca="1" t="shared" si="59"/>
        <v>0</v>
      </c>
      <c r="EC13" s="39">
        <f ca="1" t="shared" si="59"/>
        <v>0.0154393023449215</v>
      </c>
      <c r="ED13" s="39">
        <f ca="1" t="shared" si="59"/>
        <v>0.00882985896203954</v>
      </c>
      <c r="EE13" s="39">
        <f ca="1" t="shared" si="59"/>
        <v>0.0167366185115972</v>
      </c>
      <c r="EF13" s="39">
        <f ca="1" t="shared" si="59"/>
        <v>0.0267532466347748</v>
      </c>
      <c r="EG13" s="39">
        <f ca="1" t="shared" si="59"/>
        <v>0.00364949327614108</v>
      </c>
      <c r="EH13" s="39">
        <f ca="1" t="shared" si="59"/>
        <v>0.00975575448168142</v>
      </c>
      <c r="EI13" s="39">
        <f ca="1" t="shared" si="59"/>
        <v>0.0404436620271209</v>
      </c>
      <c r="EJ13" s="39">
        <f ca="1" t="shared" si="59"/>
        <v>0.0084437490989502</v>
      </c>
      <c r="EK13" s="39">
        <f ca="1" t="shared" si="59"/>
        <v>0</v>
      </c>
      <c r="EL13" s="39">
        <f ca="1" t="shared" si="59"/>
        <v>0</v>
      </c>
      <c r="EM13" s="39">
        <f ca="1" t="shared" si="59"/>
        <v>0</v>
      </c>
      <c r="EN13" s="39">
        <f ca="1" t="shared" si="59"/>
        <v>0</v>
      </c>
      <c r="EO13" s="39">
        <f ca="1" t="shared" si="59"/>
        <v>0</v>
      </c>
      <c r="EP13" s="39">
        <f ca="1" t="shared" si="59"/>
        <v>0</v>
      </c>
      <c r="EQ13" s="39">
        <f ca="1" t="shared" si="59"/>
        <v>0</v>
      </c>
      <c r="ER13" s="39">
        <f ca="1" t="shared" si="59"/>
        <v>0</v>
      </c>
      <c r="ES13" s="39">
        <f ca="1" t="shared" si="59"/>
        <v>0</v>
      </c>
      <c r="ET13" s="39">
        <f ca="1" t="shared" si="59"/>
        <v>0</v>
      </c>
      <c r="EU13" s="39" t="str">
        <f ca="1" t="shared" si="59"/>
        <v/>
      </c>
      <c r="EV13" s="38"/>
      <c r="EW13" s="38" t="str">
        <f t="shared" si="48"/>
        <v>\I:</v>
      </c>
      <c r="EX13" s="38" t="str">
        <f t="shared" si="51"/>
        <v/>
      </c>
      <c r="EY13" s="38" t="s">
        <v>133</v>
      </c>
      <c r="EZ13" s="38" t="s">
        <v>85</v>
      </c>
      <c r="FA13" s="38" t="s">
        <v>440</v>
      </c>
      <c r="FB13" s="38"/>
      <c r="FC13" s="38"/>
      <c r="FD13" s="38"/>
    </row>
    <row r="14" spans="1:160">
      <c r="A14" s="38" t="s">
        <v>443</v>
      </c>
      <c r="B14" s="38"/>
      <c r="C14" s="38" t="str">
        <f t="shared" si="54"/>
        <v/>
      </c>
      <c r="D14" s="38" t="s">
        <v>69</v>
      </c>
      <c r="E14" s="38"/>
      <c r="F14" s="38" t="s">
        <v>198</v>
      </c>
      <c r="G14" s="39">
        <f ca="1">SUMIFS(Assumptions!BD$3:BD$103,Assumptions!$G$3:$G$103,'non-road'!$F14,Assumptions!$B$3:$B$103,'non-road'!$D14)/SUMIF(Assumptions!$G$3:$G$103,'non-road'!$F14,Assumptions!BD$3:BD$103)</f>
        <v>0.169090563313518</v>
      </c>
      <c r="H14" s="39">
        <f ca="1">SUMIFS(Assumptions!BE$3:BE$103,Assumptions!$G$3:$G$103,'non-road'!$F14,Assumptions!$B$3:$B$103,'non-road'!$D14)/SUMIF(Assumptions!$G$3:$G$103,'non-road'!$F14,Assumptions!BE$3:BE$103)</f>
        <v>0</v>
      </c>
      <c r="I14" s="39">
        <f ca="1">SUMIFS(Assumptions!BF$3:BF$103,Assumptions!$G$3:$G$103,'non-road'!$F14,Assumptions!$B$3:$B$103,'non-road'!$D14)/SUMIF(Assumptions!$G$3:$G$103,'non-road'!$F14,Assumptions!BF$3:BF$103)</f>
        <v>0</v>
      </c>
      <c r="J14" s="39">
        <f ca="1">SUMIFS(Assumptions!BG$3:BG$103,Assumptions!$G$3:$G$103,'non-road'!$F14,Assumptions!$B$3:$B$103,'non-road'!$D14)/SUMIF(Assumptions!$G$3:$G$103,'non-road'!$F14,Assumptions!BG$3:BG$103)</f>
        <v>0</v>
      </c>
      <c r="K14" s="39">
        <f ca="1">SUMIFS(Assumptions!BH$3:BH$103,Assumptions!$G$3:$G$103,'non-road'!$F14,Assumptions!$B$3:$B$103,'non-road'!$D14)/SUMIF(Assumptions!$G$3:$G$103,'non-road'!$F14,Assumptions!BH$3:BH$103)</f>
        <v>0</v>
      </c>
      <c r="L14" s="39">
        <f ca="1">SUMIFS(Assumptions!BI$3:BI$103,Assumptions!$G$3:$G$103,'non-road'!$F14,Assumptions!$B$3:$B$103,'non-road'!$D14)/SUMIF(Assumptions!$G$3:$G$103,'non-road'!$F14,Assumptions!BI$3:BI$103)</f>
        <v>0</v>
      </c>
      <c r="M14" s="39">
        <f ca="1">SUMIFS(Assumptions!BJ$3:BJ$103,Assumptions!$G$3:$G$103,'non-road'!$F14,Assumptions!$B$3:$B$103,'non-road'!$D14)/SUMIF(Assumptions!$G$3:$G$103,'non-road'!$F14,Assumptions!BJ$3:BJ$103)</f>
        <v>0</v>
      </c>
      <c r="N14" s="39">
        <f ca="1">SUMIFS(Assumptions!BK$3:BK$103,Assumptions!$G$3:$G$103,'non-road'!$F14,Assumptions!$B$3:$B$103,'non-road'!$D14)/SUMIF(Assumptions!$G$3:$G$103,'non-road'!$F14,Assumptions!BK$3:BK$103)</f>
        <v>0</v>
      </c>
      <c r="O14" s="39">
        <f ca="1">SUMIFS(Assumptions!BL$3:BL$103,Assumptions!$G$3:$G$103,'non-road'!$F14,Assumptions!$B$3:$B$103,'non-road'!$D14)/SUMIF(Assumptions!$G$3:$G$103,'non-road'!$F14,Assumptions!BL$3:BL$103)</f>
        <v>0</v>
      </c>
      <c r="P14" s="39">
        <f ca="1">SUMIFS(Assumptions!BM$3:BM$103,Assumptions!$G$3:$G$103,'non-road'!$F14,Assumptions!$B$3:$B$103,'non-road'!$D14)/SUMIF(Assumptions!$G$3:$G$103,'non-road'!$F14,Assumptions!BM$3:BM$103)</f>
        <v>0</v>
      </c>
      <c r="Q14" s="39">
        <f ca="1">SUMIFS(Assumptions!BN$3:BN$103,Assumptions!$G$3:$G$103,'non-road'!$F14,Assumptions!$B$3:$B$103,'non-road'!$D14)/SUMIF(Assumptions!$G$3:$G$103,'non-road'!$F14,Assumptions!BN$3:BN$103)</f>
        <v>0</v>
      </c>
      <c r="R14" s="39">
        <f ca="1">SUMIFS(Assumptions!BO$3:BO$103,Assumptions!$G$3:$G$103,'non-road'!$F14,Assumptions!$B$3:$B$103,'non-road'!$D14)/SUMIF(Assumptions!$G$3:$G$103,'non-road'!$F14,Assumptions!BO$3:BO$103)</f>
        <v>0</v>
      </c>
      <c r="S14" s="39">
        <f ca="1">SUMIFS(Assumptions!BP$3:BP$103,Assumptions!$G$3:$G$103,'non-road'!$F14,Assumptions!$B$3:$B$103,'non-road'!$D14)/SUMIF(Assumptions!$G$3:$G$103,'non-road'!$F14,Assumptions!BP$3:BP$103)</f>
        <v>0</v>
      </c>
      <c r="T14" s="39">
        <f ca="1">SUMIFS(Assumptions!BQ$3:BQ$103,Assumptions!$G$3:$G$103,'non-road'!$F14,Assumptions!$B$3:$B$103,'non-road'!$D14)/SUMIF(Assumptions!$G$3:$G$103,'non-road'!$F14,Assumptions!BQ$3:BQ$103)</f>
        <v>0</v>
      </c>
      <c r="U14" s="39" t="e">
        <f ca="1">SUMIFS(Assumptions!BR$3:BR$103,Assumptions!$G$3:$G$103,'non-road'!$F14,Assumptions!$B$3:$B$103,'non-road'!$D14)/SUMIF(Assumptions!$G$3:$G$103,'non-road'!$F14,Assumptions!BR$3:BR$103)</f>
        <v>#DIV/0!</v>
      </c>
      <c r="V14" s="39">
        <f ca="1">SUMIFS(Assumptions!BS$3:BS$103,Assumptions!$G$3:$G$103,'non-road'!$F14,Assumptions!$B$3:$B$103,'non-road'!$D14)/SUMIF(Assumptions!$G$3:$G$103,'non-road'!$F14,Assumptions!BS$3:BS$103)</f>
        <v>0</v>
      </c>
      <c r="W14" s="39">
        <f ca="1">SUMIFS(Assumptions!BT$3:BT$103,Assumptions!$G$3:$G$103,'non-road'!$F14,Assumptions!$B$3:$B$103,'non-road'!$D14)/SUMIF(Assumptions!$G$3:$G$103,'non-road'!$F14,Assumptions!BT$3:BT$103)</f>
        <v>0</v>
      </c>
      <c r="X14" s="39">
        <f ca="1">SUMIFS(Assumptions!BU$3:BU$103,Assumptions!$G$3:$G$103,'non-road'!$F14,Assumptions!$B$3:$B$103,'non-road'!$D14)/SUMIF(Assumptions!$G$3:$G$103,'non-road'!$F14,Assumptions!BU$3:BU$103)</f>
        <v>0</v>
      </c>
      <c r="Y14" s="39">
        <f ca="1">SUMIFS(Assumptions!BV$3:BV$103,Assumptions!$G$3:$G$103,'non-road'!$F14,Assumptions!$B$3:$B$103,'non-road'!$D14)/SUMIF(Assumptions!$G$3:$G$103,'non-road'!$F14,Assumptions!BV$3:BV$103)</f>
        <v>0</v>
      </c>
      <c r="Z14" s="39">
        <f ca="1">SUMIFS(Assumptions!BW$3:BW$103,Assumptions!$G$3:$G$103,'non-road'!$F14,Assumptions!$B$3:$B$103,'non-road'!$D14)/SUMIF(Assumptions!$G$3:$G$103,'non-road'!$F14,Assumptions!BW$3:BW$103)</f>
        <v>0</v>
      </c>
      <c r="AA14" s="39">
        <f ca="1">SUMIFS(Assumptions!BX$3:BX$103,Assumptions!$G$3:$G$103,'non-road'!$F14,Assumptions!$B$3:$B$103,'non-road'!$D14)/SUMIF(Assumptions!$G$3:$G$103,'non-road'!$F14,Assumptions!BX$3:BX$103)</f>
        <v>0</v>
      </c>
      <c r="AB14" s="39">
        <f ca="1">SUMIFS(Assumptions!BY$3:BY$103,Assumptions!$G$3:$G$103,'non-road'!$F14,Assumptions!$B$3:$B$103,'non-road'!$D14)/SUMIF(Assumptions!$G$3:$G$103,'non-road'!$F14,Assumptions!BY$3:BY$103)</f>
        <v>0</v>
      </c>
      <c r="AC14" s="39">
        <f ca="1">SUMIFS(Assumptions!BZ$3:BZ$103,Assumptions!$G$3:$G$103,'non-road'!$F14,Assumptions!$B$3:$B$103,'non-road'!$D14)/SUMIF(Assumptions!$G$3:$G$103,'non-road'!$F14,Assumptions!BZ$3:BZ$103)</f>
        <v>0</v>
      </c>
      <c r="AD14" s="39">
        <f ca="1">SUMIFS(Assumptions!CA$3:CA$103,Assumptions!$G$3:$G$103,'non-road'!$F14,Assumptions!$B$3:$B$103,'non-road'!$D14)/SUMIF(Assumptions!$G$3:$G$103,'non-road'!$F14,Assumptions!CA$3:CA$103)</f>
        <v>0</v>
      </c>
      <c r="AE14" s="39">
        <f ca="1">SUMIFS(Assumptions!CB$3:CB$103,Assumptions!$G$3:$G$103,'non-road'!$F14,Assumptions!$B$3:$B$103,'non-road'!$D14)/SUMIF(Assumptions!$G$3:$G$103,'non-road'!$F14,Assumptions!CB$3:CB$103)</f>
        <v>3.46854804046146e-5</v>
      </c>
      <c r="AF14" s="39">
        <f ca="1">SUMIFS(Assumptions!CC$3:CC$103,Assumptions!$G$3:$G$103,'non-road'!$F14,Assumptions!$B$3:$B$103,'non-road'!$D14)/SUMIF(Assumptions!$G$3:$G$103,'non-road'!$F14,Assumptions!CC$3:CC$103)</f>
        <v>5.06619846855245e-5</v>
      </c>
      <c r="AG14" s="39" t="e">
        <f ca="1">SUMIFS(Assumptions!CD$3:CD$103,Assumptions!$G$3:$G$103,'non-road'!$F14,Assumptions!$B$3:$B$103,'non-road'!$D14)/SUMIF(Assumptions!$G$3:$G$103,'non-road'!$F14,Assumptions!CD$3:CD$103)</f>
        <v>#DIV/0!</v>
      </c>
      <c r="AH14" s="39">
        <f ca="1">SUMIFS(Assumptions!CE$3:CE$103,Assumptions!$G$3:$G$103,'non-road'!$F14,Assumptions!$B$3:$B$103,'non-road'!$D14)/SUMIF(Assumptions!$G$3:$G$103,'non-road'!$F14,Assumptions!CE$3:CE$103)</f>
        <v>0.0959503423481481</v>
      </c>
      <c r="AI14" s="39">
        <f ca="1">SUMIFS(Assumptions!CF$3:CF$103,Assumptions!$G$3:$G$103,'non-road'!$F14,Assumptions!$B$3:$B$103,'non-road'!$D14)/SUMIF(Assumptions!$G$3:$G$103,'non-road'!$F14,Assumptions!CF$3:CF$103)</f>
        <v>0</v>
      </c>
      <c r="AJ14" s="39">
        <f ca="1">SUMIFS(Assumptions!CG$3:CG$103,Assumptions!$G$3:$G$103,'non-road'!$F14,Assumptions!$B$3:$B$103,'non-road'!$D14)/SUMIF(Assumptions!$G$3:$G$103,'non-road'!$F14,Assumptions!CG$3:CG$103)</f>
        <v>0</v>
      </c>
      <c r="AK14" s="39">
        <f ca="1">SUMIFS(Assumptions!CH$3:CH$103,Assumptions!$G$3:$G$103,'non-road'!$F14,Assumptions!$B$3:$B$103,'non-road'!$D14)/SUMIF(Assumptions!$G$3:$G$103,'non-road'!$F14,Assumptions!CH$3:CH$103)</f>
        <v>0</v>
      </c>
      <c r="AL14" s="39">
        <f ca="1">SUMIFS(Assumptions!CI$3:CI$103,Assumptions!$G$3:$G$103,'non-road'!$F14,Assumptions!$B$3:$B$103,'non-road'!$D14)/SUMIF(Assumptions!$G$3:$G$103,'non-road'!$F14,Assumptions!CI$3:CI$103)</f>
        <v>0</v>
      </c>
      <c r="AM14" s="39">
        <f ca="1">SUMIFS(Assumptions!CJ$3:CJ$103,Assumptions!$G$3:$G$103,'non-road'!$F14,Assumptions!$B$3:$B$103,'non-road'!$D14)/SUMIF(Assumptions!$G$3:$G$103,'non-road'!$F14,Assumptions!CJ$3:CJ$103)</f>
        <v>0</v>
      </c>
      <c r="AN14" s="39">
        <f ca="1">SUMIFS(Assumptions!CK$3:CK$103,Assumptions!$G$3:$G$103,'non-road'!$F14,Assumptions!$B$3:$B$103,'non-road'!$D14)/SUMIF(Assumptions!$G$3:$G$103,'non-road'!$F14,Assumptions!CK$3:CK$103)</f>
        <v>0</v>
      </c>
      <c r="AO14" s="39">
        <f ca="1">SUMIFS(Assumptions!CL$3:CL$103,Assumptions!$G$3:$G$103,'non-road'!$F14,Assumptions!$B$3:$B$103,'non-road'!$D14)/SUMIF(Assumptions!$G$3:$G$103,'non-road'!$F14,Assumptions!CL$3:CL$103)</f>
        <v>0</v>
      </c>
      <c r="AP14" s="39" t="e">
        <f ca="1">SUMIFS(Assumptions!CM$3:CM$103,Assumptions!$G$3:$G$103,'non-road'!$F14,Assumptions!$B$3:$B$103,'non-road'!$D14)/SUMIF(Assumptions!$G$3:$G$103,'non-road'!$F14,Assumptions!CM$3:CM$103)</f>
        <v>#DIV/0!</v>
      </c>
      <c r="AQ14" s="39" t="e">
        <f ca="1">SUMIFS(Assumptions!CN$3:CN$103,Assumptions!$G$3:$G$103,'non-road'!$F14,Assumptions!$B$3:$B$103,'non-road'!$D14)/SUMIF(Assumptions!$G$3:$G$103,'non-road'!$F14,Assumptions!CN$3:CN$103)</f>
        <v>#DIV/0!</v>
      </c>
      <c r="AR14" s="39" t="e">
        <f ca="1">SUMIFS(Assumptions!CO$3:CO$103,Assumptions!$G$3:$G$103,'non-road'!$F14,Assumptions!$B$3:$B$103,'non-road'!$D14)/SUMIF(Assumptions!$G$3:$G$103,'non-road'!$F14,Assumptions!CO$3:CO$103)</f>
        <v>#DIV/0!</v>
      </c>
      <c r="AS14" s="39" t="e">
        <f ca="1">SUMIFS(Assumptions!CP$3:CP$103,Assumptions!$G$3:$G$103,'non-road'!$F14,Assumptions!$B$3:$B$103,'non-road'!$D14)/SUMIF(Assumptions!$G$3:$G$103,'non-road'!$F14,Assumptions!CP$3:CP$103)</f>
        <v>#DIV/0!</v>
      </c>
      <c r="AT14" s="39" t="e">
        <f ca="1">SUMIFS(Assumptions!CQ$3:CQ$103,Assumptions!$G$3:$G$103,'non-road'!$F14,Assumptions!$B$3:$B$103,'non-road'!$D14)/SUMIF(Assumptions!$G$3:$G$103,'non-road'!$F14,Assumptions!CQ$3:CQ$103)</f>
        <v>#DIV/0!</v>
      </c>
      <c r="AU14" s="39" t="e">
        <f ca="1">SUMIFS(Assumptions!CR$3:CR$103,Assumptions!$G$3:$G$103,'non-road'!$F14,Assumptions!$B$3:$B$103,'non-road'!$D14)/SUMIF(Assumptions!$G$3:$G$103,'non-road'!$F14,Assumptions!CR$3:CR$103)</f>
        <v>#DIV/0!</v>
      </c>
      <c r="AV14" s="39" t="e">
        <f ca="1">SUMIFS(Assumptions!CS$3:CS$103,Assumptions!$G$3:$G$103,'non-road'!$F14,Assumptions!$B$3:$B$103,'non-road'!$D14)/SUMIF(Assumptions!$G$3:$G$103,'non-road'!$F14,Assumptions!CS$3:CS$103)</f>
        <v>#DIV/0!</v>
      </c>
      <c r="AW14" s="39" t="e">
        <f ca="1">SUMIFS(Assumptions!CT$3:CT$103,Assumptions!$G$3:$G$103,'non-road'!$F14,Assumptions!$B$3:$B$103,'non-road'!$D14)/SUMIF(Assumptions!$G$3:$G$103,'non-road'!$F14,Assumptions!CT$3:CT$103)</f>
        <v>#DIV/0!</v>
      </c>
      <c r="AX14" s="39" t="e">
        <f ca="1">SUMIFS(Assumptions!CU$3:CU$103,Assumptions!$G$3:$G$103,'non-road'!$F14,Assumptions!$B$3:$B$103,'non-road'!$D14)/SUMIF(Assumptions!$G$3:$G$103,'non-road'!$F14,Assumptions!CU$3:CU$103)</f>
        <v>#DIV/0!</v>
      </c>
      <c r="AY14" s="39" t="e">
        <f ca="1">SUMIFS(Assumptions!CV$3:CV$103,Assumptions!$G$3:$G$103,'non-road'!$F14,Assumptions!$B$3:$B$103,'non-road'!$D14)/SUMIF(Assumptions!$G$3:$G$103,'non-road'!$F14,Assumptions!CV$3:CV$103)</f>
        <v>#DIV/0!</v>
      </c>
      <c r="AZ14" s="39" t="e">
        <f ca="1">SUMIFS(Assumptions!CW$3:CW$103,Assumptions!$G$3:$G$103,'non-road'!$F14,Assumptions!$B$3:$B$103,'non-road'!$D14)/SUMIF(Assumptions!$G$3:$G$103,'non-road'!$F14,Assumptions!CW$3:CW$103)</f>
        <v>#DIV/0!</v>
      </c>
      <c r="BA14" s="40"/>
      <c r="BB14" s="39"/>
      <c r="BC14" s="39"/>
      <c r="BD14" s="38" t="str">
        <f t="shared" si="55"/>
        <v>\I:</v>
      </c>
      <c r="BE14" s="39">
        <f>VLOOKUP($F14,Assumptions!$E$152:$BC$157,COLUMN()-COLUMN($BC$4),FALSE)</f>
        <v>1</v>
      </c>
      <c r="BF14" s="39">
        <f>VLOOKUP($F14,Assumptions!$E$152:$BC$157,COLUMN()-COLUMN($BC$4),FALSE)</f>
        <v>1</v>
      </c>
      <c r="BG14" s="39">
        <f>VLOOKUP($F14,Assumptions!$E$152:$BC$157,COLUMN()-COLUMN($BC$4),FALSE)</f>
        <v>1</v>
      </c>
      <c r="BH14" s="39">
        <f>VLOOKUP($F14,Assumptions!$E$152:$BC$157,COLUMN()-COLUMN($BC$4),FALSE)</f>
        <v>1</v>
      </c>
      <c r="BI14" s="39">
        <f>VLOOKUP($F14,Assumptions!$E$152:$BC$157,COLUMN()-COLUMN($BC$4),FALSE)</f>
        <v>1</v>
      </c>
      <c r="BJ14" s="39">
        <f>VLOOKUP($F14,Assumptions!$E$152:$BC$157,COLUMN()-COLUMN($BC$4),FALSE)</f>
        <v>1</v>
      </c>
      <c r="BK14" s="39">
        <f>VLOOKUP($F14,Assumptions!$E$152:$BC$157,COLUMN()-COLUMN($BC$4),FALSE)</f>
        <v>1</v>
      </c>
      <c r="BL14" s="39">
        <f>VLOOKUP($F14,Assumptions!$E$152:$BC$157,COLUMN()-COLUMN($BC$4),FALSE)</f>
        <v>1</v>
      </c>
      <c r="BM14" s="39">
        <f>VLOOKUP($F14,Assumptions!$E$152:$BC$157,COLUMN()-COLUMN($BC$4),FALSE)</f>
        <v>1</v>
      </c>
      <c r="BN14" s="39">
        <f>VLOOKUP($F14,Assumptions!$E$152:$BC$157,COLUMN()-COLUMN($BC$4),FALSE)</f>
        <v>1</v>
      </c>
      <c r="BO14" s="39">
        <f>VLOOKUP($F14,Assumptions!$E$152:$BC$157,COLUMN()-COLUMN($BC$4),FALSE)</f>
        <v>1</v>
      </c>
      <c r="BP14" s="39">
        <f>VLOOKUP($F14,Assumptions!$E$152:$BC$157,COLUMN()-COLUMN($BC$4),FALSE)</f>
        <v>1</v>
      </c>
      <c r="BQ14" s="39">
        <f>VLOOKUP($F14,Assumptions!$E$152:$BC$157,COLUMN()-COLUMN($BC$4),FALSE)</f>
        <v>1</v>
      </c>
      <c r="BR14" s="39">
        <f>VLOOKUP($F14,Assumptions!$E$152:$BC$157,COLUMN()-COLUMN($BC$4),FALSE)</f>
        <v>1</v>
      </c>
      <c r="BS14" s="39">
        <f>VLOOKUP($F14,Assumptions!$E$152:$BC$157,COLUMN()-COLUMN($BC$4),FALSE)</f>
        <v>1</v>
      </c>
      <c r="BT14" s="39">
        <f>VLOOKUP($F14,Assumptions!$E$152:$BC$157,COLUMN()-COLUMN($BC$4),FALSE)</f>
        <v>1</v>
      </c>
      <c r="BU14" s="39">
        <f>VLOOKUP($F14,Assumptions!$E$152:$BC$157,COLUMN()-COLUMN($BC$4),FALSE)</f>
        <v>1</v>
      </c>
      <c r="BV14" s="39">
        <f>VLOOKUP($F14,Assumptions!$E$152:$BC$157,COLUMN()-COLUMN($BC$4),FALSE)</f>
        <v>1</v>
      </c>
      <c r="BW14" s="39">
        <f>VLOOKUP($F14,Assumptions!$E$152:$BC$157,COLUMN()-COLUMN($BC$4),FALSE)</f>
        <v>1</v>
      </c>
      <c r="BX14" s="39">
        <f>VLOOKUP($F14,Assumptions!$E$152:$BC$157,COLUMN()-COLUMN($BC$4),FALSE)</f>
        <v>1</v>
      </c>
      <c r="BY14" s="39">
        <f>VLOOKUP($F14,Assumptions!$E$152:$BC$157,COLUMN()-COLUMN($BC$4),FALSE)</f>
        <v>1</v>
      </c>
      <c r="BZ14" s="39">
        <f>VLOOKUP($F14,Assumptions!$E$152:$BC$157,COLUMN()-COLUMN($BC$4),FALSE)</f>
        <v>1</v>
      </c>
      <c r="CA14" s="39">
        <f>VLOOKUP($F14,Assumptions!$E$152:$BC$157,COLUMN()-COLUMN($BC$4),FALSE)</f>
        <v>1</v>
      </c>
      <c r="CB14" s="39">
        <f>VLOOKUP($F14,Assumptions!$E$152:$BC$157,COLUMN()-COLUMN($BC$4),FALSE)</f>
        <v>1</v>
      </c>
      <c r="CC14" s="39">
        <f>VLOOKUP($F14,Assumptions!$E$152:$BC$157,COLUMN()-COLUMN($BC$4),FALSE)</f>
        <v>1</v>
      </c>
      <c r="CD14" s="39">
        <f>VLOOKUP($F14,Assumptions!$E$152:$BC$157,COLUMN()-COLUMN($BC$4),FALSE)</f>
        <v>1</v>
      </c>
      <c r="CE14" s="39">
        <f>VLOOKUP($F14,Assumptions!$E$152:$BC$157,COLUMN()-COLUMN($BC$4),FALSE)</f>
        <v>1</v>
      </c>
      <c r="CF14" s="39">
        <f>VLOOKUP($F14,Assumptions!$E$152:$BC$157,COLUMN()-COLUMN($BC$4),FALSE)</f>
        <v>1</v>
      </c>
      <c r="CG14" s="39">
        <f>VLOOKUP($F14,Assumptions!$E$152:$BC$157,COLUMN()-COLUMN($BC$4),FALSE)</f>
        <v>1</v>
      </c>
      <c r="CH14" s="39">
        <f>VLOOKUP($F14,Assumptions!$E$152:$BC$157,COLUMN()-COLUMN($BC$4),FALSE)</f>
        <v>1</v>
      </c>
      <c r="CI14" s="39">
        <f>VLOOKUP($F14,Assumptions!$E$152:$BC$157,COLUMN()-COLUMN($BC$4),FALSE)</f>
        <v>1</v>
      </c>
      <c r="CJ14" s="39">
        <f>VLOOKUP($F14,Assumptions!$E$152:$BC$157,COLUMN()-COLUMN($BC$4),FALSE)</f>
        <v>1</v>
      </c>
      <c r="CK14" s="39">
        <f>VLOOKUP($F14,Assumptions!$E$152:$BC$157,COLUMN()-COLUMN($BC$4),FALSE)</f>
        <v>1</v>
      </c>
      <c r="CL14" s="39">
        <f>VLOOKUP($F14,Assumptions!$E$152:$BC$157,COLUMN()-COLUMN($BC$4),FALSE)</f>
        <v>1</v>
      </c>
      <c r="CM14" s="39">
        <f>VLOOKUP($F14,Assumptions!$E$152:$BC$157,COLUMN()-COLUMN($BC$4),FALSE)</f>
        <v>1</v>
      </c>
      <c r="CN14" s="39">
        <f>VLOOKUP($F14,Assumptions!$E$152:$BC$157,COLUMN()-COLUMN($BC$4),FALSE)</f>
        <v>1</v>
      </c>
      <c r="CO14" s="39">
        <f>VLOOKUP($F14,Assumptions!$E$152:$BC$157,COLUMN()-COLUMN($BC$4),FALSE)</f>
        <v>1</v>
      </c>
      <c r="CP14" s="39">
        <f>VLOOKUP($F14,Assumptions!$E$152:$BC$157,COLUMN()-COLUMN($BC$4),FALSE)</f>
        <v>1</v>
      </c>
      <c r="CQ14" s="39">
        <f>VLOOKUP($F14,Assumptions!$E$152:$BC$157,COLUMN()-COLUMN($BC$4),FALSE)</f>
        <v>1</v>
      </c>
      <c r="CR14" s="39">
        <f>VLOOKUP($F14,Assumptions!$E$152:$BC$157,COLUMN()-COLUMN($BC$4),FALSE)</f>
        <v>1</v>
      </c>
      <c r="CS14" s="39">
        <f>VLOOKUP($F14,Assumptions!$E$152:$BC$157,COLUMN()-COLUMN($BC$4),FALSE)</f>
        <v>1</v>
      </c>
      <c r="CT14" s="39">
        <f>VLOOKUP($F14,Assumptions!$E$152:$BC$157,COLUMN()-COLUMN($BC$4),FALSE)</f>
        <v>1</v>
      </c>
      <c r="CU14" s="39">
        <f>VLOOKUP($F14,Assumptions!$E$152:$BC$157,COLUMN()-COLUMN($BC$4),FALSE)</f>
        <v>1</v>
      </c>
      <c r="CV14" s="39">
        <f>VLOOKUP($F14,Assumptions!$E$152:$BC$157,COLUMN()-COLUMN($BC$4),FALSE)</f>
        <v>1</v>
      </c>
      <c r="CW14" s="39">
        <f>VLOOKUP($F14,Assumptions!$E$152:$BC$157,COLUMN()-COLUMN($BC$4),FALSE)</f>
        <v>1</v>
      </c>
      <c r="CX14" s="39">
        <f>VLOOKUP($F14,Assumptions!$E$152:$BC$157,COLUMN()-COLUMN($BC$4),FALSE)</f>
        <v>1</v>
      </c>
      <c r="CY14" s="38"/>
      <c r="CZ14" s="38"/>
      <c r="DA14" s="38" t="str">
        <f t="shared" si="56"/>
        <v>TAI</v>
      </c>
      <c r="DB14" s="39">
        <f t="shared" ref="DB14" si="60">IFERROR(DB5/DB$20,"")</f>
        <v>0.0491127716539974</v>
      </c>
      <c r="DC14" s="39">
        <f t="shared" ref="DC14:EU14" si="61">IFERROR(DC5/DC$20,"")</f>
        <v>0.0687812083200811</v>
      </c>
      <c r="DD14" s="39">
        <f t="shared" si="61"/>
        <v>0.219026628025629</v>
      </c>
      <c r="DE14" s="39">
        <f t="shared" si="61"/>
        <v>0.113089600661219</v>
      </c>
      <c r="DF14" s="39">
        <f t="shared" si="61"/>
        <v>0.101862358253205</v>
      </c>
      <c r="DG14" s="39">
        <f t="shared" si="61"/>
        <v>0.214632723227954</v>
      </c>
      <c r="DH14" s="39">
        <f t="shared" si="61"/>
        <v>0.0372289264048618</v>
      </c>
      <c r="DI14" s="39">
        <f t="shared" si="61"/>
        <v>0.0210796378210044</v>
      </c>
      <c r="DJ14" s="39">
        <f t="shared" si="61"/>
        <v>0.068903589615781</v>
      </c>
      <c r="DK14" s="39">
        <f t="shared" si="61"/>
        <v>0.0421124430097958</v>
      </c>
      <c r="DL14" s="39">
        <f t="shared" si="61"/>
        <v>0.115560603020397</v>
      </c>
      <c r="DM14" s="39">
        <f t="shared" si="61"/>
        <v>0.127339325626497</v>
      </c>
      <c r="DN14" s="39">
        <f t="shared" si="61"/>
        <v>0.224184773701811</v>
      </c>
      <c r="DO14" s="39">
        <f t="shared" si="61"/>
        <v>0.0421874699915565</v>
      </c>
      <c r="DP14" s="39">
        <f t="shared" si="61"/>
        <v>0.821770792128991</v>
      </c>
      <c r="DQ14" s="39">
        <f t="shared" si="61"/>
        <v>0.0212587498951731</v>
      </c>
      <c r="DR14" s="39">
        <f t="shared" si="61"/>
        <v>0.149737263408866</v>
      </c>
      <c r="DS14" s="39">
        <f t="shared" si="61"/>
        <v>0.0991055798325218</v>
      </c>
      <c r="DT14" s="39">
        <f t="shared" si="61"/>
        <v>0.0694495045658094</v>
      </c>
      <c r="DU14" s="39">
        <f t="shared" si="61"/>
        <v>0.087505424464335</v>
      </c>
      <c r="DV14" s="39">
        <f t="shared" si="61"/>
        <v>0.195710158820623</v>
      </c>
      <c r="DW14" s="39">
        <f t="shared" si="61"/>
        <v>0.0640535111347988</v>
      </c>
      <c r="DX14" s="39">
        <f t="shared" si="61"/>
        <v>0.0864327239400538</v>
      </c>
      <c r="DY14" s="39">
        <f t="shared" si="61"/>
        <v>0.0489839586281127</v>
      </c>
      <c r="DZ14" s="39">
        <f t="shared" si="61"/>
        <v>0.124422139346367</v>
      </c>
      <c r="EA14" s="39">
        <f t="shared" si="61"/>
        <v>0.103003756111401</v>
      </c>
      <c r="EB14" s="39">
        <f t="shared" si="61"/>
        <v>0.0893799243139293</v>
      </c>
      <c r="EC14" s="39">
        <f t="shared" si="61"/>
        <v>0.073620509173362</v>
      </c>
      <c r="ED14" s="39">
        <f t="shared" si="61"/>
        <v>0.15745837465292</v>
      </c>
      <c r="EE14" s="39">
        <f t="shared" si="61"/>
        <v>0.140956337700571</v>
      </c>
      <c r="EF14" s="39">
        <f t="shared" si="61"/>
        <v>0.189769248246799</v>
      </c>
      <c r="EG14" s="39">
        <f t="shared" si="61"/>
        <v>0.119571446614108</v>
      </c>
      <c r="EH14" s="39">
        <f t="shared" si="61"/>
        <v>0.208670744699711</v>
      </c>
      <c r="EI14" s="39">
        <f t="shared" si="61"/>
        <v>0.0189094305303829</v>
      </c>
      <c r="EJ14" s="39">
        <f t="shared" si="61"/>
        <v>0.0506233622070524</v>
      </c>
      <c r="EK14" s="39">
        <f t="shared" si="61"/>
        <v>0</v>
      </c>
      <c r="EL14" s="39">
        <f t="shared" si="61"/>
        <v>0</v>
      </c>
      <c r="EM14" s="39">
        <f t="shared" si="61"/>
        <v>0</v>
      </c>
      <c r="EN14" s="39">
        <f t="shared" si="61"/>
        <v>0</v>
      </c>
      <c r="EO14" s="39">
        <f t="shared" si="61"/>
        <v>0</v>
      </c>
      <c r="EP14" s="39">
        <f t="shared" si="61"/>
        <v>0</v>
      </c>
      <c r="EQ14" s="39">
        <f t="shared" si="61"/>
        <v>0</v>
      </c>
      <c r="ER14" s="39">
        <f t="shared" si="61"/>
        <v>0</v>
      </c>
      <c r="ES14" s="39">
        <f t="shared" si="61"/>
        <v>0</v>
      </c>
      <c r="ET14" s="39">
        <f t="shared" si="61"/>
        <v>0</v>
      </c>
      <c r="EU14" s="39" t="str">
        <f t="shared" si="61"/>
        <v/>
      </c>
      <c r="EV14" s="38"/>
      <c r="EW14" s="38" t="str">
        <f t="shared" si="48"/>
        <v>\I:</v>
      </c>
      <c r="EX14" s="38" t="str">
        <f t="shared" si="51"/>
        <v/>
      </c>
      <c r="EY14" s="38" t="s">
        <v>133</v>
      </c>
      <c r="EZ14" s="38" t="s">
        <v>85</v>
      </c>
      <c r="FA14" s="38" t="s">
        <v>440</v>
      </c>
      <c r="FB14" s="38"/>
      <c r="FC14" s="38"/>
      <c r="FD14" s="38"/>
    </row>
    <row r="15" spans="1:160">
      <c r="A15" s="38" t="s">
        <v>444</v>
      </c>
      <c r="B15" s="38"/>
      <c r="C15" s="38" t="str">
        <f t="shared" si="54"/>
        <v/>
      </c>
      <c r="D15" s="38" t="s">
        <v>74</v>
      </c>
      <c r="E15" s="38"/>
      <c r="F15" s="38" t="s">
        <v>198</v>
      </c>
      <c r="G15" s="39">
        <f ca="1">SUMIFS(Assumptions!BD$3:BD$103,Assumptions!$G$3:$G$103,'non-road'!$F15,Assumptions!$B$3:$B$103,'non-road'!$D15)/SUMIF(Assumptions!$G$3:$G$103,'non-road'!$F15,Assumptions!BD$3:BD$103)</f>
        <v>0</v>
      </c>
      <c r="H15" s="39">
        <f ca="1">SUMIFS(Assumptions!BE$3:BE$103,Assumptions!$G$3:$G$103,'non-road'!$F15,Assumptions!$B$3:$B$103,'non-road'!$D15)/SUMIF(Assumptions!$G$3:$G$103,'non-road'!$F15,Assumptions!BE$3:BE$103)</f>
        <v>0</v>
      </c>
      <c r="I15" s="39">
        <f ca="1">SUMIFS(Assumptions!BF$3:BF$103,Assumptions!$G$3:$G$103,'non-road'!$F15,Assumptions!$B$3:$B$103,'non-road'!$D15)/SUMIF(Assumptions!$G$3:$G$103,'non-road'!$F15,Assumptions!BF$3:BF$103)</f>
        <v>0</v>
      </c>
      <c r="J15" s="39">
        <f ca="1">SUMIFS(Assumptions!BG$3:BG$103,Assumptions!$G$3:$G$103,'non-road'!$F15,Assumptions!$B$3:$B$103,'non-road'!$D15)/SUMIF(Assumptions!$G$3:$G$103,'non-road'!$F15,Assumptions!BG$3:BG$103)</f>
        <v>0</v>
      </c>
      <c r="K15" s="39">
        <f ca="1">SUMIFS(Assumptions!BH$3:BH$103,Assumptions!$G$3:$G$103,'non-road'!$F15,Assumptions!$B$3:$B$103,'non-road'!$D15)/SUMIF(Assumptions!$G$3:$G$103,'non-road'!$F15,Assumptions!BH$3:BH$103)</f>
        <v>0</v>
      </c>
      <c r="L15" s="39">
        <f ca="1">SUMIFS(Assumptions!BI$3:BI$103,Assumptions!$G$3:$G$103,'non-road'!$F15,Assumptions!$B$3:$B$103,'non-road'!$D15)/SUMIF(Assumptions!$G$3:$G$103,'non-road'!$F15,Assumptions!BI$3:BI$103)</f>
        <v>0</v>
      </c>
      <c r="M15" s="39">
        <f ca="1">SUMIFS(Assumptions!BJ$3:BJ$103,Assumptions!$G$3:$G$103,'non-road'!$F15,Assumptions!$B$3:$B$103,'non-road'!$D15)/SUMIF(Assumptions!$G$3:$G$103,'non-road'!$F15,Assumptions!BJ$3:BJ$103)</f>
        <v>0</v>
      </c>
      <c r="N15" s="39">
        <f ca="1">SUMIFS(Assumptions!BK$3:BK$103,Assumptions!$G$3:$G$103,'non-road'!$F15,Assumptions!$B$3:$B$103,'non-road'!$D15)/SUMIF(Assumptions!$G$3:$G$103,'non-road'!$F15,Assumptions!BK$3:BK$103)</f>
        <v>0</v>
      </c>
      <c r="O15" s="39">
        <f ca="1">SUMIFS(Assumptions!BL$3:BL$103,Assumptions!$G$3:$G$103,'non-road'!$F15,Assumptions!$B$3:$B$103,'non-road'!$D15)/SUMIF(Assumptions!$G$3:$G$103,'non-road'!$F15,Assumptions!BL$3:BL$103)</f>
        <v>0</v>
      </c>
      <c r="P15" s="39">
        <f ca="1">SUMIFS(Assumptions!BM$3:BM$103,Assumptions!$G$3:$G$103,'non-road'!$F15,Assumptions!$B$3:$B$103,'non-road'!$D15)/SUMIF(Assumptions!$G$3:$G$103,'non-road'!$F15,Assumptions!BM$3:BM$103)</f>
        <v>0</v>
      </c>
      <c r="Q15" s="39">
        <f ca="1">SUMIFS(Assumptions!BN$3:BN$103,Assumptions!$G$3:$G$103,'non-road'!$F15,Assumptions!$B$3:$B$103,'non-road'!$D15)/SUMIF(Assumptions!$G$3:$G$103,'non-road'!$F15,Assumptions!BN$3:BN$103)</f>
        <v>0</v>
      </c>
      <c r="R15" s="39">
        <f ca="1">SUMIFS(Assumptions!BO$3:BO$103,Assumptions!$G$3:$G$103,'non-road'!$F15,Assumptions!$B$3:$B$103,'non-road'!$D15)/SUMIF(Assumptions!$G$3:$G$103,'non-road'!$F15,Assumptions!BO$3:BO$103)</f>
        <v>0</v>
      </c>
      <c r="S15" s="39">
        <f ca="1">SUMIFS(Assumptions!BP$3:BP$103,Assumptions!$G$3:$G$103,'non-road'!$F15,Assumptions!$B$3:$B$103,'non-road'!$D15)/SUMIF(Assumptions!$G$3:$G$103,'non-road'!$F15,Assumptions!BP$3:BP$103)</f>
        <v>0</v>
      </c>
      <c r="T15" s="39">
        <f ca="1">SUMIFS(Assumptions!BQ$3:BQ$103,Assumptions!$G$3:$G$103,'non-road'!$F15,Assumptions!$B$3:$B$103,'non-road'!$D15)/SUMIF(Assumptions!$G$3:$G$103,'non-road'!$F15,Assumptions!BQ$3:BQ$103)</f>
        <v>0</v>
      </c>
      <c r="U15" s="39" t="e">
        <f ca="1">SUMIFS(Assumptions!BR$3:BR$103,Assumptions!$G$3:$G$103,'non-road'!$F15,Assumptions!$B$3:$B$103,'non-road'!$D15)/SUMIF(Assumptions!$G$3:$G$103,'non-road'!$F15,Assumptions!BR$3:BR$103)</f>
        <v>#DIV/0!</v>
      </c>
      <c r="V15" s="39">
        <f ca="1">SUMIFS(Assumptions!BS$3:BS$103,Assumptions!$G$3:$G$103,'non-road'!$F15,Assumptions!$B$3:$B$103,'non-road'!$D15)/SUMIF(Assumptions!$G$3:$G$103,'non-road'!$F15,Assumptions!BS$3:BS$103)</f>
        <v>0</v>
      </c>
      <c r="W15" s="39">
        <f ca="1">SUMIFS(Assumptions!BT$3:BT$103,Assumptions!$G$3:$G$103,'non-road'!$F15,Assumptions!$B$3:$B$103,'non-road'!$D15)/SUMIF(Assumptions!$G$3:$G$103,'non-road'!$F15,Assumptions!BT$3:BT$103)</f>
        <v>0</v>
      </c>
      <c r="X15" s="39">
        <f ca="1">SUMIFS(Assumptions!BU$3:BU$103,Assumptions!$G$3:$G$103,'non-road'!$F15,Assumptions!$B$3:$B$103,'non-road'!$D15)/SUMIF(Assumptions!$G$3:$G$103,'non-road'!$F15,Assumptions!BU$3:BU$103)</f>
        <v>0</v>
      </c>
      <c r="Y15" s="39">
        <f ca="1">SUMIFS(Assumptions!BV$3:BV$103,Assumptions!$G$3:$G$103,'non-road'!$F15,Assumptions!$B$3:$B$103,'non-road'!$D15)/SUMIF(Assumptions!$G$3:$G$103,'non-road'!$F15,Assumptions!BV$3:BV$103)</f>
        <v>0</v>
      </c>
      <c r="Z15" s="39">
        <f ca="1">SUMIFS(Assumptions!BW$3:BW$103,Assumptions!$G$3:$G$103,'non-road'!$F15,Assumptions!$B$3:$B$103,'non-road'!$D15)/SUMIF(Assumptions!$G$3:$G$103,'non-road'!$F15,Assumptions!BW$3:BW$103)</f>
        <v>0</v>
      </c>
      <c r="AA15" s="39">
        <f ca="1">SUMIFS(Assumptions!BX$3:BX$103,Assumptions!$G$3:$G$103,'non-road'!$F15,Assumptions!$B$3:$B$103,'non-road'!$D15)/SUMIF(Assumptions!$G$3:$G$103,'non-road'!$F15,Assumptions!BX$3:BX$103)</f>
        <v>0</v>
      </c>
      <c r="AB15" s="39">
        <f ca="1">SUMIFS(Assumptions!BY$3:BY$103,Assumptions!$G$3:$G$103,'non-road'!$F15,Assumptions!$B$3:$B$103,'non-road'!$D15)/SUMIF(Assumptions!$G$3:$G$103,'non-road'!$F15,Assumptions!BY$3:BY$103)</f>
        <v>0</v>
      </c>
      <c r="AC15" s="39">
        <f ca="1">SUMIFS(Assumptions!BZ$3:BZ$103,Assumptions!$G$3:$G$103,'non-road'!$F15,Assumptions!$B$3:$B$103,'non-road'!$D15)/SUMIF(Assumptions!$G$3:$G$103,'non-road'!$F15,Assumptions!BZ$3:BZ$103)</f>
        <v>0</v>
      </c>
      <c r="AD15" s="39">
        <f ca="1">SUMIFS(Assumptions!CA$3:CA$103,Assumptions!$G$3:$G$103,'non-road'!$F15,Assumptions!$B$3:$B$103,'non-road'!$D15)/SUMIF(Assumptions!$G$3:$G$103,'non-road'!$F15,Assumptions!CA$3:CA$103)</f>
        <v>0</v>
      </c>
      <c r="AE15" s="39">
        <f ca="1">SUMIFS(Assumptions!CB$3:CB$103,Assumptions!$G$3:$G$103,'non-road'!$F15,Assumptions!$B$3:$B$103,'non-road'!$D15)/SUMIF(Assumptions!$G$3:$G$103,'non-road'!$F15,Assumptions!CB$3:CB$103)</f>
        <v>0</v>
      </c>
      <c r="AF15" s="39">
        <f ca="1">SUMIFS(Assumptions!CC$3:CC$103,Assumptions!$G$3:$G$103,'non-road'!$F15,Assumptions!$B$3:$B$103,'non-road'!$D15)/SUMIF(Assumptions!$G$3:$G$103,'non-road'!$F15,Assumptions!CC$3:CC$103)</f>
        <v>0</v>
      </c>
      <c r="AG15" s="39" t="e">
        <f ca="1">SUMIFS(Assumptions!CD$3:CD$103,Assumptions!$G$3:$G$103,'non-road'!$F15,Assumptions!$B$3:$B$103,'non-road'!$D15)/SUMIF(Assumptions!$G$3:$G$103,'non-road'!$F15,Assumptions!CD$3:CD$103)</f>
        <v>#DIV/0!</v>
      </c>
      <c r="AH15" s="39">
        <f ca="1">SUMIFS(Assumptions!CE$3:CE$103,Assumptions!$G$3:$G$103,'non-road'!$F15,Assumptions!$B$3:$B$103,'non-road'!$D15)/SUMIF(Assumptions!$G$3:$G$103,'non-road'!$F15,Assumptions!CE$3:CE$103)</f>
        <v>0</v>
      </c>
      <c r="AI15" s="39">
        <f ca="1">SUMIFS(Assumptions!CF$3:CF$103,Assumptions!$G$3:$G$103,'non-road'!$F15,Assumptions!$B$3:$B$103,'non-road'!$D15)/SUMIF(Assumptions!$G$3:$G$103,'non-road'!$F15,Assumptions!CF$3:CF$103)</f>
        <v>0</v>
      </c>
      <c r="AJ15" s="39">
        <f ca="1">SUMIFS(Assumptions!CG$3:CG$103,Assumptions!$G$3:$G$103,'non-road'!$F15,Assumptions!$B$3:$B$103,'non-road'!$D15)/SUMIF(Assumptions!$G$3:$G$103,'non-road'!$F15,Assumptions!CG$3:CG$103)</f>
        <v>0</v>
      </c>
      <c r="AK15" s="39">
        <f ca="1">SUMIFS(Assumptions!CH$3:CH$103,Assumptions!$G$3:$G$103,'non-road'!$F15,Assumptions!$B$3:$B$103,'non-road'!$D15)/SUMIF(Assumptions!$G$3:$G$103,'non-road'!$F15,Assumptions!CH$3:CH$103)</f>
        <v>0</v>
      </c>
      <c r="AL15" s="39">
        <f ca="1">SUMIFS(Assumptions!CI$3:CI$103,Assumptions!$G$3:$G$103,'non-road'!$F15,Assumptions!$B$3:$B$103,'non-road'!$D15)/SUMIF(Assumptions!$G$3:$G$103,'non-road'!$F15,Assumptions!CI$3:CI$103)</f>
        <v>0</v>
      </c>
      <c r="AM15" s="39">
        <f ca="1">SUMIFS(Assumptions!CJ$3:CJ$103,Assumptions!$G$3:$G$103,'non-road'!$F15,Assumptions!$B$3:$B$103,'non-road'!$D15)/SUMIF(Assumptions!$G$3:$G$103,'non-road'!$F15,Assumptions!CJ$3:CJ$103)</f>
        <v>0</v>
      </c>
      <c r="AN15" s="39">
        <f ca="1">SUMIFS(Assumptions!CK$3:CK$103,Assumptions!$G$3:$G$103,'non-road'!$F15,Assumptions!$B$3:$B$103,'non-road'!$D15)/SUMIF(Assumptions!$G$3:$G$103,'non-road'!$F15,Assumptions!CK$3:CK$103)</f>
        <v>0</v>
      </c>
      <c r="AO15" s="39">
        <f ca="1">SUMIFS(Assumptions!CL$3:CL$103,Assumptions!$G$3:$G$103,'non-road'!$F15,Assumptions!$B$3:$B$103,'non-road'!$D15)/SUMIF(Assumptions!$G$3:$G$103,'non-road'!$F15,Assumptions!CL$3:CL$103)</f>
        <v>0</v>
      </c>
      <c r="AP15" s="39" t="e">
        <f ca="1">SUMIFS(Assumptions!CM$3:CM$103,Assumptions!$G$3:$G$103,'non-road'!$F15,Assumptions!$B$3:$B$103,'non-road'!$D15)/SUMIF(Assumptions!$G$3:$G$103,'non-road'!$F15,Assumptions!CM$3:CM$103)</f>
        <v>#DIV/0!</v>
      </c>
      <c r="AQ15" s="39" t="e">
        <f ca="1">SUMIFS(Assumptions!CN$3:CN$103,Assumptions!$G$3:$G$103,'non-road'!$F15,Assumptions!$B$3:$B$103,'non-road'!$D15)/SUMIF(Assumptions!$G$3:$G$103,'non-road'!$F15,Assumptions!CN$3:CN$103)</f>
        <v>#DIV/0!</v>
      </c>
      <c r="AR15" s="39" t="e">
        <f ca="1">SUMIFS(Assumptions!CO$3:CO$103,Assumptions!$G$3:$G$103,'non-road'!$F15,Assumptions!$B$3:$B$103,'non-road'!$D15)/SUMIF(Assumptions!$G$3:$G$103,'non-road'!$F15,Assumptions!CO$3:CO$103)</f>
        <v>#DIV/0!</v>
      </c>
      <c r="AS15" s="39" t="e">
        <f ca="1">SUMIFS(Assumptions!CP$3:CP$103,Assumptions!$G$3:$G$103,'non-road'!$F15,Assumptions!$B$3:$B$103,'non-road'!$D15)/SUMIF(Assumptions!$G$3:$G$103,'non-road'!$F15,Assumptions!CP$3:CP$103)</f>
        <v>#DIV/0!</v>
      </c>
      <c r="AT15" s="39" t="e">
        <f ca="1">SUMIFS(Assumptions!CQ$3:CQ$103,Assumptions!$G$3:$G$103,'non-road'!$F15,Assumptions!$B$3:$B$103,'non-road'!$D15)/SUMIF(Assumptions!$G$3:$G$103,'non-road'!$F15,Assumptions!CQ$3:CQ$103)</f>
        <v>#DIV/0!</v>
      </c>
      <c r="AU15" s="39" t="e">
        <f ca="1">SUMIFS(Assumptions!CR$3:CR$103,Assumptions!$G$3:$G$103,'non-road'!$F15,Assumptions!$B$3:$B$103,'non-road'!$D15)/SUMIF(Assumptions!$G$3:$G$103,'non-road'!$F15,Assumptions!CR$3:CR$103)</f>
        <v>#DIV/0!</v>
      </c>
      <c r="AV15" s="39" t="e">
        <f ca="1">SUMIFS(Assumptions!CS$3:CS$103,Assumptions!$G$3:$G$103,'non-road'!$F15,Assumptions!$B$3:$B$103,'non-road'!$D15)/SUMIF(Assumptions!$G$3:$G$103,'non-road'!$F15,Assumptions!CS$3:CS$103)</f>
        <v>#DIV/0!</v>
      </c>
      <c r="AW15" s="39" t="e">
        <f ca="1">SUMIFS(Assumptions!CT$3:CT$103,Assumptions!$G$3:$G$103,'non-road'!$F15,Assumptions!$B$3:$B$103,'non-road'!$D15)/SUMIF(Assumptions!$G$3:$G$103,'non-road'!$F15,Assumptions!CT$3:CT$103)</f>
        <v>#DIV/0!</v>
      </c>
      <c r="AX15" s="39" t="e">
        <f ca="1">SUMIFS(Assumptions!CU$3:CU$103,Assumptions!$G$3:$G$103,'non-road'!$F15,Assumptions!$B$3:$B$103,'non-road'!$D15)/SUMIF(Assumptions!$G$3:$G$103,'non-road'!$F15,Assumptions!CU$3:CU$103)</f>
        <v>#DIV/0!</v>
      </c>
      <c r="AY15" s="39" t="e">
        <f ca="1">SUMIFS(Assumptions!CV$3:CV$103,Assumptions!$G$3:$G$103,'non-road'!$F15,Assumptions!$B$3:$B$103,'non-road'!$D15)/SUMIF(Assumptions!$G$3:$G$103,'non-road'!$F15,Assumptions!CV$3:CV$103)</f>
        <v>#DIV/0!</v>
      </c>
      <c r="AZ15" s="39" t="e">
        <f ca="1">SUMIFS(Assumptions!CW$3:CW$103,Assumptions!$G$3:$G$103,'non-road'!$F15,Assumptions!$B$3:$B$103,'non-road'!$D15)/SUMIF(Assumptions!$G$3:$G$103,'non-road'!$F15,Assumptions!CW$3:CW$103)</f>
        <v>#DIV/0!</v>
      </c>
      <c r="BA15" s="40"/>
      <c r="BB15" s="39"/>
      <c r="BC15" s="39"/>
      <c r="BD15" s="38" t="str">
        <f t="shared" si="55"/>
        <v>\I:</v>
      </c>
      <c r="BE15" s="39">
        <f>VLOOKUP($F15,Assumptions!$E$152:$BC$157,COLUMN()-COLUMN($BC$4),FALSE)</f>
        <v>1</v>
      </c>
      <c r="BF15" s="39">
        <f>VLOOKUP($F15,Assumptions!$E$152:$BC$157,COLUMN()-COLUMN($BC$4),FALSE)</f>
        <v>1</v>
      </c>
      <c r="BG15" s="39">
        <f>VLOOKUP($F15,Assumptions!$E$152:$BC$157,COLUMN()-COLUMN($BC$4),FALSE)</f>
        <v>1</v>
      </c>
      <c r="BH15" s="39">
        <f>VLOOKUP($F15,Assumptions!$E$152:$BC$157,COLUMN()-COLUMN($BC$4),FALSE)</f>
        <v>1</v>
      </c>
      <c r="BI15" s="39">
        <f>VLOOKUP($F15,Assumptions!$E$152:$BC$157,COLUMN()-COLUMN($BC$4),FALSE)</f>
        <v>1</v>
      </c>
      <c r="BJ15" s="39">
        <f>VLOOKUP($F15,Assumptions!$E$152:$BC$157,COLUMN()-COLUMN($BC$4),FALSE)</f>
        <v>1</v>
      </c>
      <c r="BK15" s="39">
        <f>VLOOKUP($F15,Assumptions!$E$152:$BC$157,COLUMN()-COLUMN($BC$4),FALSE)</f>
        <v>1</v>
      </c>
      <c r="BL15" s="39">
        <f>VLOOKUP($F15,Assumptions!$E$152:$BC$157,COLUMN()-COLUMN($BC$4),FALSE)</f>
        <v>1</v>
      </c>
      <c r="BM15" s="39">
        <f>VLOOKUP($F15,Assumptions!$E$152:$BC$157,COLUMN()-COLUMN($BC$4),FALSE)</f>
        <v>1</v>
      </c>
      <c r="BN15" s="39">
        <f>VLOOKUP($F15,Assumptions!$E$152:$BC$157,COLUMN()-COLUMN($BC$4),FALSE)</f>
        <v>1</v>
      </c>
      <c r="BO15" s="39">
        <f>VLOOKUP($F15,Assumptions!$E$152:$BC$157,COLUMN()-COLUMN($BC$4),FALSE)</f>
        <v>1</v>
      </c>
      <c r="BP15" s="39">
        <f>VLOOKUP($F15,Assumptions!$E$152:$BC$157,COLUMN()-COLUMN($BC$4),FALSE)</f>
        <v>1</v>
      </c>
      <c r="BQ15" s="39">
        <f>VLOOKUP($F15,Assumptions!$E$152:$BC$157,COLUMN()-COLUMN($BC$4),FALSE)</f>
        <v>1</v>
      </c>
      <c r="BR15" s="39">
        <f>VLOOKUP($F15,Assumptions!$E$152:$BC$157,COLUMN()-COLUMN($BC$4),FALSE)</f>
        <v>1</v>
      </c>
      <c r="BS15" s="39">
        <f>VLOOKUP($F15,Assumptions!$E$152:$BC$157,COLUMN()-COLUMN($BC$4),FALSE)</f>
        <v>1</v>
      </c>
      <c r="BT15" s="39">
        <f>VLOOKUP($F15,Assumptions!$E$152:$BC$157,COLUMN()-COLUMN($BC$4),FALSE)</f>
        <v>1</v>
      </c>
      <c r="BU15" s="39">
        <f>VLOOKUP($F15,Assumptions!$E$152:$BC$157,COLUMN()-COLUMN($BC$4),FALSE)</f>
        <v>1</v>
      </c>
      <c r="BV15" s="39">
        <f>VLOOKUP($F15,Assumptions!$E$152:$BC$157,COLUMN()-COLUMN($BC$4),FALSE)</f>
        <v>1</v>
      </c>
      <c r="BW15" s="39">
        <f>VLOOKUP($F15,Assumptions!$E$152:$BC$157,COLUMN()-COLUMN($BC$4),FALSE)</f>
        <v>1</v>
      </c>
      <c r="BX15" s="39">
        <f>VLOOKUP($F15,Assumptions!$E$152:$BC$157,COLUMN()-COLUMN($BC$4),FALSE)</f>
        <v>1</v>
      </c>
      <c r="BY15" s="39">
        <f>VLOOKUP($F15,Assumptions!$E$152:$BC$157,COLUMN()-COLUMN($BC$4),FALSE)</f>
        <v>1</v>
      </c>
      <c r="BZ15" s="39">
        <f>VLOOKUP($F15,Assumptions!$E$152:$BC$157,COLUMN()-COLUMN($BC$4),FALSE)</f>
        <v>1</v>
      </c>
      <c r="CA15" s="39">
        <f>VLOOKUP($F15,Assumptions!$E$152:$BC$157,COLUMN()-COLUMN($BC$4),FALSE)</f>
        <v>1</v>
      </c>
      <c r="CB15" s="39">
        <f>VLOOKUP($F15,Assumptions!$E$152:$BC$157,COLUMN()-COLUMN($BC$4),FALSE)</f>
        <v>1</v>
      </c>
      <c r="CC15" s="39">
        <f>VLOOKUP($F15,Assumptions!$E$152:$BC$157,COLUMN()-COLUMN($BC$4),FALSE)</f>
        <v>1</v>
      </c>
      <c r="CD15" s="39">
        <f>VLOOKUP($F15,Assumptions!$E$152:$BC$157,COLUMN()-COLUMN($BC$4),FALSE)</f>
        <v>1</v>
      </c>
      <c r="CE15" s="39">
        <f>VLOOKUP($F15,Assumptions!$E$152:$BC$157,COLUMN()-COLUMN($BC$4),FALSE)</f>
        <v>1</v>
      </c>
      <c r="CF15" s="39">
        <f>VLOOKUP($F15,Assumptions!$E$152:$BC$157,COLUMN()-COLUMN($BC$4),FALSE)</f>
        <v>1</v>
      </c>
      <c r="CG15" s="39">
        <f>VLOOKUP($F15,Assumptions!$E$152:$BC$157,COLUMN()-COLUMN($BC$4),FALSE)</f>
        <v>1</v>
      </c>
      <c r="CH15" s="39">
        <f>VLOOKUP($F15,Assumptions!$E$152:$BC$157,COLUMN()-COLUMN($BC$4),FALSE)</f>
        <v>1</v>
      </c>
      <c r="CI15" s="39">
        <f>VLOOKUP($F15,Assumptions!$E$152:$BC$157,COLUMN()-COLUMN($BC$4),FALSE)</f>
        <v>1</v>
      </c>
      <c r="CJ15" s="39">
        <f>VLOOKUP($F15,Assumptions!$E$152:$BC$157,COLUMN()-COLUMN($BC$4),FALSE)</f>
        <v>1</v>
      </c>
      <c r="CK15" s="39">
        <f>VLOOKUP($F15,Assumptions!$E$152:$BC$157,COLUMN()-COLUMN($BC$4),FALSE)</f>
        <v>1</v>
      </c>
      <c r="CL15" s="39">
        <f>VLOOKUP($F15,Assumptions!$E$152:$BC$157,COLUMN()-COLUMN($BC$4),FALSE)</f>
        <v>1</v>
      </c>
      <c r="CM15" s="39">
        <f>VLOOKUP($F15,Assumptions!$E$152:$BC$157,COLUMN()-COLUMN($BC$4),FALSE)</f>
        <v>1</v>
      </c>
      <c r="CN15" s="39">
        <f>VLOOKUP($F15,Assumptions!$E$152:$BC$157,COLUMN()-COLUMN($BC$4),FALSE)</f>
        <v>1</v>
      </c>
      <c r="CO15" s="39">
        <f>VLOOKUP($F15,Assumptions!$E$152:$BC$157,COLUMN()-COLUMN($BC$4),FALSE)</f>
        <v>1</v>
      </c>
      <c r="CP15" s="39">
        <f>VLOOKUP($F15,Assumptions!$E$152:$BC$157,COLUMN()-COLUMN($BC$4),FALSE)</f>
        <v>1</v>
      </c>
      <c r="CQ15" s="39">
        <f>VLOOKUP($F15,Assumptions!$E$152:$BC$157,COLUMN()-COLUMN($BC$4),FALSE)</f>
        <v>1</v>
      </c>
      <c r="CR15" s="39">
        <f>VLOOKUP($F15,Assumptions!$E$152:$BC$157,COLUMN()-COLUMN($BC$4),FALSE)</f>
        <v>1</v>
      </c>
      <c r="CS15" s="39">
        <f>VLOOKUP($F15,Assumptions!$E$152:$BC$157,COLUMN()-COLUMN($BC$4),FALSE)</f>
        <v>1</v>
      </c>
      <c r="CT15" s="39">
        <f>VLOOKUP($F15,Assumptions!$E$152:$BC$157,COLUMN()-COLUMN($BC$4),FALSE)</f>
        <v>1</v>
      </c>
      <c r="CU15" s="39">
        <f>VLOOKUP($F15,Assumptions!$E$152:$BC$157,COLUMN()-COLUMN($BC$4),FALSE)</f>
        <v>1</v>
      </c>
      <c r="CV15" s="39">
        <f>VLOOKUP($F15,Assumptions!$E$152:$BC$157,COLUMN()-COLUMN($BC$4),FALSE)</f>
        <v>1</v>
      </c>
      <c r="CW15" s="39">
        <f>VLOOKUP($F15,Assumptions!$E$152:$BC$157,COLUMN()-COLUMN($BC$4),FALSE)</f>
        <v>1</v>
      </c>
      <c r="CX15" s="39">
        <f>VLOOKUP($F15,Assumptions!$E$152:$BC$157,COLUMN()-COLUMN($BC$4),FALSE)</f>
        <v>1</v>
      </c>
      <c r="CY15" s="38"/>
      <c r="CZ15" s="38"/>
      <c r="DA15" s="38" t="str">
        <f t="shared" si="56"/>
        <v>TAD</v>
      </c>
      <c r="DB15" s="39">
        <f t="shared" ref="DB15" si="62">IFERROR(DB6/DB$20,"")</f>
        <v>0.0143214779335214</v>
      </c>
      <c r="DC15" s="39">
        <f t="shared" ref="DC15:EU15" si="63">IFERROR(DC6/DC$20,"")</f>
        <v>0.00811805019891685</v>
      </c>
      <c r="DD15" s="39">
        <f t="shared" si="63"/>
        <v>0.128208427440955</v>
      </c>
      <c r="DE15" s="39">
        <f t="shared" si="63"/>
        <v>0.00372785540047938</v>
      </c>
      <c r="DF15" s="39">
        <f t="shared" si="63"/>
        <v>0.000621429362624608</v>
      </c>
      <c r="DG15" s="39">
        <f t="shared" si="63"/>
        <v>0.000454681417625262</v>
      </c>
      <c r="DH15" s="39">
        <f t="shared" si="63"/>
        <v>0.0514395549162731</v>
      </c>
      <c r="DI15" s="39">
        <f t="shared" si="63"/>
        <v>0.0535809461670757</v>
      </c>
      <c r="DJ15" s="39">
        <f t="shared" si="63"/>
        <v>0.00340872965323037</v>
      </c>
      <c r="DK15" s="39">
        <f t="shared" si="63"/>
        <v>0.00432096192538983</v>
      </c>
      <c r="DL15" s="39">
        <f t="shared" si="63"/>
        <v>0.0301289741378483</v>
      </c>
      <c r="DM15" s="39">
        <f t="shared" si="63"/>
        <v>0.00955427091416908</v>
      </c>
      <c r="DN15" s="39">
        <f t="shared" si="63"/>
        <v>0.0351505043348806</v>
      </c>
      <c r="DO15" s="39">
        <f t="shared" si="63"/>
        <v>0.00478806973945016</v>
      </c>
      <c r="DP15" s="39">
        <f t="shared" si="63"/>
        <v>0.0239259281326201</v>
      </c>
      <c r="DQ15" s="39">
        <f t="shared" si="63"/>
        <v>0.0214764275856038</v>
      </c>
      <c r="DR15" s="39">
        <f t="shared" si="63"/>
        <v>0.000809368709783973</v>
      </c>
      <c r="DS15" s="39">
        <f t="shared" si="63"/>
        <v>0.0217531532796102</v>
      </c>
      <c r="DT15" s="39">
        <f t="shared" si="63"/>
        <v>0.0335513496240697</v>
      </c>
      <c r="DU15" s="39">
        <f t="shared" si="63"/>
        <v>0.0244442644409798</v>
      </c>
      <c r="DV15" s="39">
        <f t="shared" si="63"/>
        <v>0.0154450827040794</v>
      </c>
      <c r="DW15" s="39">
        <f t="shared" si="63"/>
        <v>0.14032730632975</v>
      </c>
      <c r="DX15" s="39">
        <f t="shared" si="63"/>
        <v>0.0553805950225665</v>
      </c>
      <c r="DY15" s="39">
        <f t="shared" si="63"/>
        <v>0.00153971588329434</v>
      </c>
      <c r="DZ15" s="39">
        <f t="shared" si="63"/>
        <v>0.0260757212328015</v>
      </c>
      <c r="EA15" s="39">
        <f t="shared" si="63"/>
        <v>0.100023805257523</v>
      </c>
      <c r="EB15" s="39">
        <f t="shared" si="63"/>
        <v>0.0238474224481718</v>
      </c>
      <c r="EC15" s="39">
        <f t="shared" si="63"/>
        <v>0.0842797784893866</v>
      </c>
      <c r="ED15" s="39">
        <f t="shared" si="63"/>
        <v>0.0628554277424849</v>
      </c>
      <c r="EE15" s="39">
        <f t="shared" si="63"/>
        <v>0.0131493150549343</v>
      </c>
      <c r="EF15" s="39">
        <f t="shared" si="63"/>
        <v>0.00674310833254212</v>
      </c>
      <c r="EG15" s="39">
        <f t="shared" si="63"/>
        <v>0.0327016333288382</v>
      </c>
      <c r="EH15" s="39">
        <f t="shared" si="63"/>
        <v>0.0157063841781599</v>
      </c>
      <c r="EI15" s="39">
        <f t="shared" si="63"/>
        <v>0.0198125676081697</v>
      </c>
      <c r="EJ15" s="39">
        <f t="shared" si="63"/>
        <v>0</v>
      </c>
      <c r="EK15" s="39">
        <f t="shared" si="63"/>
        <v>0</v>
      </c>
      <c r="EL15" s="39">
        <f t="shared" si="63"/>
        <v>0</v>
      </c>
      <c r="EM15" s="39">
        <f t="shared" si="63"/>
        <v>0</v>
      </c>
      <c r="EN15" s="39">
        <f t="shared" si="63"/>
        <v>0</v>
      </c>
      <c r="EO15" s="39">
        <f t="shared" si="63"/>
        <v>0</v>
      </c>
      <c r="EP15" s="39">
        <f t="shared" si="63"/>
        <v>0</v>
      </c>
      <c r="EQ15" s="39">
        <f t="shared" si="63"/>
        <v>0</v>
      </c>
      <c r="ER15" s="39">
        <f t="shared" si="63"/>
        <v>0</v>
      </c>
      <c r="ES15" s="39">
        <f t="shared" si="63"/>
        <v>0</v>
      </c>
      <c r="ET15" s="39">
        <f t="shared" si="63"/>
        <v>0</v>
      </c>
      <c r="EU15" s="39" t="str">
        <f t="shared" si="63"/>
        <v/>
      </c>
      <c r="EV15" s="38"/>
      <c r="EW15" s="38" t="str">
        <f t="shared" si="48"/>
        <v>\I:</v>
      </c>
      <c r="EX15" s="38" t="str">
        <f t="shared" si="51"/>
        <v/>
      </c>
      <c r="EY15" s="38" t="s">
        <v>133</v>
      </c>
      <c r="EZ15" s="38" t="s">
        <v>85</v>
      </c>
      <c r="FA15" s="38" t="s">
        <v>440</v>
      </c>
      <c r="FB15" s="38"/>
      <c r="FC15" s="38"/>
      <c r="FD15" s="38"/>
    </row>
    <row r="16" spans="1:160">
      <c r="A16" s="38" t="s">
        <v>442</v>
      </c>
      <c r="B16" s="38"/>
      <c r="C16" s="38" t="str">
        <f t="shared" si="54"/>
        <v/>
      </c>
      <c r="D16" s="38" t="s">
        <v>44</v>
      </c>
      <c r="E16" s="38" t="s">
        <v>445</v>
      </c>
      <c r="F16" s="38" t="s">
        <v>198</v>
      </c>
      <c r="G16" s="39">
        <f ca="1">SUMIFS(Assumptions!BD$3:BD$103,Assumptions!$G$3:$G$103,'non-road'!$F16,Assumptions!$B$3:$B$103,'non-road'!$D16)/SUMIF(Assumptions!$G$3:$G$103,'non-road'!$F16,Assumptions!BD$3:BD$103)</f>
        <v>0</v>
      </c>
      <c r="H16" s="39">
        <f ca="1">SUMIFS(Assumptions!BE$3:BE$103,Assumptions!$G$3:$G$103,'non-road'!$F16,Assumptions!$B$3:$B$103,'non-road'!$D16)/SUMIF(Assumptions!$G$3:$G$103,'non-road'!$F16,Assumptions!BE$3:BE$103)</f>
        <v>0</v>
      </c>
      <c r="I16" s="39">
        <f ca="1">SUMIFS(Assumptions!BF$3:BF$103,Assumptions!$G$3:$G$103,'non-road'!$F16,Assumptions!$B$3:$B$103,'non-road'!$D16)/SUMIF(Assumptions!$G$3:$G$103,'non-road'!$F16,Assumptions!BF$3:BF$103)</f>
        <v>0</v>
      </c>
      <c r="J16" s="39">
        <f ca="1">SUMIFS(Assumptions!BG$3:BG$103,Assumptions!$G$3:$G$103,'non-road'!$F16,Assumptions!$B$3:$B$103,'non-road'!$D16)/SUMIF(Assumptions!$G$3:$G$103,'non-road'!$F16,Assumptions!BG$3:BG$103)</f>
        <v>0.00105602913753984</v>
      </c>
      <c r="K16" s="39">
        <f ca="1">SUMIFS(Assumptions!BH$3:BH$103,Assumptions!$G$3:$G$103,'non-road'!$F16,Assumptions!$B$3:$B$103,'non-road'!$D16)/SUMIF(Assumptions!$G$3:$G$103,'non-road'!$F16,Assumptions!BH$3:BH$103)</f>
        <v>0.0171992170191763</v>
      </c>
      <c r="L16" s="39">
        <f ca="1">SUMIFS(Assumptions!BI$3:BI$103,Assumptions!$G$3:$G$103,'non-road'!$F16,Assumptions!$B$3:$B$103,'non-road'!$D16)/SUMIF(Assumptions!$G$3:$G$103,'non-road'!$F16,Assumptions!BI$3:BI$103)</f>
        <v>0.000561209800675478</v>
      </c>
      <c r="M16" s="39">
        <f ca="1">SUMIFS(Assumptions!BJ$3:BJ$103,Assumptions!$G$3:$G$103,'non-road'!$F16,Assumptions!$B$3:$B$103,'non-road'!$D16)/SUMIF(Assumptions!$G$3:$G$103,'non-road'!$F16,Assumptions!BJ$3:BJ$103)</f>
        <v>0.0524998663831387</v>
      </c>
      <c r="N16" s="39">
        <f ca="1">SUMIFS(Assumptions!BK$3:BK$103,Assumptions!$G$3:$G$103,'non-road'!$F16,Assumptions!$B$3:$B$103,'non-road'!$D16)/SUMIF(Assumptions!$G$3:$G$103,'non-road'!$F16,Assumptions!BK$3:BK$103)</f>
        <v>0</v>
      </c>
      <c r="O16" s="39">
        <f ca="1">SUMIFS(Assumptions!BL$3:BL$103,Assumptions!$G$3:$G$103,'non-road'!$F16,Assumptions!$B$3:$B$103,'non-road'!$D16)/SUMIF(Assumptions!$G$3:$G$103,'non-road'!$F16,Assumptions!BL$3:BL$103)</f>
        <v>0</v>
      </c>
      <c r="P16" s="39">
        <f ca="1">SUMIFS(Assumptions!BM$3:BM$103,Assumptions!$G$3:$G$103,'non-road'!$F16,Assumptions!$B$3:$B$103,'non-road'!$D16)/SUMIF(Assumptions!$G$3:$G$103,'non-road'!$F16,Assumptions!BM$3:BM$103)</f>
        <v>0.00261383825815418</v>
      </c>
      <c r="Q16" s="39">
        <f ca="1">SUMIFS(Assumptions!BN$3:BN$103,Assumptions!$G$3:$G$103,'non-road'!$F16,Assumptions!$B$3:$B$103,'non-road'!$D16)/SUMIF(Assumptions!$G$3:$G$103,'non-road'!$F16,Assumptions!BN$3:BN$103)</f>
        <v>0.00110235129808213</v>
      </c>
      <c r="R16" s="39">
        <f ca="1">SUMIFS(Assumptions!BO$3:BO$103,Assumptions!$G$3:$G$103,'non-road'!$F16,Assumptions!$B$3:$B$103,'non-road'!$D16)/SUMIF(Assumptions!$G$3:$G$103,'non-road'!$F16,Assumptions!BO$3:BO$103)</f>
        <v>0.00142375902401871</v>
      </c>
      <c r="S16" s="39">
        <f ca="1">SUMIFS(Assumptions!BP$3:BP$103,Assumptions!$G$3:$G$103,'non-road'!$F16,Assumptions!$B$3:$B$103,'non-road'!$D16)/SUMIF(Assumptions!$G$3:$G$103,'non-road'!$F16,Assumptions!BP$3:BP$103)</f>
        <v>0</v>
      </c>
      <c r="T16" s="39">
        <f ca="1">SUMIFS(Assumptions!BQ$3:BQ$103,Assumptions!$G$3:$G$103,'non-road'!$F16,Assumptions!$B$3:$B$103,'non-road'!$D16)/SUMIF(Assumptions!$G$3:$G$103,'non-road'!$F16,Assumptions!BQ$3:BQ$103)</f>
        <v>0</v>
      </c>
      <c r="U16" s="39" t="e">
        <f ca="1">SUMIFS(Assumptions!BR$3:BR$103,Assumptions!$G$3:$G$103,'non-road'!$F16,Assumptions!$B$3:$B$103,'non-road'!$D16)/SUMIF(Assumptions!$G$3:$G$103,'non-road'!$F16,Assumptions!BR$3:BR$103)</f>
        <v>#DIV/0!</v>
      </c>
      <c r="V16" s="39">
        <f ca="1">SUMIFS(Assumptions!BS$3:BS$103,Assumptions!$G$3:$G$103,'non-road'!$F16,Assumptions!$B$3:$B$103,'non-road'!$D16)/SUMIF(Assumptions!$G$3:$G$103,'non-road'!$F16,Assumptions!BS$3:BS$103)</f>
        <v>0</v>
      </c>
      <c r="W16" s="39">
        <f ca="1">SUMIFS(Assumptions!BT$3:BT$103,Assumptions!$G$3:$G$103,'non-road'!$F16,Assumptions!$B$3:$B$103,'non-road'!$D16)/SUMIF(Assumptions!$G$3:$G$103,'non-road'!$F16,Assumptions!BT$3:BT$103)</f>
        <v>0</v>
      </c>
      <c r="X16" s="39">
        <f ca="1">SUMIFS(Assumptions!BU$3:BU$103,Assumptions!$G$3:$G$103,'non-road'!$F16,Assumptions!$B$3:$B$103,'non-road'!$D16)/SUMIF(Assumptions!$G$3:$G$103,'non-road'!$F16,Assumptions!BU$3:BU$103)</f>
        <v>0</v>
      </c>
      <c r="Y16" s="39">
        <f ca="1">SUMIFS(Assumptions!BV$3:BV$103,Assumptions!$G$3:$G$103,'non-road'!$F16,Assumptions!$B$3:$B$103,'non-road'!$D16)/SUMIF(Assumptions!$G$3:$G$103,'non-road'!$F16,Assumptions!BV$3:BV$103)</f>
        <v>0</v>
      </c>
      <c r="Z16" s="39">
        <f ca="1">SUMIFS(Assumptions!BW$3:BW$103,Assumptions!$G$3:$G$103,'non-road'!$F16,Assumptions!$B$3:$B$103,'non-road'!$D16)/SUMIF(Assumptions!$G$3:$G$103,'non-road'!$F16,Assumptions!BW$3:BW$103)</f>
        <v>0</v>
      </c>
      <c r="AA16" s="39">
        <f ca="1">SUMIFS(Assumptions!BX$3:BX$103,Assumptions!$G$3:$G$103,'non-road'!$F16,Assumptions!$B$3:$B$103,'non-road'!$D16)/SUMIF(Assumptions!$G$3:$G$103,'non-road'!$F16,Assumptions!BX$3:BX$103)</f>
        <v>0</v>
      </c>
      <c r="AB16" s="39">
        <f ca="1">SUMIFS(Assumptions!BY$3:BY$103,Assumptions!$G$3:$G$103,'non-road'!$F16,Assumptions!$B$3:$B$103,'non-road'!$D16)/SUMIF(Assumptions!$G$3:$G$103,'non-road'!$F16,Assumptions!BY$3:BY$103)</f>
        <v>0.0117321736388779</v>
      </c>
      <c r="AC16" s="39">
        <f ca="1">SUMIFS(Assumptions!BZ$3:BZ$103,Assumptions!$G$3:$G$103,'non-road'!$F16,Assumptions!$B$3:$B$103,'non-road'!$D16)/SUMIF(Assumptions!$G$3:$G$103,'non-road'!$F16,Assumptions!BZ$3:BZ$103)</f>
        <v>0</v>
      </c>
      <c r="AD16" s="39">
        <f ca="1">SUMIFS(Assumptions!CA$3:CA$103,Assumptions!$G$3:$G$103,'non-road'!$F16,Assumptions!$B$3:$B$103,'non-road'!$D16)/SUMIF(Assumptions!$G$3:$G$103,'non-road'!$F16,Assumptions!CA$3:CA$103)</f>
        <v>0</v>
      </c>
      <c r="AE16" s="39">
        <f ca="1">SUMIFS(Assumptions!CB$3:CB$103,Assumptions!$G$3:$G$103,'non-road'!$F16,Assumptions!$B$3:$B$103,'non-road'!$D16)/SUMIF(Assumptions!$G$3:$G$103,'non-road'!$F16,Assumptions!CB$3:CB$103)</f>
        <v>3.9197783374466e-6</v>
      </c>
      <c r="AF16" s="39">
        <f ca="1">SUMIFS(Assumptions!CC$3:CC$103,Assumptions!$G$3:$G$103,'non-road'!$F16,Assumptions!$B$3:$B$103,'non-road'!$D16)/SUMIF(Assumptions!$G$3:$G$103,'non-road'!$F16,Assumptions!CC$3:CC$103)</f>
        <v>0</v>
      </c>
      <c r="AG16" s="39" t="e">
        <f ca="1">SUMIFS(Assumptions!CD$3:CD$103,Assumptions!$G$3:$G$103,'non-road'!$F16,Assumptions!$B$3:$B$103,'non-road'!$D16)/SUMIF(Assumptions!$G$3:$G$103,'non-road'!$F16,Assumptions!CD$3:CD$103)</f>
        <v>#DIV/0!</v>
      </c>
      <c r="AH16" s="39">
        <f ca="1">SUMIFS(Assumptions!CE$3:CE$103,Assumptions!$G$3:$G$103,'non-road'!$F16,Assumptions!$B$3:$B$103,'non-road'!$D16)/SUMIF(Assumptions!$G$3:$G$103,'non-road'!$F16,Assumptions!CE$3:CE$103)</f>
        <v>0</v>
      </c>
      <c r="AI16" s="39">
        <f ca="1">SUMIFS(Assumptions!CF$3:CF$103,Assumptions!$G$3:$G$103,'non-road'!$F16,Assumptions!$B$3:$B$103,'non-road'!$D16)/SUMIF(Assumptions!$G$3:$G$103,'non-road'!$F16,Assumptions!CF$3:CF$103)</f>
        <v>0</v>
      </c>
      <c r="AJ16" s="39">
        <f ca="1">SUMIFS(Assumptions!CG$3:CG$103,Assumptions!$G$3:$G$103,'non-road'!$F16,Assumptions!$B$3:$B$103,'non-road'!$D16)/SUMIF(Assumptions!$G$3:$G$103,'non-road'!$F16,Assumptions!CG$3:CG$103)</f>
        <v>0</v>
      </c>
      <c r="AK16" s="39">
        <f ca="1">SUMIFS(Assumptions!CH$3:CH$103,Assumptions!$G$3:$G$103,'non-road'!$F16,Assumptions!$B$3:$B$103,'non-road'!$D16)/SUMIF(Assumptions!$G$3:$G$103,'non-road'!$F16,Assumptions!CH$3:CH$103)</f>
        <v>0.000118145224368868</v>
      </c>
      <c r="AL16" s="39">
        <f ca="1">SUMIFS(Assumptions!CI$3:CI$103,Assumptions!$G$3:$G$103,'non-road'!$F16,Assumptions!$B$3:$B$103,'non-road'!$D16)/SUMIF(Assumptions!$G$3:$G$103,'non-road'!$F16,Assumptions!CI$3:CI$103)</f>
        <v>0</v>
      </c>
      <c r="AM16" s="39">
        <f ca="1">SUMIFS(Assumptions!CJ$3:CJ$103,Assumptions!$G$3:$G$103,'non-road'!$F16,Assumptions!$B$3:$B$103,'non-road'!$D16)/SUMIF(Assumptions!$G$3:$G$103,'non-road'!$F16,Assumptions!CJ$3:CJ$103)</f>
        <v>0</v>
      </c>
      <c r="AN16" s="39">
        <f ca="1">SUMIFS(Assumptions!CK$3:CK$103,Assumptions!$G$3:$G$103,'non-road'!$F16,Assumptions!$B$3:$B$103,'non-road'!$D16)/SUMIF(Assumptions!$G$3:$G$103,'non-road'!$F16,Assumptions!CK$3:CK$103)</f>
        <v>0</v>
      </c>
      <c r="AO16" s="39">
        <f ca="1">SUMIFS(Assumptions!CL$3:CL$103,Assumptions!$G$3:$G$103,'non-road'!$F16,Assumptions!$B$3:$B$103,'non-road'!$D16)/SUMIF(Assumptions!$G$3:$G$103,'non-road'!$F16,Assumptions!CL$3:CL$103)</f>
        <v>0</v>
      </c>
      <c r="AP16" s="39" t="e">
        <f ca="1">SUMIFS(Assumptions!CM$3:CM$103,Assumptions!$G$3:$G$103,'non-road'!$F16,Assumptions!$B$3:$B$103,'non-road'!$D16)/SUMIF(Assumptions!$G$3:$G$103,'non-road'!$F16,Assumptions!CM$3:CM$103)</f>
        <v>#DIV/0!</v>
      </c>
      <c r="AQ16" s="39" t="e">
        <f ca="1">SUMIFS(Assumptions!CN$3:CN$103,Assumptions!$G$3:$G$103,'non-road'!$F16,Assumptions!$B$3:$B$103,'non-road'!$D16)/SUMIF(Assumptions!$G$3:$G$103,'non-road'!$F16,Assumptions!CN$3:CN$103)</f>
        <v>#DIV/0!</v>
      </c>
      <c r="AR16" s="39" t="e">
        <f ca="1">SUMIFS(Assumptions!CO$3:CO$103,Assumptions!$G$3:$G$103,'non-road'!$F16,Assumptions!$B$3:$B$103,'non-road'!$D16)/SUMIF(Assumptions!$G$3:$G$103,'non-road'!$F16,Assumptions!CO$3:CO$103)</f>
        <v>#DIV/0!</v>
      </c>
      <c r="AS16" s="39" t="e">
        <f ca="1">SUMIFS(Assumptions!CP$3:CP$103,Assumptions!$G$3:$G$103,'non-road'!$F16,Assumptions!$B$3:$B$103,'non-road'!$D16)/SUMIF(Assumptions!$G$3:$G$103,'non-road'!$F16,Assumptions!CP$3:CP$103)</f>
        <v>#DIV/0!</v>
      </c>
      <c r="AT16" s="39" t="e">
        <f ca="1">SUMIFS(Assumptions!CQ$3:CQ$103,Assumptions!$G$3:$G$103,'non-road'!$F16,Assumptions!$B$3:$B$103,'non-road'!$D16)/SUMIF(Assumptions!$G$3:$G$103,'non-road'!$F16,Assumptions!CQ$3:CQ$103)</f>
        <v>#DIV/0!</v>
      </c>
      <c r="AU16" s="39" t="e">
        <f ca="1">SUMIFS(Assumptions!CR$3:CR$103,Assumptions!$G$3:$G$103,'non-road'!$F16,Assumptions!$B$3:$B$103,'non-road'!$D16)/SUMIF(Assumptions!$G$3:$G$103,'non-road'!$F16,Assumptions!CR$3:CR$103)</f>
        <v>#DIV/0!</v>
      </c>
      <c r="AV16" s="39" t="e">
        <f ca="1">SUMIFS(Assumptions!CS$3:CS$103,Assumptions!$G$3:$G$103,'non-road'!$F16,Assumptions!$B$3:$B$103,'non-road'!$D16)/SUMIF(Assumptions!$G$3:$G$103,'non-road'!$F16,Assumptions!CS$3:CS$103)</f>
        <v>#DIV/0!</v>
      </c>
      <c r="AW16" s="39" t="e">
        <f ca="1">SUMIFS(Assumptions!CT$3:CT$103,Assumptions!$G$3:$G$103,'non-road'!$F16,Assumptions!$B$3:$B$103,'non-road'!$D16)/SUMIF(Assumptions!$G$3:$G$103,'non-road'!$F16,Assumptions!CT$3:CT$103)</f>
        <v>#DIV/0!</v>
      </c>
      <c r="AX16" s="39" t="e">
        <f ca="1">SUMIFS(Assumptions!CU$3:CU$103,Assumptions!$G$3:$G$103,'non-road'!$F16,Assumptions!$B$3:$B$103,'non-road'!$D16)/SUMIF(Assumptions!$G$3:$G$103,'non-road'!$F16,Assumptions!CU$3:CU$103)</f>
        <v>#DIV/0!</v>
      </c>
      <c r="AY16" s="39" t="e">
        <f ca="1">SUMIFS(Assumptions!CV$3:CV$103,Assumptions!$G$3:$G$103,'non-road'!$F16,Assumptions!$B$3:$B$103,'non-road'!$D16)/SUMIF(Assumptions!$G$3:$G$103,'non-road'!$F16,Assumptions!CV$3:CV$103)</f>
        <v>#DIV/0!</v>
      </c>
      <c r="AZ16" s="39" t="e">
        <f ca="1">SUMIFS(Assumptions!CW$3:CW$103,Assumptions!$G$3:$G$103,'non-road'!$F16,Assumptions!$B$3:$B$103,'non-road'!$D16)/SUMIF(Assumptions!$G$3:$G$103,'non-road'!$F16,Assumptions!CW$3:CW$103)</f>
        <v>#DIV/0!</v>
      </c>
      <c r="BA16" s="40"/>
      <c r="BB16" s="39"/>
      <c r="BC16" s="39"/>
      <c r="BD16" s="38" t="str">
        <f t="shared" si="55"/>
        <v>\I:</v>
      </c>
      <c r="BE16" s="39">
        <f>VLOOKUP($F16,Assumptions!$E$152:$BC$157,COLUMN()-COLUMN($BC$4),FALSE)</f>
        <v>1</v>
      </c>
      <c r="BF16" s="39">
        <f>VLOOKUP($F16,Assumptions!$E$152:$BC$157,COLUMN()-COLUMN($BC$4),FALSE)</f>
        <v>1</v>
      </c>
      <c r="BG16" s="39">
        <f>VLOOKUP($F16,Assumptions!$E$152:$BC$157,COLUMN()-COLUMN($BC$4),FALSE)</f>
        <v>1</v>
      </c>
      <c r="BH16" s="39">
        <f>VLOOKUP($F16,Assumptions!$E$152:$BC$157,COLUMN()-COLUMN($BC$4),FALSE)</f>
        <v>1</v>
      </c>
      <c r="BI16" s="39">
        <f>VLOOKUP($F16,Assumptions!$E$152:$BC$157,COLUMN()-COLUMN($BC$4),FALSE)</f>
        <v>1</v>
      </c>
      <c r="BJ16" s="39">
        <f>VLOOKUP($F16,Assumptions!$E$152:$BC$157,COLUMN()-COLUMN($BC$4),FALSE)</f>
        <v>1</v>
      </c>
      <c r="BK16" s="39">
        <f>VLOOKUP($F16,Assumptions!$E$152:$BC$157,COLUMN()-COLUMN($BC$4),FALSE)</f>
        <v>1</v>
      </c>
      <c r="BL16" s="39">
        <f>VLOOKUP($F16,Assumptions!$E$152:$BC$157,COLUMN()-COLUMN($BC$4),FALSE)</f>
        <v>1</v>
      </c>
      <c r="BM16" s="39">
        <f>VLOOKUP($F16,Assumptions!$E$152:$BC$157,COLUMN()-COLUMN($BC$4),FALSE)</f>
        <v>1</v>
      </c>
      <c r="BN16" s="39">
        <f>VLOOKUP($F16,Assumptions!$E$152:$BC$157,COLUMN()-COLUMN($BC$4),FALSE)</f>
        <v>1</v>
      </c>
      <c r="BO16" s="39">
        <f>VLOOKUP($F16,Assumptions!$E$152:$BC$157,COLUMN()-COLUMN($BC$4),FALSE)</f>
        <v>1</v>
      </c>
      <c r="BP16" s="39">
        <f>VLOOKUP($F16,Assumptions!$E$152:$BC$157,COLUMN()-COLUMN($BC$4),FALSE)</f>
        <v>1</v>
      </c>
      <c r="BQ16" s="39">
        <f>VLOOKUP($F16,Assumptions!$E$152:$BC$157,COLUMN()-COLUMN($BC$4),FALSE)</f>
        <v>1</v>
      </c>
      <c r="BR16" s="39">
        <f>VLOOKUP($F16,Assumptions!$E$152:$BC$157,COLUMN()-COLUMN($BC$4),FALSE)</f>
        <v>1</v>
      </c>
      <c r="BS16" s="39">
        <f>VLOOKUP($F16,Assumptions!$E$152:$BC$157,COLUMN()-COLUMN($BC$4),FALSE)</f>
        <v>1</v>
      </c>
      <c r="BT16" s="39">
        <f>VLOOKUP($F16,Assumptions!$E$152:$BC$157,COLUMN()-COLUMN($BC$4),FALSE)</f>
        <v>1</v>
      </c>
      <c r="BU16" s="39">
        <f>VLOOKUP($F16,Assumptions!$E$152:$BC$157,COLUMN()-COLUMN($BC$4),FALSE)</f>
        <v>1</v>
      </c>
      <c r="BV16" s="39">
        <f>VLOOKUP($F16,Assumptions!$E$152:$BC$157,COLUMN()-COLUMN($BC$4),FALSE)</f>
        <v>1</v>
      </c>
      <c r="BW16" s="39">
        <f>VLOOKUP($F16,Assumptions!$E$152:$BC$157,COLUMN()-COLUMN($BC$4),FALSE)</f>
        <v>1</v>
      </c>
      <c r="BX16" s="39">
        <f>VLOOKUP($F16,Assumptions!$E$152:$BC$157,COLUMN()-COLUMN($BC$4),FALSE)</f>
        <v>1</v>
      </c>
      <c r="BY16" s="39">
        <f>VLOOKUP($F16,Assumptions!$E$152:$BC$157,COLUMN()-COLUMN($BC$4),FALSE)</f>
        <v>1</v>
      </c>
      <c r="BZ16" s="39">
        <f>VLOOKUP($F16,Assumptions!$E$152:$BC$157,COLUMN()-COLUMN($BC$4),FALSE)</f>
        <v>1</v>
      </c>
      <c r="CA16" s="39">
        <f>VLOOKUP($F16,Assumptions!$E$152:$BC$157,COLUMN()-COLUMN($BC$4),FALSE)</f>
        <v>1</v>
      </c>
      <c r="CB16" s="39">
        <f>VLOOKUP($F16,Assumptions!$E$152:$BC$157,COLUMN()-COLUMN($BC$4),FALSE)</f>
        <v>1</v>
      </c>
      <c r="CC16" s="39">
        <f>VLOOKUP($F16,Assumptions!$E$152:$BC$157,COLUMN()-COLUMN($BC$4),FALSE)</f>
        <v>1</v>
      </c>
      <c r="CD16" s="39">
        <f>VLOOKUP($F16,Assumptions!$E$152:$BC$157,COLUMN()-COLUMN($BC$4),FALSE)</f>
        <v>1</v>
      </c>
      <c r="CE16" s="39">
        <f>VLOOKUP($F16,Assumptions!$E$152:$BC$157,COLUMN()-COLUMN($BC$4),FALSE)</f>
        <v>1</v>
      </c>
      <c r="CF16" s="39">
        <f>VLOOKUP($F16,Assumptions!$E$152:$BC$157,COLUMN()-COLUMN($BC$4),FALSE)</f>
        <v>1</v>
      </c>
      <c r="CG16" s="39">
        <f>VLOOKUP($F16,Assumptions!$E$152:$BC$157,COLUMN()-COLUMN($BC$4),FALSE)</f>
        <v>1</v>
      </c>
      <c r="CH16" s="39">
        <f>VLOOKUP($F16,Assumptions!$E$152:$BC$157,COLUMN()-COLUMN($BC$4),FALSE)</f>
        <v>1</v>
      </c>
      <c r="CI16" s="39">
        <f>VLOOKUP($F16,Assumptions!$E$152:$BC$157,COLUMN()-COLUMN($BC$4),FALSE)</f>
        <v>1</v>
      </c>
      <c r="CJ16" s="39">
        <f>VLOOKUP($F16,Assumptions!$E$152:$BC$157,COLUMN()-COLUMN($BC$4),FALSE)</f>
        <v>1</v>
      </c>
      <c r="CK16" s="39">
        <f>VLOOKUP($F16,Assumptions!$E$152:$BC$157,COLUMN()-COLUMN($BC$4),FALSE)</f>
        <v>1</v>
      </c>
      <c r="CL16" s="39">
        <f>VLOOKUP($F16,Assumptions!$E$152:$BC$157,COLUMN()-COLUMN($BC$4),FALSE)</f>
        <v>1</v>
      </c>
      <c r="CM16" s="39">
        <f>VLOOKUP($F16,Assumptions!$E$152:$BC$157,COLUMN()-COLUMN($BC$4),FALSE)</f>
        <v>1</v>
      </c>
      <c r="CN16" s="39">
        <f>VLOOKUP($F16,Assumptions!$E$152:$BC$157,COLUMN()-COLUMN($BC$4),FALSE)</f>
        <v>1</v>
      </c>
      <c r="CO16" s="39">
        <f>VLOOKUP($F16,Assumptions!$E$152:$BC$157,COLUMN()-COLUMN($BC$4),FALSE)</f>
        <v>1</v>
      </c>
      <c r="CP16" s="39">
        <f>VLOOKUP($F16,Assumptions!$E$152:$BC$157,COLUMN()-COLUMN($BC$4),FALSE)</f>
        <v>1</v>
      </c>
      <c r="CQ16" s="39">
        <f>VLOOKUP($F16,Assumptions!$E$152:$BC$157,COLUMN()-COLUMN($BC$4),FALSE)</f>
        <v>1</v>
      </c>
      <c r="CR16" s="39">
        <f>VLOOKUP($F16,Assumptions!$E$152:$BC$157,COLUMN()-COLUMN($BC$4),FALSE)</f>
        <v>1</v>
      </c>
      <c r="CS16" s="39">
        <f>VLOOKUP($F16,Assumptions!$E$152:$BC$157,COLUMN()-COLUMN($BC$4),FALSE)</f>
        <v>1</v>
      </c>
      <c r="CT16" s="39">
        <f>VLOOKUP($F16,Assumptions!$E$152:$BC$157,COLUMN()-COLUMN($BC$4),FALSE)</f>
        <v>1</v>
      </c>
      <c r="CU16" s="39">
        <f>VLOOKUP($F16,Assumptions!$E$152:$BC$157,COLUMN()-COLUMN($BC$4),FALSE)</f>
        <v>1</v>
      </c>
      <c r="CV16" s="39">
        <f>VLOOKUP($F16,Assumptions!$E$152:$BC$157,COLUMN()-COLUMN($BC$4),FALSE)</f>
        <v>1</v>
      </c>
      <c r="CW16" s="39">
        <f>VLOOKUP($F16,Assumptions!$E$152:$BC$157,COLUMN()-COLUMN($BC$4),FALSE)</f>
        <v>1</v>
      </c>
      <c r="CX16" s="39">
        <f>VLOOKUP($F16,Assumptions!$E$152:$BC$157,COLUMN()-COLUMN($BC$4),FALSE)</f>
        <v>1</v>
      </c>
      <c r="CY16" s="38"/>
      <c r="CZ16" s="38"/>
      <c r="DA16" s="38" t="str">
        <f t="shared" si="56"/>
        <v>TWD</v>
      </c>
      <c r="DB16" s="39">
        <f t="shared" ref="DB16" si="64">IFERROR(DB7/DB$20,"")</f>
        <v>0.00596206091937963</v>
      </c>
      <c r="DC16" s="39">
        <f t="shared" ref="DC16:EU16" si="65">IFERROR(DC7/DC$20,"")</f>
        <v>0.00843393606172226</v>
      </c>
      <c r="DD16" s="39">
        <f t="shared" si="65"/>
        <v>0.030246121153888</v>
      </c>
      <c r="DE16" s="39">
        <f t="shared" si="65"/>
        <v>0.0032425514077984</v>
      </c>
      <c r="DF16" s="39">
        <f t="shared" si="65"/>
        <v>0.00365301398050005</v>
      </c>
      <c r="DG16" s="39">
        <f t="shared" si="65"/>
        <v>0.0147778764847369</v>
      </c>
      <c r="DH16" s="39">
        <f t="shared" si="65"/>
        <v>0.0199313501086633</v>
      </c>
      <c r="DI16" s="39">
        <f t="shared" si="65"/>
        <v>0.0477746888855455</v>
      </c>
      <c r="DJ16" s="39">
        <f t="shared" si="65"/>
        <v>0.0152196831550375</v>
      </c>
      <c r="DK16" s="39">
        <f t="shared" si="65"/>
        <v>0.000464594227233168</v>
      </c>
      <c r="DL16" s="39">
        <f t="shared" si="65"/>
        <v>0.00937358154112785</v>
      </c>
      <c r="DM16" s="39">
        <f t="shared" si="65"/>
        <v>0.00349400483439326</v>
      </c>
      <c r="DN16" s="39">
        <f t="shared" si="65"/>
        <v>0.0997813428951676</v>
      </c>
      <c r="DO16" s="39">
        <f t="shared" si="65"/>
        <v>0.00305097634032564</v>
      </c>
      <c r="DP16" s="39">
        <f t="shared" si="65"/>
        <v>0.0440435880006805</v>
      </c>
      <c r="DQ16" s="39">
        <f t="shared" si="65"/>
        <v>0.00771143004974815</v>
      </c>
      <c r="DR16" s="39">
        <f t="shared" si="65"/>
        <v>0.0121576241421682</v>
      </c>
      <c r="DS16" s="39">
        <f t="shared" si="65"/>
        <v>0.0148554184195302</v>
      </c>
      <c r="DT16" s="39">
        <f t="shared" si="65"/>
        <v>0.029778418708953</v>
      </c>
      <c r="DU16" s="39">
        <f t="shared" si="65"/>
        <v>0.0140982525710102</v>
      </c>
      <c r="DV16" s="39">
        <f t="shared" si="65"/>
        <v>0</v>
      </c>
      <c r="DW16" s="39">
        <f t="shared" si="65"/>
        <v>0.0222183041847735</v>
      </c>
      <c r="DX16" s="39">
        <f t="shared" si="65"/>
        <v>0.158231979502558</v>
      </c>
      <c r="DY16" s="39">
        <f t="shared" si="65"/>
        <v>8.47570907952302e-5</v>
      </c>
      <c r="DZ16" s="39">
        <f t="shared" si="65"/>
        <v>0.02011618955763</v>
      </c>
      <c r="EA16" s="39">
        <f t="shared" si="65"/>
        <v>0.0104154895798955</v>
      </c>
      <c r="EB16" s="39">
        <f t="shared" si="65"/>
        <v>0</v>
      </c>
      <c r="EC16" s="39">
        <f t="shared" si="65"/>
        <v>0.0176653614158885</v>
      </c>
      <c r="ED16" s="39">
        <f t="shared" si="65"/>
        <v>0.0282063684516842</v>
      </c>
      <c r="EE16" s="39">
        <f t="shared" si="65"/>
        <v>0.0200777187470091</v>
      </c>
      <c r="EF16" s="39">
        <f t="shared" si="65"/>
        <v>0.00377024314750842</v>
      </c>
      <c r="EG16" s="39">
        <f t="shared" si="65"/>
        <v>0.0105191911330394</v>
      </c>
      <c r="EH16" s="39">
        <f t="shared" si="65"/>
        <v>0.0157290104550454</v>
      </c>
      <c r="EI16" s="39">
        <f t="shared" si="65"/>
        <v>0.0146101349655705</v>
      </c>
      <c r="EJ16" s="39">
        <f t="shared" si="65"/>
        <v>0.00963511016380368</v>
      </c>
      <c r="EK16" s="39">
        <f t="shared" si="65"/>
        <v>0</v>
      </c>
      <c r="EL16" s="39">
        <f t="shared" si="65"/>
        <v>0</v>
      </c>
      <c r="EM16" s="39">
        <f t="shared" si="65"/>
        <v>0</v>
      </c>
      <c r="EN16" s="39">
        <f t="shared" si="65"/>
        <v>0</v>
      </c>
      <c r="EO16" s="39">
        <f t="shared" si="65"/>
        <v>0</v>
      </c>
      <c r="EP16" s="39">
        <f t="shared" si="65"/>
        <v>0</v>
      </c>
      <c r="EQ16" s="39">
        <f t="shared" si="65"/>
        <v>0</v>
      </c>
      <c r="ER16" s="39">
        <f t="shared" si="65"/>
        <v>0</v>
      </c>
      <c r="ES16" s="39">
        <f t="shared" si="65"/>
        <v>0</v>
      </c>
      <c r="ET16" s="39">
        <f t="shared" si="65"/>
        <v>0</v>
      </c>
      <c r="EU16" s="39" t="str">
        <f t="shared" si="65"/>
        <v/>
      </c>
      <c r="EV16" s="38"/>
      <c r="EW16" s="38" t="str">
        <f t="shared" si="48"/>
        <v>\I:</v>
      </c>
      <c r="EX16" s="38" t="str">
        <f t="shared" si="51"/>
        <v/>
      </c>
      <c r="EY16" s="38" t="s">
        <v>133</v>
      </c>
      <c r="EZ16" s="38" t="s">
        <v>85</v>
      </c>
      <c r="FA16" s="38" t="s">
        <v>440</v>
      </c>
      <c r="FB16" s="38"/>
      <c r="FC16" s="38"/>
      <c r="FD16" s="38"/>
    </row>
    <row r="17" spans="1:157">
      <c r="A17" s="38" t="s">
        <v>446</v>
      </c>
      <c r="B17" s="38"/>
      <c r="C17" s="38" t="str">
        <f t="shared" si="54"/>
        <v/>
      </c>
      <c r="D17" s="38" t="s">
        <v>64</v>
      </c>
      <c r="E17" s="38" t="s">
        <v>445</v>
      </c>
      <c r="F17" s="38" t="s">
        <v>198</v>
      </c>
      <c r="G17" s="39">
        <f ca="1">SUMIFS(Assumptions!BD$3:BD$103,Assumptions!$G$3:$G$103,'non-road'!$F17,Assumptions!$B$3:$B$103,'non-road'!$D17)/SUMIF(Assumptions!$G$3:$G$103,'non-road'!$F17,Assumptions!BD$3:BD$103)</f>
        <v>0.724517194150145</v>
      </c>
      <c r="H17" s="39">
        <f ca="1">SUMIFS(Assumptions!BE$3:BE$103,Assumptions!$G$3:$G$103,'non-road'!$F17,Assumptions!$B$3:$B$103,'non-road'!$D17)/SUMIF(Assumptions!$G$3:$G$103,'non-road'!$F17,Assumptions!BE$3:BE$103)</f>
        <v>0.0271941935356368</v>
      </c>
      <c r="I17" s="39">
        <f ca="1">SUMIFS(Assumptions!BF$3:BF$103,Assumptions!$G$3:$G$103,'non-road'!$F17,Assumptions!$B$3:$B$103,'non-road'!$D17)/SUMIF(Assumptions!$G$3:$G$103,'non-road'!$F17,Assumptions!BF$3:BF$103)</f>
        <v>0.363080690673695</v>
      </c>
      <c r="J17" s="39">
        <f ca="1">SUMIFS(Assumptions!BG$3:BG$103,Assumptions!$G$3:$G$103,'non-road'!$F17,Assumptions!$B$3:$B$103,'non-road'!$D17)/SUMIF(Assumptions!$G$3:$G$103,'non-road'!$F17,Assumptions!BG$3:BG$103)</f>
        <v>0.980748165124974</v>
      </c>
      <c r="K17" s="39">
        <f ca="1">SUMIFS(Assumptions!BH$3:BH$103,Assumptions!$G$3:$G$103,'non-road'!$F17,Assumptions!$B$3:$B$103,'non-road'!$D17)/SUMIF(Assumptions!$G$3:$G$103,'non-road'!$F17,Assumptions!BH$3:BH$103)</f>
        <v>0.365147257604056</v>
      </c>
      <c r="L17" s="39">
        <f ca="1">SUMIFS(Assumptions!BI$3:BI$103,Assumptions!$G$3:$G$103,'non-road'!$F17,Assumptions!$B$3:$B$103,'non-road'!$D17)/SUMIF(Assumptions!$G$3:$G$103,'non-road'!$F17,Assumptions!BI$3:BI$103)</f>
        <v>0.98408848404469</v>
      </c>
      <c r="M17" s="39">
        <f ca="1">SUMIFS(Assumptions!BJ$3:BJ$103,Assumptions!$G$3:$G$103,'non-road'!$F17,Assumptions!$B$3:$B$103,'non-road'!$D17)/SUMIF(Assumptions!$G$3:$G$103,'non-road'!$F17,Assumptions!BJ$3:BJ$103)</f>
        <v>0.459998064307043</v>
      </c>
      <c r="N17" s="39">
        <f ca="1">SUMIFS(Assumptions!BK$3:BK$103,Assumptions!$G$3:$G$103,'non-road'!$F17,Assumptions!$B$3:$B$103,'non-road'!$D17)/SUMIF(Assumptions!$G$3:$G$103,'non-road'!$F17,Assumptions!BK$3:BK$103)</f>
        <v>0.860201170555059</v>
      </c>
      <c r="O17" s="39">
        <f ca="1">SUMIFS(Assumptions!BL$3:BL$103,Assumptions!$G$3:$G$103,'non-road'!$F17,Assumptions!$B$3:$B$103,'non-road'!$D17)/SUMIF(Assumptions!$G$3:$G$103,'non-road'!$F17,Assumptions!BL$3:BL$103)</f>
        <v>0.941552737923342</v>
      </c>
      <c r="P17" s="39">
        <f ca="1">SUMIFS(Assumptions!BM$3:BM$103,Assumptions!$G$3:$G$103,'non-road'!$F17,Assumptions!$B$3:$B$103,'non-road'!$D17)/SUMIF(Assumptions!$G$3:$G$103,'non-road'!$F17,Assumptions!BM$3:BM$103)</f>
        <v>0.95066822473969</v>
      </c>
      <c r="Q17" s="39">
        <f ca="1">SUMIFS(Assumptions!BN$3:BN$103,Assumptions!$G$3:$G$103,'non-road'!$F17,Assumptions!$B$3:$B$103,'non-road'!$D17)/SUMIF(Assumptions!$G$3:$G$103,'non-road'!$F17,Assumptions!BN$3:BN$103)</f>
        <v>0.983058608917671</v>
      </c>
      <c r="R17" s="39">
        <f ca="1">SUMIFS(Assumptions!BO$3:BO$103,Assumptions!$G$3:$G$103,'non-road'!$F17,Assumptions!$B$3:$B$103,'non-road'!$D17)/SUMIF(Assumptions!$G$3:$G$103,'non-road'!$F17,Assumptions!BO$3:BO$103)</f>
        <v>0.972833158974082</v>
      </c>
      <c r="S17" s="39">
        <f ca="1">SUMIFS(Assumptions!BP$3:BP$103,Assumptions!$G$3:$G$103,'non-road'!$F17,Assumptions!$B$3:$B$103,'non-road'!$D17)/SUMIF(Assumptions!$G$3:$G$103,'non-road'!$F17,Assumptions!BP$3:BP$103)</f>
        <v>0.936602256747623</v>
      </c>
      <c r="T17" s="39">
        <f ca="1">SUMIFS(Assumptions!BQ$3:BQ$103,Assumptions!$G$3:$G$103,'non-road'!$F17,Assumptions!$B$3:$B$103,'non-road'!$D17)/SUMIF(Assumptions!$G$3:$G$103,'non-road'!$F17,Assumptions!BQ$3:BQ$103)</f>
        <v>0.914491421392057</v>
      </c>
      <c r="U17" s="39" t="e">
        <f ca="1">SUMIFS(Assumptions!BR$3:BR$103,Assumptions!$G$3:$G$103,'non-road'!$F17,Assumptions!$B$3:$B$103,'non-road'!$D17)/SUMIF(Assumptions!$G$3:$G$103,'non-road'!$F17,Assumptions!BR$3:BR$103)</f>
        <v>#DIV/0!</v>
      </c>
      <c r="V17" s="39">
        <f ca="1">SUMIFS(Assumptions!BS$3:BS$103,Assumptions!$G$3:$G$103,'non-road'!$F17,Assumptions!$B$3:$B$103,'non-road'!$D17)/SUMIF(Assumptions!$G$3:$G$103,'non-road'!$F17,Assumptions!BS$3:BS$103)</f>
        <v>0.467427163787945</v>
      </c>
      <c r="W17" s="39">
        <f ca="1">SUMIFS(Assumptions!BT$3:BT$103,Assumptions!$G$3:$G$103,'non-road'!$F17,Assumptions!$B$3:$B$103,'non-road'!$D17)/SUMIF(Assumptions!$G$3:$G$103,'non-road'!$F17,Assumptions!BT$3:BT$103)</f>
        <v>0.532318801288429</v>
      </c>
      <c r="X17" s="39">
        <f ca="1">SUMIFS(Assumptions!BU$3:BU$103,Assumptions!$G$3:$G$103,'non-road'!$F17,Assumptions!$B$3:$B$103,'non-road'!$D17)/SUMIF(Assumptions!$G$3:$G$103,'non-road'!$F17,Assumptions!BU$3:BU$103)</f>
        <v>0.990914882114907</v>
      </c>
      <c r="Y17" s="39">
        <f ca="1">SUMIFS(Assumptions!BV$3:BV$103,Assumptions!$G$3:$G$103,'non-road'!$F17,Assumptions!$B$3:$B$103,'non-road'!$D17)/SUMIF(Assumptions!$G$3:$G$103,'non-road'!$F17,Assumptions!BV$3:BV$103)</f>
        <v>0.92961418258109</v>
      </c>
      <c r="Z17" s="39">
        <f ca="1">SUMIFS(Assumptions!BW$3:BW$103,Assumptions!$G$3:$G$103,'non-road'!$F17,Assumptions!$B$3:$B$103,'non-road'!$D17)/SUMIF(Assumptions!$G$3:$G$103,'non-road'!$F17,Assumptions!BW$3:BW$103)</f>
        <v>0.926775078503987</v>
      </c>
      <c r="AA17" s="39">
        <f ca="1">SUMIFS(Assumptions!BX$3:BX$103,Assumptions!$G$3:$G$103,'non-road'!$F17,Assumptions!$B$3:$B$103,'non-road'!$D17)/SUMIF(Assumptions!$G$3:$G$103,'non-road'!$F17,Assumptions!BX$3:BX$103)</f>
        <v>0</v>
      </c>
      <c r="AB17" s="39">
        <f ca="1">SUMIFS(Assumptions!BY$3:BY$103,Assumptions!$G$3:$G$103,'non-road'!$F17,Assumptions!$B$3:$B$103,'non-road'!$D17)/SUMIF(Assumptions!$G$3:$G$103,'non-road'!$F17,Assumptions!BY$3:BY$103)</f>
        <v>0.522030901091931</v>
      </c>
      <c r="AC17" s="39">
        <f ca="1">SUMIFS(Assumptions!BZ$3:BZ$103,Assumptions!$G$3:$G$103,'non-road'!$F17,Assumptions!$B$3:$B$103,'non-road'!$D17)/SUMIF(Assumptions!$G$3:$G$103,'non-road'!$F17,Assumptions!BZ$3:BZ$103)</f>
        <v>0.973758644818839</v>
      </c>
      <c r="AD17" s="39">
        <f ca="1">SUMIFS(Assumptions!CA$3:CA$103,Assumptions!$G$3:$G$103,'non-road'!$F17,Assumptions!$B$3:$B$103,'non-road'!$D17)/SUMIF(Assumptions!$G$3:$G$103,'non-road'!$F17,Assumptions!CA$3:CA$103)</f>
        <v>0.966055910674953</v>
      </c>
      <c r="AE17" s="39">
        <f ca="1">SUMIFS(Assumptions!CB$3:CB$103,Assumptions!$G$3:$G$103,'non-road'!$F17,Assumptions!$B$3:$B$103,'non-road'!$D17)/SUMIF(Assumptions!$G$3:$G$103,'non-road'!$F17,Assumptions!CB$3:CB$103)</f>
        <v>0.752756608533033</v>
      </c>
      <c r="AF17" s="39">
        <f ca="1">SUMIFS(Assumptions!CC$3:CC$103,Assumptions!$G$3:$G$103,'non-road'!$F17,Assumptions!$B$3:$B$103,'non-road'!$D17)/SUMIF(Assumptions!$G$3:$G$103,'non-road'!$F17,Assumptions!CC$3:CC$103)</f>
        <v>0.896251380199747</v>
      </c>
      <c r="AG17" s="39" t="e">
        <f ca="1">SUMIFS(Assumptions!CD$3:CD$103,Assumptions!$G$3:$G$103,'non-road'!$F17,Assumptions!$B$3:$B$103,'non-road'!$D17)/SUMIF(Assumptions!$G$3:$G$103,'non-road'!$F17,Assumptions!CD$3:CD$103)</f>
        <v>#DIV/0!</v>
      </c>
      <c r="AH17" s="39">
        <f ca="1">SUMIFS(Assumptions!CE$3:CE$103,Assumptions!$G$3:$G$103,'non-road'!$F17,Assumptions!$B$3:$B$103,'non-road'!$D17)/SUMIF(Assumptions!$G$3:$G$103,'non-road'!$F17,Assumptions!CE$3:CE$103)</f>
        <v>0.678113529562586</v>
      </c>
      <c r="AI17" s="39">
        <f ca="1">SUMIFS(Assumptions!CF$3:CF$103,Assumptions!$G$3:$G$103,'non-road'!$F17,Assumptions!$B$3:$B$103,'non-road'!$D17)/SUMIF(Assumptions!$G$3:$G$103,'non-road'!$F17,Assumptions!CF$3:CF$103)</f>
        <v>0.973556201162987</v>
      </c>
      <c r="AJ17" s="39">
        <f ca="1">SUMIFS(Assumptions!CG$3:CG$103,Assumptions!$G$3:$G$103,'non-road'!$F17,Assumptions!$B$3:$B$103,'non-road'!$D17)/SUMIF(Assumptions!$G$3:$G$103,'non-road'!$F17,Assumptions!CG$3:CG$103)</f>
        <v>0.966788705093069</v>
      </c>
      <c r="AK17" s="39">
        <f ca="1">SUMIFS(Assumptions!CH$3:CH$103,Assumptions!$G$3:$G$103,'non-road'!$F17,Assumptions!$B$3:$B$103,'non-road'!$D17)/SUMIF(Assumptions!$G$3:$G$103,'non-road'!$F17,Assumptions!CH$3:CH$103)</f>
        <v>0.996429050116206</v>
      </c>
      <c r="AL17" s="39">
        <f ca="1">SUMIFS(Assumptions!CI$3:CI$103,Assumptions!$G$3:$G$103,'non-road'!$F17,Assumptions!$B$3:$B$103,'non-road'!$D17)/SUMIF(Assumptions!$G$3:$G$103,'non-road'!$F17,Assumptions!CI$3:CI$103)</f>
        <v>0.741175108132762</v>
      </c>
      <c r="AM17" s="39">
        <f ca="1">SUMIFS(Assumptions!CJ$3:CJ$103,Assumptions!$G$3:$G$103,'non-road'!$F17,Assumptions!$B$3:$B$103,'non-road'!$D17)/SUMIF(Assumptions!$G$3:$G$103,'non-road'!$F17,Assumptions!CJ$3:CJ$103)</f>
        <v>0.882779152990044</v>
      </c>
      <c r="AN17" s="39">
        <f ca="1">SUMIFS(Assumptions!CK$3:CK$103,Assumptions!$G$3:$G$103,'non-road'!$F17,Assumptions!$B$3:$B$103,'non-road'!$D17)/SUMIF(Assumptions!$G$3:$G$103,'non-road'!$F17,Assumptions!CK$3:CK$103)</f>
        <v>0.988356205829323</v>
      </c>
      <c r="AO17" s="39">
        <f ca="1">SUMIFS(Assumptions!CL$3:CL$103,Assumptions!$G$3:$G$103,'non-road'!$F17,Assumptions!$B$3:$B$103,'non-road'!$D17)/SUMIF(Assumptions!$G$3:$G$103,'non-road'!$F17,Assumptions!CL$3:CL$103)</f>
        <v>0.950941962263814</v>
      </c>
      <c r="AP17" s="39" t="e">
        <f ca="1">SUMIFS(Assumptions!CM$3:CM$103,Assumptions!$G$3:$G$103,'non-road'!$F17,Assumptions!$B$3:$B$103,'non-road'!$D17)/SUMIF(Assumptions!$G$3:$G$103,'non-road'!$F17,Assumptions!CM$3:CM$103)</f>
        <v>#DIV/0!</v>
      </c>
      <c r="AQ17" s="39" t="e">
        <f ca="1">SUMIFS(Assumptions!CN$3:CN$103,Assumptions!$G$3:$G$103,'non-road'!$F17,Assumptions!$B$3:$B$103,'non-road'!$D17)/SUMIF(Assumptions!$G$3:$G$103,'non-road'!$F17,Assumptions!CN$3:CN$103)</f>
        <v>#DIV/0!</v>
      </c>
      <c r="AR17" s="39" t="e">
        <f ca="1">SUMIFS(Assumptions!CO$3:CO$103,Assumptions!$G$3:$G$103,'non-road'!$F17,Assumptions!$B$3:$B$103,'non-road'!$D17)/SUMIF(Assumptions!$G$3:$G$103,'non-road'!$F17,Assumptions!CO$3:CO$103)</f>
        <v>#DIV/0!</v>
      </c>
      <c r="AS17" s="39" t="e">
        <f ca="1">SUMIFS(Assumptions!CP$3:CP$103,Assumptions!$G$3:$G$103,'non-road'!$F17,Assumptions!$B$3:$B$103,'non-road'!$D17)/SUMIF(Assumptions!$G$3:$G$103,'non-road'!$F17,Assumptions!CP$3:CP$103)</f>
        <v>#DIV/0!</v>
      </c>
      <c r="AT17" s="39" t="e">
        <f ca="1">SUMIFS(Assumptions!CQ$3:CQ$103,Assumptions!$G$3:$G$103,'non-road'!$F17,Assumptions!$B$3:$B$103,'non-road'!$D17)/SUMIF(Assumptions!$G$3:$G$103,'non-road'!$F17,Assumptions!CQ$3:CQ$103)</f>
        <v>#DIV/0!</v>
      </c>
      <c r="AU17" s="39" t="e">
        <f ca="1">SUMIFS(Assumptions!CR$3:CR$103,Assumptions!$G$3:$G$103,'non-road'!$F17,Assumptions!$B$3:$B$103,'non-road'!$D17)/SUMIF(Assumptions!$G$3:$G$103,'non-road'!$F17,Assumptions!CR$3:CR$103)</f>
        <v>#DIV/0!</v>
      </c>
      <c r="AV17" s="39" t="e">
        <f ca="1">SUMIFS(Assumptions!CS$3:CS$103,Assumptions!$G$3:$G$103,'non-road'!$F17,Assumptions!$B$3:$B$103,'non-road'!$D17)/SUMIF(Assumptions!$G$3:$G$103,'non-road'!$F17,Assumptions!CS$3:CS$103)</f>
        <v>#DIV/0!</v>
      </c>
      <c r="AW17" s="39" t="e">
        <f ca="1">SUMIFS(Assumptions!CT$3:CT$103,Assumptions!$G$3:$G$103,'non-road'!$F17,Assumptions!$B$3:$B$103,'non-road'!$D17)/SUMIF(Assumptions!$G$3:$G$103,'non-road'!$F17,Assumptions!CT$3:CT$103)</f>
        <v>#DIV/0!</v>
      </c>
      <c r="AX17" s="39" t="e">
        <f ca="1">SUMIFS(Assumptions!CU$3:CU$103,Assumptions!$G$3:$G$103,'non-road'!$F17,Assumptions!$B$3:$B$103,'non-road'!$D17)/SUMIF(Assumptions!$G$3:$G$103,'non-road'!$F17,Assumptions!CU$3:CU$103)</f>
        <v>#DIV/0!</v>
      </c>
      <c r="AY17" s="39" t="e">
        <f ca="1">SUMIFS(Assumptions!CV$3:CV$103,Assumptions!$G$3:$G$103,'non-road'!$F17,Assumptions!$B$3:$B$103,'non-road'!$D17)/SUMIF(Assumptions!$G$3:$G$103,'non-road'!$F17,Assumptions!CV$3:CV$103)</f>
        <v>#DIV/0!</v>
      </c>
      <c r="AZ17" s="39" t="e">
        <f ca="1">SUMIFS(Assumptions!CW$3:CW$103,Assumptions!$G$3:$G$103,'non-road'!$F17,Assumptions!$B$3:$B$103,'non-road'!$D17)/SUMIF(Assumptions!$G$3:$G$103,'non-road'!$F17,Assumptions!CW$3:CW$103)</f>
        <v>#DIV/0!</v>
      </c>
      <c r="BA17" s="40"/>
      <c r="BB17" s="39"/>
      <c r="BC17" s="39"/>
      <c r="BD17" s="38" t="str">
        <f t="shared" si="55"/>
        <v>\I:</v>
      </c>
      <c r="BE17" s="39">
        <f>VLOOKUP($F17,Assumptions!$E$152:$BC$157,COLUMN()-COLUMN($BC$4),FALSE)</f>
        <v>1</v>
      </c>
      <c r="BF17" s="39">
        <f>VLOOKUP($F17,Assumptions!$E$152:$BC$157,COLUMN()-COLUMN($BC$4),FALSE)</f>
        <v>1</v>
      </c>
      <c r="BG17" s="39">
        <f>VLOOKUP($F17,Assumptions!$E$152:$BC$157,COLUMN()-COLUMN($BC$4),FALSE)</f>
        <v>1</v>
      </c>
      <c r="BH17" s="39">
        <f>VLOOKUP($F17,Assumptions!$E$152:$BC$157,COLUMN()-COLUMN($BC$4),FALSE)</f>
        <v>1</v>
      </c>
      <c r="BI17" s="39">
        <f>VLOOKUP($F17,Assumptions!$E$152:$BC$157,COLUMN()-COLUMN($BC$4),FALSE)</f>
        <v>1</v>
      </c>
      <c r="BJ17" s="39">
        <f>VLOOKUP($F17,Assumptions!$E$152:$BC$157,COLUMN()-COLUMN($BC$4),FALSE)</f>
        <v>1</v>
      </c>
      <c r="BK17" s="39">
        <f>VLOOKUP($F17,Assumptions!$E$152:$BC$157,COLUMN()-COLUMN($BC$4),FALSE)</f>
        <v>1</v>
      </c>
      <c r="BL17" s="39">
        <f>VLOOKUP($F17,Assumptions!$E$152:$BC$157,COLUMN()-COLUMN($BC$4),FALSE)</f>
        <v>1</v>
      </c>
      <c r="BM17" s="39">
        <f>VLOOKUP($F17,Assumptions!$E$152:$BC$157,COLUMN()-COLUMN($BC$4),FALSE)</f>
        <v>1</v>
      </c>
      <c r="BN17" s="39">
        <f>VLOOKUP($F17,Assumptions!$E$152:$BC$157,COLUMN()-COLUMN($BC$4),FALSE)</f>
        <v>1</v>
      </c>
      <c r="BO17" s="39">
        <f>VLOOKUP($F17,Assumptions!$E$152:$BC$157,COLUMN()-COLUMN($BC$4),FALSE)</f>
        <v>1</v>
      </c>
      <c r="BP17" s="39">
        <f>VLOOKUP($F17,Assumptions!$E$152:$BC$157,COLUMN()-COLUMN($BC$4),FALSE)</f>
        <v>1</v>
      </c>
      <c r="BQ17" s="39">
        <f>VLOOKUP($F17,Assumptions!$E$152:$BC$157,COLUMN()-COLUMN($BC$4),FALSE)</f>
        <v>1</v>
      </c>
      <c r="BR17" s="39">
        <f>VLOOKUP($F17,Assumptions!$E$152:$BC$157,COLUMN()-COLUMN($BC$4),FALSE)</f>
        <v>1</v>
      </c>
      <c r="BS17" s="39">
        <f>VLOOKUP($F17,Assumptions!$E$152:$BC$157,COLUMN()-COLUMN($BC$4),FALSE)</f>
        <v>1</v>
      </c>
      <c r="BT17" s="39">
        <f>VLOOKUP($F17,Assumptions!$E$152:$BC$157,COLUMN()-COLUMN($BC$4),FALSE)</f>
        <v>1</v>
      </c>
      <c r="BU17" s="39">
        <f>VLOOKUP($F17,Assumptions!$E$152:$BC$157,COLUMN()-COLUMN($BC$4),FALSE)</f>
        <v>1</v>
      </c>
      <c r="BV17" s="39">
        <f>VLOOKUP($F17,Assumptions!$E$152:$BC$157,COLUMN()-COLUMN($BC$4),FALSE)</f>
        <v>1</v>
      </c>
      <c r="BW17" s="39">
        <f>VLOOKUP($F17,Assumptions!$E$152:$BC$157,COLUMN()-COLUMN($BC$4),FALSE)</f>
        <v>1</v>
      </c>
      <c r="BX17" s="39">
        <f>VLOOKUP($F17,Assumptions!$E$152:$BC$157,COLUMN()-COLUMN($BC$4),FALSE)</f>
        <v>1</v>
      </c>
      <c r="BY17" s="39">
        <f>VLOOKUP($F17,Assumptions!$E$152:$BC$157,COLUMN()-COLUMN($BC$4),FALSE)</f>
        <v>1</v>
      </c>
      <c r="BZ17" s="39">
        <f>VLOOKUP($F17,Assumptions!$E$152:$BC$157,COLUMN()-COLUMN($BC$4),FALSE)</f>
        <v>1</v>
      </c>
      <c r="CA17" s="39">
        <f>VLOOKUP($F17,Assumptions!$E$152:$BC$157,COLUMN()-COLUMN($BC$4),FALSE)</f>
        <v>1</v>
      </c>
      <c r="CB17" s="39">
        <f>VLOOKUP($F17,Assumptions!$E$152:$BC$157,COLUMN()-COLUMN($BC$4),FALSE)</f>
        <v>1</v>
      </c>
      <c r="CC17" s="39">
        <f>VLOOKUP($F17,Assumptions!$E$152:$BC$157,COLUMN()-COLUMN($BC$4),FALSE)</f>
        <v>1</v>
      </c>
      <c r="CD17" s="39">
        <f>VLOOKUP($F17,Assumptions!$E$152:$BC$157,COLUMN()-COLUMN($BC$4),FALSE)</f>
        <v>1</v>
      </c>
      <c r="CE17" s="39">
        <f>VLOOKUP($F17,Assumptions!$E$152:$BC$157,COLUMN()-COLUMN($BC$4),FALSE)</f>
        <v>1</v>
      </c>
      <c r="CF17" s="39">
        <f>VLOOKUP($F17,Assumptions!$E$152:$BC$157,COLUMN()-COLUMN($BC$4),FALSE)</f>
        <v>1</v>
      </c>
      <c r="CG17" s="39">
        <f>VLOOKUP($F17,Assumptions!$E$152:$BC$157,COLUMN()-COLUMN($BC$4),FALSE)</f>
        <v>1</v>
      </c>
      <c r="CH17" s="39">
        <f>VLOOKUP($F17,Assumptions!$E$152:$BC$157,COLUMN()-COLUMN($BC$4),FALSE)</f>
        <v>1</v>
      </c>
      <c r="CI17" s="39">
        <f>VLOOKUP($F17,Assumptions!$E$152:$BC$157,COLUMN()-COLUMN($BC$4),FALSE)</f>
        <v>1</v>
      </c>
      <c r="CJ17" s="39">
        <f>VLOOKUP($F17,Assumptions!$E$152:$BC$157,COLUMN()-COLUMN($BC$4),FALSE)</f>
        <v>1</v>
      </c>
      <c r="CK17" s="39">
        <f>VLOOKUP($F17,Assumptions!$E$152:$BC$157,COLUMN()-COLUMN($BC$4),FALSE)</f>
        <v>1</v>
      </c>
      <c r="CL17" s="39">
        <f>VLOOKUP($F17,Assumptions!$E$152:$BC$157,COLUMN()-COLUMN($BC$4),FALSE)</f>
        <v>1</v>
      </c>
      <c r="CM17" s="39">
        <f>VLOOKUP($F17,Assumptions!$E$152:$BC$157,COLUMN()-COLUMN($BC$4),FALSE)</f>
        <v>1</v>
      </c>
      <c r="CN17" s="39">
        <f>VLOOKUP($F17,Assumptions!$E$152:$BC$157,COLUMN()-COLUMN($BC$4),FALSE)</f>
        <v>1</v>
      </c>
      <c r="CO17" s="39">
        <f>VLOOKUP($F17,Assumptions!$E$152:$BC$157,COLUMN()-COLUMN($BC$4),FALSE)</f>
        <v>1</v>
      </c>
      <c r="CP17" s="39">
        <f>VLOOKUP($F17,Assumptions!$E$152:$BC$157,COLUMN()-COLUMN($BC$4),FALSE)</f>
        <v>1</v>
      </c>
      <c r="CQ17" s="39">
        <f>VLOOKUP($F17,Assumptions!$E$152:$BC$157,COLUMN()-COLUMN($BC$4),FALSE)</f>
        <v>1</v>
      </c>
      <c r="CR17" s="39">
        <f>VLOOKUP($F17,Assumptions!$E$152:$BC$157,COLUMN()-COLUMN($BC$4),FALSE)</f>
        <v>1</v>
      </c>
      <c r="CS17" s="39">
        <f>VLOOKUP($F17,Assumptions!$E$152:$BC$157,COLUMN()-COLUMN($BC$4),FALSE)</f>
        <v>1</v>
      </c>
      <c r="CT17" s="39">
        <f>VLOOKUP($F17,Assumptions!$E$152:$BC$157,COLUMN()-COLUMN($BC$4),FALSE)</f>
        <v>1</v>
      </c>
      <c r="CU17" s="39">
        <f>VLOOKUP($F17,Assumptions!$E$152:$BC$157,COLUMN()-COLUMN($BC$4),FALSE)</f>
        <v>1</v>
      </c>
      <c r="CV17" s="39">
        <f>VLOOKUP($F17,Assumptions!$E$152:$BC$157,COLUMN()-COLUMN($BC$4),FALSE)</f>
        <v>1</v>
      </c>
      <c r="CW17" s="39">
        <f>VLOOKUP($F17,Assumptions!$E$152:$BC$157,COLUMN()-COLUMN($BC$4),FALSE)</f>
        <v>1</v>
      </c>
      <c r="CX17" s="39">
        <f>VLOOKUP($F17,Assumptions!$E$152:$BC$157,COLUMN()-COLUMN($BC$4),FALSE)</f>
        <v>1</v>
      </c>
      <c r="CY17" s="38"/>
      <c r="CZ17" s="38"/>
      <c r="DA17" s="38" t="str">
        <f t="shared" si="56"/>
        <v>TWI</v>
      </c>
      <c r="DB17" s="39">
        <f t="shared" ref="DB17" si="66">IFERROR(DB8/DB$20,"")</f>
        <v>0.0177610024014579</v>
      </c>
      <c r="DC17" s="39">
        <f t="shared" ref="DC17:EU17" si="67">IFERROR(DC8/DC$20,"")</f>
        <v>0.0316623407543171</v>
      </c>
      <c r="DD17" s="39">
        <f t="shared" si="67"/>
        <v>0.0332621169689351</v>
      </c>
      <c r="DE17" s="39">
        <f t="shared" si="67"/>
        <v>0.00174714210455814</v>
      </c>
      <c r="DF17" s="39">
        <f t="shared" si="67"/>
        <v>0.197542555153483</v>
      </c>
      <c r="DG17" s="39">
        <f t="shared" si="67"/>
        <v>0.667393570955201</v>
      </c>
      <c r="DH17" s="39">
        <f t="shared" si="67"/>
        <v>0.0510669800667173</v>
      </c>
      <c r="DI17" s="39">
        <f t="shared" si="67"/>
        <v>0.0223196182269005</v>
      </c>
      <c r="DJ17" s="39">
        <f t="shared" si="67"/>
        <v>0.0641932345085858</v>
      </c>
      <c r="DK17" s="39">
        <f t="shared" si="67"/>
        <v>0</v>
      </c>
      <c r="DL17" s="39">
        <f t="shared" si="67"/>
        <v>0.0315905065164645</v>
      </c>
      <c r="DM17" s="39">
        <f t="shared" si="67"/>
        <v>0.0176451253033923</v>
      </c>
      <c r="DN17" s="39">
        <f t="shared" si="67"/>
        <v>0.434897465949987</v>
      </c>
      <c r="DO17" s="39">
        <f t="shared" si="67"/>
        <v>0.00689770367141138</v>
      </c>
      <c r="DP17" s="39">
        <f t="shared" si="67"/>
        <v>0.170020606241612</v>
      </c>
      <c r="DQ17" s="39">
        <f t="shared" si="67"/>
        <v>0.00816345629769826</v>
      </c>
      <c r="DR17" s="39">
        <f t="shared" si="67"/>
        <v>0.0193134508911938</v>
      </c>
      <c r="DS17" s="39">
        <f t="shared" si="67"/>
        <v>0.11787482596378</v>
      </c>
      <c r="DT17" s="39">
        <f t="shared" si="67"/>
        <v>0.0427731486967235</v>
      </c>
      <c r="DU17" s="39">
        <f t="shared" si="67"/>
        <v>0.098002933128174</v>
      </c>
      <c r="DV17" s="39">
        <f t="shared" si="67"/>
        <v>0.223029864459423</v>
      </c>
      <c r="DW17" s="39">
        <f t="shared" si="67"/>
        <v>0.0506056462064245</v>
      </c>
      <c r="DX17" s="39">
        <f t="shared" si="67"/>
        <v>0.0519056068596056</v>
      </c>
      <c r="DY17" s="39">
        <f t="shared" si="67"/>
        <v>0.0123965211180016</v>
      </c>
      <c r="DZ17" s="39">
        <f t="shared" si="67"/>
        <v>0.205879156220256</v>
      </c>
      <c r="EA17" s="39">
        <f t="shared" si="67"/>
        <v>0.184141664741993</v>
      </c>
      <c r="EB17" s="39">
        <f t="shared" si="67"/>
        <v>0.0788210961527728</v>
      </c>
      <c r="EC17" s="39">
        <f t="shared" si="67"/>
        <v>0.20192160498744</v>
      </c>
      <c r="ED17" s="39">
        <f t="shared" si="67"/>
        <v>0.20398106188697</v>
      </c>
      <c r="EE17" s="39">
        <f t="shared" si="67"/>
        <v>0.156940487829484</v>
      </c>
      <c r="EF17" s="39">
        <f t="shared" si="67"/>
        <v>0.000271412250859985</v>
      </c>
      <c r="EG17" s="39">
        <f t="shared" si="67"/>
        <v>0.0239218100360477</v>
      </c>
      <c r="EH17" s="39">
        <f t="shared" si="67"/>
        <v>0.0402847291975361</v>
      </c>
      <c r="EI17" s="39">
        <f t="shared" si="67"/>
        <v>0</v>
      </c>
      <c r="EJ17" s="39">
        <f t="shared" si="67"/>
        <v>0.010640346596754</v>
      </c>
      <c r="EK17" s="39">
        <f t="shared" si="67"/>
        <v>0</v>
      </c>
      <c r="EL17" s="39">
        <f t="shared" si="67"/>
        <v>0</v>
      </c>
      <c r="EM17" s="39">
        <f t="shared" si="67"/>
        <v>0</v>
      </c>
      <c r="EN17" s="39">
        <f t="shared" si="67"/>
        <v>0</v>
      </c>
      <c r="EO17" s="39">
        <f t="shared" si="67"/>
        <v>0</v>
      </c>
      <c r="EP17" s="39">
        <f t="shared" si="67"/>
        <v>0</v>
      </c>
      <c r="EQ17" s="39">
        <f t="shared" si="67"/>
        <v>0</v>
      </c>
      <c r="ER17" s="39">
        <f t="shared" si="67"/>
        <v>0</v>
      </c>
      <c r="ES17" s="39">
        <f t="shared" si="67"/>
        <v>0</v>
      </c>
      <c r="ET17" s="39">
        <f t="shared" si="67"/>
        <v>0</v>
      </c>
      <c r="EU17" s="39" t="str">
        <f t="shared" si="67"/>
        <v/>
      </c>
      <c r="EV17" s="38"/>
      <c r="EW17" s="38" t="str">
        <f t="shared" si="48"/>
        <v>DMD</v>
      </c>
      <c r="EX17" s="38" t="str">
        <f t="shared" ref="EX17:EX40" si="68">C18</f>
        <v>TAI_Generic</v>
      </c>
      <c r="EY17" s="38" t="s">
        <v>448</v>
      </c>
      <c r="EZ17" s="38" t="s">
        <v>85</v>
      </c>
      <c r="FA17" s="38" t="s">
        <v>440</v>
      </c>
    </row>
    <row r="18" spans="1:157">
      <c r="C18" s="38" t="str">
        <f t="shared" si="54"/>
        <v>TAI_Generic</v>
      </c>
      <c r="D18" s="38" t="s">
        <v>66</v>
      </c>
      <c r="E18" s="38"/>
      <c r="F18" s="38" t="s">
        <v>76</v>
      </c>
      <c r="G18" s="39">
        <f>SUMIFS(Assumptions!BD$105:BD$128,Assumptions!$BB$105:$BB$128,'non-road'!$F18,Assumptions!$BC$105:$BC$128,'non-road'!$D18)/SUMIF(Assumptions!$BB$105:$BB$128,'non-road'!$F18,Assumptions!BD$105:BD$128)</f>
        <v>0</v>
      </c>
      <c r="H18" s="39">
        <f>SUMIFS(Assumptions!BE$105:BE$128,Assumptions!$BB$105:$BB$128,'non-road'!$F18,Assumptions!$BC$105:$BC$128,'non-road'!$D18)/SUMIF(Assumptions!$BB$105:$BB$128,'non-road'!$F18,Assumptions!BE$105:BE$128)</f>
        <v>0</v>
      </c>
      <c r="I18" s="39">
        <f>SUMIFS(Assumptions!BF$105:BF$128,Assumptions!$BB$105:$BB$128,'non-road'!$F18,Assumptions!$BC$105:$BC$128,'non-road'!$D18)/SUMIF(Assumptions!$BB$105:$BB$128,'non-road'!$F18,Assumptions!BF$105:BF$128)</f>
        <v>0</v>
      </c>
      <c r="J18" s="39">
        <f>SUMIFS(Assumptions!BG$105:BG$128,Assumptions!$BB$105:$BB$128,'non-road'!$F18,Assumptions!$BC$105:$BC$128,'non-road'!$D18)/SUMIF(Assumptions!$BB$105:$BB$128,'non-road'!$F18,Assumptions!BG$105:BG$128)</f>
        <v>0</v>
      </c>
      <c r="K18" s="39">
        <f>SUMIFS(Assumptions!BH$105:BH$128,Assumptions!$BB$105:$BB$128,'non-road'!$F18,Assumptions!$BC$105:$BC$128,'non-road'!$D18)/SUMIF(Assumptions!$BB$105:$BB$128,'non-road'!$F18,Assumptions!BH$105:BH$128)</f>
        <v>0</v>
      </c>
      <c r="L18" s="39">
        <f>SUMIFS(Assumptions!BI$105:BI$128,Assumptions!$BB$105:$BB$128,'non-road'!$F18,Assumptions!$BC$105:$BC$128,'non-road'!$D18)/SUMIF(Assumptions!$BB$105:$BB$128,'non-road'!$F18,Assumptions!BI$105:BI$128)</f>
        <v>0</v>
      </c>
      <c r="M18" s="39">
        <f>SUMIFS(Assumptions!BJ$105:BJ$128,Assumptions!$BB$105:$BB$128,'non-road'!$F18,Assumptions!$BC$105:$BC$128,'non-road'!$D18)/SUMIF(Assumptions!$BB$105:$BB$128,'non-road'!$F18,Assumptions!BJ$105:BJ$128)</f>
        <v>0</v>
      </c>
      <c r="N18" s="39">
        <f>SUMIFS(Assumptions!BK$105:BK$128,Assumptions!$BB$105:$BB$128,'non-road'!$F18,Assumptions!$BC$105:$BC$128,'non-road'!$D18)/SUMIF(Assumptions!$BB$105:$BB$128,'non-road'!$F18,Assumptions!BK$105:BK$128)</f>
        <v>0</v>
      </c>
      <c r="O18" s="39">
        <f>SUMIFS(Assumptions!BL$105:BL$128,Assumptions!$BB$105:$BB$128,'non-road'!$F18,Assumptions!$BC$105:$BC$128,'non-road'!$D18)/SUMIF(Assumptions!$BB$105:$BB$128,'non-road'!$F18,Assumptions!BL$105:BL$128)</f>
        <v>0</v>
      </c>
      <c r="P18" s="39">
        <f>SUMIFS(Assumptions!BM$105:BM$128,Assumptions!$BB$105:$BB$128,'non-road'!$F18,Assumptions!$BC$105:$BC$128,'non-road'!$D18)/SUMIF(Assumptions!$BB$105:$BB$128,'non-road'!$F18,Assumptions!BM$105:BM$128)</f>
        <v>0</v>
      </c>
      <c r="Q18" s="39">
        <f>SUMIFS(Assumptions!BN$105:BN$128,Assumptions!$BB$105:$BB$128,'non-road'!$F18,Assumptions!$BC$105:$BC$128,'non-road'!$D18)/SUMIF(Assumptions!$BB$105:$BB$128,'non-road'!$F18,Assumptions!BN$105:BN$128)</f>
        <v>0</v>
      </c>
      <c r="R18" s="39">
        <f>SUMIFS(Assumptions!BO$105:BO$128,Assumptions!$BB$105:$BB$128,'non-road'!$F18,Assumptions!$BC$105:$BC$128,'non-road'!$D18)/SUMIF(Assumptions!$BB$105:$BB$128,'non-road'!$F18,Assumptions!BO$105:BO$128)</f>
        <v>0</v>
      </c>
      <c r="S18" s="39">
        <f>SUMIFS(Assumptions!BP$105:BP$128,Assumptions!$BB$105:$BB$128,'non-road'!$F18,Assumptions!$BC$105:$BC$128,'non-road'!$D18)/SUMIF(Assumptions!$BB$105:$BB$128,'non-road'!$F18,Assumptions!BP$105:BP$128)</f>
        <v>0</v>
      </c>
      <c r="T18" s="39">
        <f>SUMIFS(Assumptions!BQ$105:BQ$128,Assumptions!$BB$105:$BB$128,'non-road'!$F18,Assumptions!$BC$105:$BC$128,'non-road'!$D18)/SUMIF(Assumptions!$BB$105:$BB$128,'non-road'!$F18,Assumptions!BQ$105:BQ$128)</f>
        <v>0</v>
      </c>
      <c r="U18" s="39">
        <f>SUMIFS(Assumptions!BR$105:BR$128,Assumptions!$BB$105:$BB$128,'non-road'!$F18,Assumptions!$BC$105:$BC$128,'non-road'!$D18)/SUMIF(Assumptions!$BB$105:$BB$128,'non-road'!$F18,Assumptions!BR$105:BR$128)</f>
        <v>0</v>
      </c>
      <c r="V18" s="39">
        <f>SUMIFS(Assumptions!BS$105:BS$128,Assumptions!$BB$105:$BB$128,'non-road'!$F18,Assumptions!$BC$105:$BC$128,'non-road'!$D18)/SUMIF(Assumptions!$BB$105:$BB$128,'non-road'!$F18,Assumptions!BS$105:BS$128)</f>
        <v>0</v>
      </c>
      <c r="W18" s="39">
        <f>SUMIFS(Assumptions!BT$105:BT$128,Assumptions!$BB$105:$BB$128,'non-road'!$F18,Assumptions!$BC$105:$BC$128,'non-road'!$D18)/SUMIF(Assumptions!$BB$105:$BB$128,'non-road'!$F18,Assumptions!BT$105:BT$128)</f>
        <v>0</v>
      </c>
      <c r="X18" s="39">
        <f>SUMIFS(Assumptions!BU$105:BU$128,Assumptions!$BB$105:$BB$128,'non-road'!$F18,Assumptions!$BC$105:$BC$128,'non-road'!$D18)/SUMIF(Assumptions!$BB$105:$BB$128,'non-road'!$F18,Assumptions!BU$105:BU$128)</f>
        <v>0</v>
      </c>
      <c r="Y18" s="39">
        <f>SUMIFS(Assumptions!BV$105:BV$128,Assumptions!$BB$105:$BB$128,'non-road'!$F18,Assumptions!$BC$105:$BC$128,'non-road'!$D18)/SUMIF(Assumptions!$BB$105:$BB$128,'non-road'!$F18,Assumptions!BV$105:BV$128)</f>
        <v>0</v>
      </c>
      <c r="Z18" s="39">
        <f>SUMIFS(Assumptions!BW$105:BW$128,Assumptions!$BB$105:$BB$128,'non-road'!$F18,Assumptions!$BC$105:$BC$128,'non-road'!$D18)/SUMIF(Assumptions!$BB$105:$BB$128,'non-road'!$F18,Assumptions!BW$105:BW$128)</f>
        <v>0</v>
      </c>
      <c r="AA18" s="39">
        <f>SUMIFS(Assumptions!BX$105:BX$128,Assumptions!$BB$105:$BB$128,'non-road'!$F18,Assumptions!$BC$105:$BC$128,'non-road'!$D18)/SUMIF(Assumptions!$BB$105:$BB$128,'non-road'!$F18,Assumptions!BX$105:BX$128)</f>
        <v>0</v>
      </c>
      <c r="AB18" s="39">
        <f>SUMIFS(Assumptions!BY$105:BY$128,Assumptions!$BB$105:$BB$128,'non-road'!$F18,Assumptions!$BC$105:$BC$128,'non-road'!$D18)/SUMIF(Assumptions!$BB$105:$BB$128,'non-road'!$F18,Assumptions!BY$105:BY$128)</f>
        <v>0</v>
      </c>
      <c r="AC18" s="39">
        <f>SUMIFS(Assumptions!BZ$105:BZ$128,Assumptions!$BB$105:$BB$128,'non-road'!$F18,Assumptions!$BC$105:$BC$128,'non-road'!$D18)/SUMIF(Assumptions!$BB$105:$BB$128,'non-road'!$F18,Assumptions!BZ$105:BZ$128)</f>
        <v>0</v>
      </c>
      <c r="AD18" s="39">
        <f>SUMIFS(Assumptions!CA$105:CA$128,Assumptions!$BB$105:$BB$128,'non-road'!$F18,Assumptions!$BC$105:$BC$128,'non-road'!$D18)/SUMIF(Assumptions!$BB$105:$BB$128,'non-road'!$F18,Assumptions!CA$105:CA$128)</f>
        <v>0</v>
      </c>
      <c r="AE18" s="39">
        <f>SUMIFS(Assumptions!CB$105:CB$128,Assumptions!$BB$105:$BB$128,'non-road'!$F18,Assumptions!$BC$105:$BC$128,'non-road'!$D18)/SUMIF(Assumptions!$BB$105:$BB$128,'non-road'!$F18,Assumptions!CB$105:CB$128)</f>
        <v>0</v>
      </c>
      <c r="AF18" s="39">
        <f>SUMIFS(Assumptions!CC$105:CC$128,Assumptions!$BB$105:$BB$128,'non-road'!$F18,Assumptions!$BC$105:$BC$128,'non-road'!$D18)/SUMIF(Assumptions!$BB$105:$BB$128,'non-road'!$F18,Assumptions!CC$105:CC$128)</f>
        <v>0</v>
      </c>
      <c r="AG18" s="39">
        <f>SUMIFS(Assumptions!CD$105:CD$128,Assumptions!$BB$105:$BB$128,'non-road'!$F18,Assumptions!$BC$105:$BC$128,'non-road'!$D18)/SUMIF(Assumptions!$BB$105:$BB$128,'non-road'!$F18,Assumptions!CD$105:CD$128)</f>
        <v>0</v>
      </c>
      <c r="AH18" s="39">
        <f>SUMIFS(Assumptions!CE$105:CE$128,Assumptions!$BB$105:$BB$128,'non-road'!$F18,Assumptions!$BC$105:$BC$128,'non-road'!$D18)/SUMIF(Assumptions!$BB$105:$BB$128,'non-road'!$F18,Assumptions!CE$105:CE$128)</f>
        <v>0</v>
      </c>
      <c r="AI18" s="39">
        <f>SUMIFS(Assumptions!CF$105:CF$128,Assumptions!$BB$105:$BB$128,'non-road'!$F18,Assumptions!$BC$105:$BC$128,'non-road'!$D18)/SUMIF(Assumptions!$BB$105:$BB$128,'non-road'!$F18,Assumptions!CF$105:CF$128)</f>
        <v>0</v>
      </c>
      <c r="AJ18" s="39">
        <f>SUMIFS(Assumptions!CG$105:CG$128,Assumptions!$BB$105:$BB$128,'non-road'!$F18,Assumptions!$BC$105:$BC$128,'non-road'!$D18)/SUMIF(Assumptions!$BB$105:$BB$128,'non-road'!$F18,Assumptions!CG$105:CG$128)</f>
        <v>0</v>
      </c>
      <c r="AK18" s="39">
        <f>SUMIFS(Assumptions!CH$105:CH$128,Assumptions!$BB$105:$BB$128,'non-road'!$F18,Assumptions!$BC$105:$BC$128,'non-road'!$D18)/SUMIF(Assumptions!$BB$105:$BB$128,'non-road'!$F18,Assumptions!CH$105:CH$128)</f>
        <v>0</v>
      </c>
      <c r="AL18" s="39">
        <f>SUMIFS(Assumptions!CI$105:CI$128,Assumptions!$BB$105:$BB$128,'non-road'!$F18,Assumptions!$BC$105:$BC$128,'non-road'!$D18)/SUMIF(Assumptions!$BB$105:$BB$128,'non-road'!$F18,Assumptions!CI$105:CI$128)</f>
        <v>0</v>
      </c>
      <c r="AM18" s="39">
        <f>SUMIFS(Assumptions!CJ$105:CJ$128,Assumptions!$BB$105:$BB$128,'non-road'!$F18,Assumptions!$BC$105:$BC$128,'non-road'!$D18)/SUMIF(Assumptions!$BB$105:$BB$128,'non-road'!$F18,Assumptions!CJ$105:CJ$128)</f>
        <v>0</v>
      </c>
      <c r="AN18" s="39">
        <f>SUMIFS(Assumptions!CK$105:CK$128,Assumptions!$BB$105:$BB$128,'non-road'!$F18,Assumptions!$BC$105:$BC$128,'non-road'!$D18)/SUMIF(Assumptions!$BB$105:$BB$128,'non-road'!$F18,Assumptions!CK$105:CK$128)</f>
        <v>0</v>
      </c>
      <c r="AO18" s="39">
        <f>SUMIFS(Assumptions!CL$105:CL$128,Assumptions!$BB$105:$BB$128,'non-road'!$F18,Assumptions!$BC$105:$BC$128,'non-road'!$D18)/SUMIF(Assumptions!$BB$105:$BB$128,'non-road'!$F18,Assumptions!CL$105:CL$128)</f>
        <v>0</v>
      </c>
      <c r="AP18" s="39" t="e">
        <f>SUMIFS(Assumptions!CM$105:CM$128,Assumptions!$BB$105:$BB$128,'non-road'!$F18,Assumptions!$BC$105:$BC$128,'non-road'!$D18)/SUMIF(Assumptions!$BB$105:$BB$128,'non-road'!$F18,Assumptions!CM$105:CM$128)</f>
        <v>#DIV/0!</v>
      </c>
      <c r="AQ18" s="39" t="e">
        <f>SUMIFS(Assumptions!CN$105:CN$128,Assumptions!$BB$105:$BB$128,'non-road'!$F18,Assumptions!$BC$105:$BC$128,'non-road'!$D18)/SUMIF(Assumptions!$BB$105:$BB$128,'non-road'!$F18,Assumptions!CN$105:CN$128)</f>
        <v>#DIV/0!</v>
      </c>
      <c r="AR18" s="39" t="e">
        <f>SUMIFS(Assumptions!CO$105:CO$128,Assumptions!$BB$105:$BB$128,'non-road'!$F18,Assumptions!$BC$105:$BC$128,'non-road'!$D18)/SUMIF(Assumptions!$BB$105:$BB$128,'non-road'!$F18,Assumptions!CO$105:CO$128)</f>
        <v>#DIV/0!</v>
      </c>
      <c r="AS18" s="39" t="e">
        <f>SUMIFS(Assumptions!CP$105:CP$128,Assumptions!$BB$105:$BB$128,'non-road'!$F18,Assumptions!$BC$105:$BC$128,'non-road'!$D18)/SUMIF(Assumptions!$BB$105:$BB$128,'non-road'!$F18,Assumptions!CP$105:CP$128)</f>
        <v>#DIV/0!</v>
      </c>
      <c r="AT18" s="39" t="e">
        <f>SUMIFS(Assumptions!CQ$105:CQ$128,Assumptions!$BB$105:$BB$128,'non-road'!$F18,Assumptions!$BC$105:$BC$128,'non-road'!$D18)/SUMIF(Assumptions!$BB$105:$BB$128,'non-road'!$F18,Assumptions!CQ$105:CQ$128)</f>
        <v>#DIV/0!</v>
      </c>
      <c r="AU18" s="39" t="e">
        <f>SUMIFS(Assumptions!CR$105:CR$128,Assumptions!$BB$105:$BB$128,'non-road'!$F18,Assumptions!$BC$105:$BC$128,'non-road'!$D18)/SUMIF(Assumptions!$BB$105:$BB$128,'non-road'!$F18,Assumptions!CR$105:CR$128)</f>
        <v>#DIV/0!</v>
      </c>
      <c r="AV18" s="39" t="e">
        <f>SUMIFS(Assumptions!CS$105:CS$128,Assumptions!$BB$105:$BB$128,'non-road'!$F18,Assumptions!$BC$105:$BC$128,'non-road'!$D18)/SUMIF(Assumptions!$BB$105:$BB$128,'non-road'!$F18,Assumptions!CS$105:CS$128)</f>
        <v>#DIV/0!</v>
      </c>
      <c r="AW18" s="39" t="e">
        <f>SUMIFS(Assumptions!CT$105:CT$128,Assumptions!$BB$105:$BB$128,'non-road'!$F18,Assumptions!$BC$105:$BC$128,'non-road'!$D18)/SUMIF(Assumptions!$BB$105:$BB$128,'non-road'!$F18,Assumptions!CT$105:CT$128)</f>
        <v>#DIV/0!</v>
      </c>
      <c r="AX18" s="39" t="e">
        <f>SUMIFS(Assumptions!CU$105:CU$128,Assumptions!$BB$105:$BB$128,'non-road'!$F18,Assumptions!$BC$105:$BC$128,'non-road'!$D18)/SUMIF(Assumptions!$BB$105:$BB$128,'non-road'!$F18,Assumptions!CU$105:CU$128)</f>
        <v>#DIV/0!</v>
      </c>
      <c r="AY18" s="39" t="e">
        <f>SUMIFS(Assumptions!CV$105:CV$128,Assumptions!$BB$105:$BB$128,'non-road'!$F18,Assumptions!$BC$105:$BC$128,'non-road'!$D18)/SUMIF(Assumptions!$BB$105:$BB$128,'non-road'!$F18,Assumptions!CV$105:CV$128)</f>
        <v>#DIV/0!</v>
      </c>
      <c r="AZ18" s="39" t="e">
        <f>SUMIFS(Assumptions!CW$105:CW$128,Assumptions!$BB$105:$BB$128,'non-road'!$F18,Assumptions!$BC$105:$BC$128,'non-road'!$D18)/SUMIF(Assumptions!$BB$105:$BB$128,'non-road'!$F18,Assumptions!CW$105:CW$128)</f>
        <v>#DIV/0!</v>
      </c>
      <c r="BD18" s="38" t="str">
        <f t="shared" si="55"/>
        <v>TAI_Generic</v>
      </c>
      <c r="BE18" s="39">
        <f>VLOOKUP($F18,Assumptions!$E$152:$BC$157,COLUMN()-COLUMN($BC$4),FALSE)</f>
        <v>1</v>
      </c>
      <c r="BF18" s="39">
        <f>VLOOKUP($F18,Assumptions!$E$152:$BC$157,COLUMN()-COLUMN($BC$4),FALSE)</f>
        <v>1</v>
      </c>
      <c r="BG18" s="39">
        <f>VLOOKUP($F18,Assumptions!$E$152:$BC$157,COLUMN()-COLUMN($BC$4),FALSE)</f>
        <v>1</v>
      </c>
      <c r="BH18" s="39">
        <f>VLOOKUP($F18,Assumptions!$E$152:$BC$157,COLUMN()-COLUMN($BC$4),FALSE)</f>
        <v>1</v>
      </c>
      <c r="BI18" s="39">
        <f>VLOOKUP($F18,Assumptions!$E$152:$BC$157,COLUMN()-COLUMN($BC$4),FALSE)</f>
        <v>1</v>
      </c>
      <c r="BJ18" s="39">
        <f>VLOOKUP($F18,Assumptions!$E$152:$BC$157,COLUMN()-COLUMN($BC$4),FALSE)</f>
        <v>1</v>
      </c>
      <c r="BK18" s="39">
        <f>VLOOKUP($F18,Assumptions!$E$152:$BC$157,COLUMN()-COLUMN($BC$4),FALSE)</f>
        <v>1</v>
      </c>
      <c r="BL18" s="39">
        <f>VLOOKUP($F18,Assumptions!$E$152:$BC$157,COLUMN()-COLUMN($BC$4),FALSE)</f>
        <v>1</v>
      </c>
      <c r="BM18" s="39">
        <f>VLOOKUP($F18,Assumptions!$E$152:$BC$157,COLUMN()-COLUMN($BC$4),FALSE)</f>
        <v>1</v>
      </c>
      <c r="BN18" s="39">
        <f>VLOOKUP($F18,Assumptions!$E$152:$BC$157,COLUMN()-COLUMN($BC$4),FALSE)</f>
        <v>1</v>
      </c>
      <c r="BO18" s="39">
        <f>VLOOKUP($F18,Assumptions!$E$152:$BC$157,COLUMN()-COLUMN($BC$4),FALSE)</f>
        <v>1</v>
      </c>
      <c r="BP18" s="39">
        <f>VLOOKUP($F18,Assumptions!$E$152:$BC$157,COLUMN()-COLUMN($BC$4),FALSE)</f>
        <v>1</v>
      </c>
      <c r="BQ18" s="39">
        <f>VLOOKUP($F18,Assumptions!$E$152:$BC$157,COLUMN()-COLUMN($BC$4),FALSE)</f>
        <v>1</v>
      </c>
      <c r="BR18" s="39">
        <f>VLOOKUP($F18,Assumptions!$E$152:$BC$157,COLUMN()-COLUMN($BC$4),FALSE)</f>
        <v>1</v>
      </c>
      <c r="BS18" s="39">
        <f>VLOOKUP($F18,Assumptions!$E$152:$BC$157,COLUMN()-COLUMN($BC$4),FALSE)</f>
        <v>1</v>
      </c>
      <c r="BT18" s="39">
        <f>VLOOKUP($F18,Assumptions!$E$152:$BC$157,COLUMN()-COLUMN($BC$4),FALSE)</f>
        <v>1</v>
      </c>
      <c r="BU18" s="39">
        <f>VLOOKUP($F18,Assumptions!$E$152:$BC$157,COLUMN()-COLUMN($BC$4),FALSE)</f>
        <v>1</v>
      </c>
      <c r="BV18" s="39">
        <f>VLOOKUP($F18,Assumptions!$E$152:$BC$157,COLUMN()-COLUMN($BC$4),FALSE)</f>
        <v>1</v>
      </c>
      <c r="BW18" s="39">
        <f>VLOOKUP($F18,Assumptions!$E$152:$BC$157,COLUMN()-COLUMN($BC$4),FALSE)</f>
        <v>1</v>
      </c>
      <c r="BX18" s="39">
        <f>VLOOKUP($F18,Assumptions!$E$152:$BC$157,COLUMN()-COLUMN($BC$4),FALSE)</f>
        <v>1</v>
      </c>
      <c r="BY18" s="39">
        <f>VLOOKUP($F18,Assumptions!$E$152:$BC$157,COLUMN()-COLUMN($BC$4),FALSE)</f>
        <v>1</v>
      </c>
      <c r="BZ18" s="39">
        <f>VLOOKUP($F18,Assumptions!$E$152:$BC$157,COLUMN()-COLUMN($BC$4),FALSE)</f>
        <v>1</v>
      </c>
      <c r="CA18" s="39">
        <f>VLOOKUP($F18,Assumptions!$E$152:$BC$157,COLUMN()-COLUMN($BC$4),FALSE)</f>
        <v>1</v>
      </c>
      <c r="CB18" s="39">
        <f>VLOOKUP($F18,Assumptions!$E$152:$BC$157,COLUMN()-COLUMN($BC$4),FALSE)</f>
        <v>1</v>
      </c>
      <c r="CC18" s="39">
        <f>VLOOKUP($F18,Assumptions!$E$152:$BC$157,COLUMN()-COLUMN($BC$4),FALSE)</f>
        <v>1</v>
      </c>
      <c r="CD18" s="39">
        <f>VLOOKUP($F18,Assumptions!$E$152:$BC$157,COLUMN()-COLUMN($BC$4),FALSE)</f>
        <v>1</v>
      </c>
      <c r="CE18" s="39">
        <f>VLOOKUP($F18,Assumptions!$E$152:$BC$157,COLUMN()-COLUMN($BC$4),FALSE)</f>
        <v>1</v>
      </c>
      <c r="CF18" s="39">
        <f>VLOOKUP($F18,Assumptions!$E$152:$BC$157,COLUMN()-COLUMN($BC$4),FALSE)</f>
        <v>1</v>
      </c>
      <c r="CG18" s="39">
        <f>VLOOKUP($F18,Assumptions!$E$152:$BC$157,COLUMN()-COLUMN($BC$4),FALSE)</f>
        <v>1</v>
      </c>
      <c r="CH18" s="39">
        <f>VLOOKUP($F18,Assumptions!$E$152:$BC$157,COLUMN()-COLUMN($BC$4),FALSE)</f>
        <v>1</v>
      </c>
      <c r="CI18" s="39">
        <f>VLOOKUP($F18,Assumptions!$E$152:$BC$157,COLUMN()-COLUMN($BC$4),FALSE)</f>
        <v>1</v>
      </c>
      <c r="CJ18" s="39">
        <f>VLOOKUP($F18,Assumptions!$E$152:$BC$157,COLUMN()-COLUMN($BC$4),FALSE)</f>
        <v>1</v>
      </c>
      <c r="CK18" s="39">
        <f>VLOOKUP($F18,Assumptions!$E$152:$BC$157,COLUMN()-COLUMN($BC$4),FALSE)</f>
        <v>1</v>
      </c>
      <c r="CL18" s="39">
        <f>VLOOKUP($F18,Assumptions!$E$152:$BC$157,COLUMN()-COLUMN($BC$4),FALSE)</f>
        <v>1</v>
      </c>
      <c r="CM18" s="39">
        <f>VLOOKUP($F18,Assumptions!$E$152:$BC$157,COLUMN()-COLUMN($BC$4),FALSE)</f>
        <v>1</v>
      </c>
      <c r="CN18" s="39">
        <f>VLOOKUP($F18,Assumptions!$E$152:$BC$157,COLUMN()-COLUMN($BC$4),FALSE)</f>
        <v>1</v>
      </c>
      <c r="CO18" s="39">
        <f>VLOOKUP($F18,Assumptions!$E$152:$BC$157,COLUMN()-COLUMN($BC$4),FALSE)</f>
        <v>1</v>
      </c>
      <c r="CP18" s="39">
        <f>VLOOKUP($F18,Assumptions!$E$152:$BC$157,COLUMN()-COLUMN($BC$4),FALSE)</f>
        <v>1</v>
      </c>
      <c r="CQ18" s="39">
        <f>VLOOKUP($F18,Assumptions!$E$152:$BC$157,COLUMN()-COLUMN($BC$4),FALSE)</f>
        <v>1</v>
      </c>
      <c r="CR18" s="39">
        <f>VLOOKUP($F18,Assumptions!$E$152:$BC$157,COLUMN()-COLUMN($BC$4),FALSE)</f>
        <v>1</v>
      </c>
      <c r="CS18" s="39">
        <f>VLOOKUP($F18,Assumptions!$E$152:$BC$157,COLUMN()-COLUMN($BC$4),FALSE)</f>
        <v>1</v>
      </c>
      <c r="CT18" s="39">
        <f>VLOOKUP($F18,Assumptions!$E$152:$BC$157,COLUMN()-COLUMN($BC$4),FALSE)</f>
        <v>1</v>
      </c>
      <c r="CU18" s="39">
        <f>VLOOKUP($F18,Assumptions!$E$152:$BC$157,COLUMN()-COLUMN($BC$4),FALSE)</f>
        <v>1</v>
      </c>
      <c r="CV18" s="39">
        <f>VLOOKUP($F18,Assumptions!$E$152:$BC$157,COLUMN()-COLUMN($BC$4),FALSE)</f>
        <v>1</v>
      </c>
      <c r="CW18" s="39">
        <f>VLOOKUP($F18,Assumptions!$E$152:$BC$157,COLUMN()-COLUMN($BC$4),FALSE)</f>
        <v>1</v>
      </c>
      <c r="CX18" s="39">
        <f>VLOOKUP($F18,Assumptions!$E$152:$BC$157,COLUMN()-COLUMN($BC$4),FALSE)</f>
        <v>1</v>
      </c>
      <c r="CY18" s="38"/>
      <c r="CZ18" s="38"/>
      <c r="EV18" s="38"/>
      <c r="EW18" s="38" t="str">
        <f t="shared" si="48"/>
        <v>\I:</v>
      </c>
      <c r="EX18" s="38" t="str">
        <f t="shared" si="68"/>
        <v/>
      </c>
      <c r="EY18" s="38" t="s">
        <v>133</v>
      </c>
      <c r="EZ18" s="38" t="s">
        <v>85</v>
      </c>
      <c r="FA18" s="38" t="s">
        <v>440</v>
      </c>
    </row>
    <row r="19" ht="15.25" spans="1:157">
      <c r="C19" s="38" t="str">
        <f t="shared" si="54"/>
        <v/>
      </c>
      <c r="D19" s="38" t="s">
        <v>60</v>
      </c>
      <c r="E19" s="38"/>
      <c r="F19" s="38" t="s">
        <v>76</v>
      </c>
      <c r="G19" s="39">
        <f>SUMIFS(Assumptions!BD$105:BD$128,Assumptions!$BB$105:$BB$128,'non-road'!$F19,Assumptions!$BC$105:$BC$128,'non-road'!$D19)/SUMIF(Assumptions!$BB$105:$BB$128,'non-road'!$F19,Assumptions!BD$105:BD$128)</f>
        <v>0</v>
      </c>
      <c r="H19" s="39">
        <f>SUMIFS(Assumptions!BE$105:BE$128,Assumptions!$BB$105:$BB$128,'non-road'!$F19,Assumptions!$BC$105:$BC$128,'non-road'!$D19)/SUMIF(Assumptions!$BB$105:$BB$128,'non-road'!$F19,Assumptions!BE$105:BE$128)</f>
        <v>0</v>
      </c>
      <c r="I19" s="39">
        <f>SUMIFS(Assumptions!BF$105:BF$128,Assumptions!$BB$105:$BB$128,'non-road'!$F19,Assumptions!$BC$105:$BC$128,'non-road'!$D19)/SUMIF(Assumptions!$BB$105:$BB$128,'non-road'!$F19,Assumptions!BF$105:BF$128)</f>
        <v>0</v>
      </c>
      <c r="J19" s="39">
        <f>SUMIFS(Assumptions!BG$105:BG$128,Assumptions!$BB$105:$BB$128,'non-road'!$F19,Assumptions!$BC$105:$BC$128,'non-road'!$D19)/SUMIF(Assumptions!$BB$105:$BB$128,'non-road'!$F19,Assumptions!BG$105:BG$128)</f>
        <v>0</v>
      </c>
      <c r="K19" s="39">
        <f>SUMIFS(Assumptions!BH$105:BH$128,Assumptions!$BB$105:$BB$128,'non-road'!$F19,Assumptions!$BC$105:$BC$128,'non-road'!$D19)/SUMIF(Assumptions!$BB$105:$BB$128,'non-road'!$F19,Assumptions!BH$105:BH$128)</f>
        <v>0</v>
      </c>
      <c r="L19" s="39">
        <f>SUMIFS(Assumptions!BI$105:BI$128,Assumptions!$BB$105:$BB$128,'non-road'!$F19,Assumptions!$BC$105:$BC$128,'non-road'!$D19)/SUMIF(Assumptions!$BB$105:$BB$128,'non-road'!$F19,Assumptions!BI$105:BI$128)</f>
        <v>0</v>
      </c>
      <c r="M19" s="39">
        <f>SUMIFS(Assumptions!BJ$105:BJ$128,Assumptions!$BB$105:$BB$128,'non-road'!$F19,Assumptions!$BC$105:$BC$128,'non-road'!$D19)/SUMIF(Assumptions!$BB$105:$BB$128,'non-road'!$F19,Assumptions!BJ$105:BJ$128)</f>
        <v>0</v>
      </c>
      <c r="N19" s="39">
        <f>SUMIFS(Assumptions!BK$105:BK$128,Assumptions!$BB$105:$BB$128,'non-road'!$F19,Assumptions!$BC$105:$BC$128,'non-road'!$D19)/SUMIF(Assumptions!$BB$105:$BB$128,'non-road'!$F19,Assumptions!BK$105:BK$128)</f>
        <v>0</v>
      </c>
      <c r="O19" s="39">
        <f>SUMIFS(Assumptions!BL$105:BL$128,Assumptions!$BB$105:$BB$128,'non-road'!$F19,Assumptions!$BC$105:$BC$128,'non-road'!$D19)/SUMIF(Assumptions!$BB$105:$BB$128,'non-road'!$F19,Assumptions!BL$105:BL$128)</f>
        <v>0</v>
      </c>
      <c r="P19" s="39">
        <f>SUMIFS(Assumptions!BM$105:BM$128,Assumptions!$BB$105:$BB$128,'non-road'!$F19,Assumptions!$BC$105:$BC$128,'non-road'!$D19)/SUMIF(Assumptions!$BB$105:$BB$128,'non-road'!$F19,Assumptions!BM$105:BM$128)</f>
        <v>0</v>
      </c>
      <c r="Q19" s="39">
        <f>SUMIFS(Assumptions!BN$105:BN$128,Assumptions!$BB$105:$BB$128,'non-road'!$F19,Assumptions!$BC$105:$BC$128,'non-road'!$D19)/SUMIF(Assumptions!$BB$105:$BB$128,'non-road'!$F19,Assumptions!BN$105:BN$128)</f>
        <v>0</v>
      </c>
      <c r="R19" s="39">
        <f>SUMIFS(Assumptions!BO$105:BO$128,Assumptions!$BB$105:$BB$128,'non-road'!$F19,Assumptions!$BC$105:$BC$128,'non-road'!$D19)/SUMIF(Assumptions!$BB$105:$BB$128,'non-road'!$F19,Assumptions!BO$105:BO$128)</f>
        <v>0</v>
      </c>
      <c r="S19" s="39">
        <f>SUMIFS(Assumptions!BP$105:BP$128,Assumptions!$BB$105:$BB$128,'non-road'!$F19,Assumptions!$BC$105:$BC$128,'non-road'!$D19)/SUMIF(Assumptions!$BB$105:$BB$128,'non-road'!$F19,Assumptions!BP$105:BP$128)</f>
        <v>0</v>
      </c>
      <c r="T19" s="39">
        <f>SUMIFS(Assumptions!BQ$105:BQ$128,Assumptions!$BB$105:$BB$128,'non-road'!$F19,Assumptions!$BC$105:$BC$128,'non-road'!$D19)/SUMIF(Assumptions!$BB$105:$BB$128,'non-road'!$F19,Assumptions!BQ$105:BQ$128)</f>
        <v>0</v>
      </c>
      <c r="U19" s="39">
        <f>SUMIFS(Assumptions!BR$105:BR$128,Assumptions!$BB$105:$BB$128,'non-road'!$F19,Assumptions!$BC$105:$BC$128,'non-road'!$D19)/SUMIF(Assumptions!$BB$105:$BB$128,'non-road'!$F19,Assumptions!BR$105:BR$128)</f>
        <v>0</v>
      </c>
      <c r="V19" s="39">
        <f>SUMIFS(Assumptions!BS$105:BS$128,Assumptions!$BB$105:$BB$128,'non-road'!$F19,Assumptions!$BC$105:$BC$128,'non-road'!$D19)/SUMIF(Assumptions!$BB$105:$BB$128,'non-road'!$F19,Assumptions!BS$105:BS$128)</f>
        <v>0</v>
      </c>
      <c r="W19" s="39">
        <f>SUMIFS(Assumptions!BT$105:BT$128,Assumptions!$BB$105:$BB$128,'non-road'!$F19,Assumptions!$BC$105:$BC$128,'non-road'!$D19)/SUMIF(Assumptions!$BB$105:$BB$128,'non-road'!$F19,Assumptions!BT$105:BT$128)</f>
        <v>0</v>
      </c>
      <c r="X19" s="39">
        <f>SUMIFS(Assumptions!BU$105:BU$128,Assumptions!$BB$105:$BB$128,'non-road'!$F19,Assumptions!$BC$105:$BC$128,'non-road'!$D19)/SUMIF(Assumptions!$BB$105:$BB$128,'non-road'!$F19,Assumptions!BU$105:BU$128)</f>
        <v>0</v>
      </c>
      <c r="Y19" s="39">
        <f>SUMIFS(Assumptions!BV$105:BV$128,Assumptions!$BB$105:$BB$128,'non-road'!$F19,Assumptions!$BC$105:$BC$128,'non-road'!$D19)/SUMIF(Assumptions!$BB$105:$BB$128,'non-road'!$F19,Assumptions!BV$105:BV$128)</f>
        <v>0</v>
      </c>
      <c r="Z19" s="39">
        <f>SUMIFS(Assumptions!BW$105:BW$128,Assumptions!$BB$105:$BB$128,'non-road'!$F19,Assumptions!$BC$105:$BC$128,'non-road'!$D19)/SUMIF(Assumptions!$BB$105:$BB$128,'non-road'!$F19,Assumptions!BW$105:BW$128)</f>
        <v>0</v>
      </c>
      <c r="AA19" s="39">
        <f>SUMIFS(Assumptions!BX$105:BX$128,Assumptions!$BB$105:$BB$128,'non-road'!$F19,Assumptions!$BC$105:$BC$128,'non-road'!$D19)/SUMIF(Assumptions!$BB$105:$BB$128,'non-road'!$F19,Assumptions!BX$105:BX$128)</f>
        <v>0</v>
      </c>
      <c r="AB19" s="39">
        <f>SUMIFS(Assumptions!BY$105:BY$128,Assumptions!$BB$105:$BB$128,'non-road'!$F19,Assumptions!$BC$105:$BC$128,'non-road'!$D19)/SUMIF(Assumptions!$BB$105:$BB$128,'non-road'!$F19,Assumptions!BY$105:BY$128)</f>
        <v>0</v>
      </c>
      <c r="AC19" s="39">
        <f>SUMIFS(Assumptions!BZ$105:BZ$128,Assumptions!$BB$105:$BB$128,'non-road'!$F19,Assumptions!$BC$105:$BC$128,'non-road'!$D19)/SUMIF(Assumptions!$BB$105:$BB$128,'non-road'!$F19,Assumptions!BZ$105:BZ$128)</f>
        <v>0</v>
      </c>
      <c r="AD19" s="39">
        <f>SUMIFS(Assumptions!CA$105:CA$128,Assumptions!$BB$105:$BB$128,'non-road'!$F19,Assumptions!$BC$105:$BC$128,'non-road'!$D19)/SUMIF(Assumptions!$BB$105:$BB$128,'non-road'!$F19,Assumptions!CA$105:CA$128)</f>
        <v>0</v>
      </c>
      <c r="AE19" s="39">
        <f>SUMIFS(Assumptions!CB$105:CB$128,Assumptions!$BB$105:$BB$128,'non-road'!$F19,Assumptions!$BC$105:$BC$128,'non-road'!$D19)/SUMIF(Assumptions!$BB$105:$BB$128,'non-road'!$F19,Assumptions!CB$105:CB$128)</f>
        <v>0</v>
      </c>
      <c r="AF19" s="39">
        <f>SUMIFS(Assumptions!CC$105:CC$128,Assumptions!$BB$105:$BB$128,'non-road'!$F19,Assumptions!$BC$105:$BC$128,'non-road'!$D19)/SUMIF(Assumptions!$BB$105:$BB$128,'non-road'!$F19,Assumptions!CC$105:CC$128)</f>
        <v>0</v>
      </c>
      <c r="AG19" s="39">
        <f>SUMIFS(Assumptions!CD$105:CD$128,Assumptions!$BB$105:$BB$128,'non-road'!$F19,Assumptions!$BC$105:$BC$128,'non-road'!$D19)/SUMIF(Assumptions!$BB$105:$BB$128,'non-road'!$F19,Assumptions!CD$105:CD$128)</f>
        <v>0</v>
      </c>
      <c r="AH19" s="39">
        <f>SUMIFS(Assumptions!CE$105:CE$128,Assumptions!$BB$105:$BB$128,'non-road'!$F19,Assumptions!$BC$105:$BC$128,'non-road'!$D19)/SUMIF(Assumptions!$BB$105:$BB$128,'non-road'!$F19,Assumptions!CE$105:CE$128)</f>
        <v>0</v>
      </c>
      <c r="AI19" s="39">
        <f>SUMIFS(Assumptions!CF$105:CF$128,Assumptions!$BB$105:$BB$128,'non-road'!$F19,Assumptions!$BC$105:$BC$128,'non-road'!$D19)/SUMIF(Assumptions!$BB$105:$BB$128,'non-road'!$F19,Assumptions!CF$105:CF$128)</f>
        <v>0</v>
      </c>
      <c r="AJ19" s="39">
        <f>SUMIFS(Assumptions!CG$105:CG$128,Assumptions!$BB$105:$BB$128,'non-road'!$F19,Assumptions!$BC$105:$BC$128,'non-road'!$D19)/SUMIF(Assumptions!$BB$105:$BB$128,'non-road'!$F19,Assumptions!CG$105:CG$128)</f>
        <v>0</v>
      </c>
      <c r="AK19" s="39">
        <f>SUMIFS(Assumptions!CH$105:CH$128,Assumptions!$BB$105:$BB$128,'non-road'!$F19,Assumptions!$BC$105:$BC$128,'non-road'!$D19)/SUMIF(Assumptions!$BB$105:$BB$128,'non-road'!$F19,Assumptions!CH$105:CH$128)</f>
        <v>0</v>
      </c>
      <c r="AL19" s="39">
        <f>SUMIFS(Assumptions!CI$105:CI$128,Assumptions!$BB$105:$BB$128,'non-road'!$F19,Assumptions!$BC$105:$BC$128,'non-road'!$D19)/SUMIF(Assumptions!$BB$105:$BB$128,'non-road'!$F19,Assumptions!CI$105:CI$128)</f>
        <v>0</v>
      </c>
      <c r="AM19" s="39">
        <f>SUMIFS(Assumptions!CJ$105:CJ$128,Assumptions!$BB$105:$BB$128,'non-road'!$F19,Assumptions!$BC$105:$BC$128,'non-road'!$D19)/SUMIF(Assumptions!$BB$105:$BB$128,'non-road'!$F19,Assumptions!CJ$105:CJ$128)</f>
        <v>0</v>
      </c>
      <c r="AN19" s="39">
        <f>SUMIFS(Assumptions!CK$105:CK$128,Assumptions!$BB$105:$BB$128,'non-road'!$F19,Assumptions!$BC$105:$BC$128,'non-road'!$D19)/SUMIF(Assumptions!$BB$105:$BB$128,'non-road'!$F19,Assumptions!CK$105:CK$128)</f>
        <v>0</v>
      </c>
      <c r="AO19" s="39">
        <f>SUMIFS(Assumptions!CL$105:CL$128,Assumptions!$BB$105:$BB$128,'non-road'!$F19,Assumptions!$BC$105:$BC$128,'non-road'!$D19)/SUMIF(Assumptions!$BB$105:$BB$128,'non-road'!$F19,Assumptions!CL$105:CL$128)</f>
        <v>0</v>
      </c>
      <c r="AP19" s="39" t="e">
        <f>SUMIFS(Assumptions!CM$105:CM$128,Assumptions!$BB$105:$BB$128,'non-road'!$F19,Assumptions!$BC$105:$BC$128,'non-road'!$D19)/SUMIF(Assumptions!$BB$105:$BB$128,'non-road'!$F19,Assumptions!CM$105:CM$128)</f>
        <v>#DIV/0!</v>
      </c>
      <c r="AQ19" s="39" t="e">
        <f>SUMIFS(Assumptions!CN$105:CN$128,Assumptions!$BB$105:$BB$128,'non-road'!$F19,Assumptions!$BC$105:$BC$128,'non-road'!$D19)/SUMIF(Assumptions!$BB$105:$BB$128,'non-road'!$F19,Assumptions!CN$105:CN$128)</f>
        <v>#DIV/0!</v>
      </c>
      <c r="AR19" s="39" t="e">
        <f>SUMIFS(Assumptions!CO$105:CO$128,Assumptions!$BB$105:$BB$128,'non-road'!$F19,Assumptions!$BC$105:$BC$128,'non-road'!$D19)/SUMIF(Assumptions!$BB$105:$BB$128,'non-road'!$F19,Assumptions!CO$105:CO$128)</f>
        <v>#DIV/0!</v>
      </c>
      <c r="AS19" s="39" t="e">
        <f>SUMIFS(Assumptions!CP$105:CP$128,Assumptions!$BB$105:$BB$128,'non-road'!$F19,Assumptions!$BC$105:$BC$128,'non-road'!$D19)/SUMIF(Assumptions!$BB$105:$BB$128,'non-road'!$F19,Assumptions!CP$105:CP$128)</f>
        <v>#DIV/0!</v>
      </c>
      <c r="AT19" s="39" t="e">
        <f>SUMIFS(Assumptions!CQ$105:CQ$128,Assumptions!$BB$105:$BB$128,'non-road'!$F19,Assumptions!$BC$105:$BC$128,'non-road'!$D19)/SUMIF(Assumptions!$BB$105:$BB$128,'non-road'!$F19,Assumptions!CQ$105:CQ$128)</f>
        <v>#DIV/0!</v>
      </c>
      <c r="AU19" s="39" t="e">
        <f>SUMIFS(Assumptions!CR$105:CR$128,Assumptions!$BB$105:$BB$128,'non-road'!$F19,Assumptions!$BC$105:$BC$128,'non-road'!$D19)/SUMIF(Assumptions!$BB$105:$BB$128,'non-road'!$F19,Assumptions!CR$105:CR$128)</f>
        <v>#DIV/0!</v>
      </c>
      <c r="AV19" s="39" t="e">
        <f>SUMIFS(Assumptions!CS$105:CS$128,Assumptions!$BB$105:$BB$128,'non-road'!$F19,Assumptions!$BC$105:$BC$128,'non-road'!$D19)/SUMIF(Assumptions!$BB$105:$BB$128,'non-road'!$F19,Assumptions!CS$105:CS$128)</f>
        <v>#DIV/0!</v>
      </c>
      <c r="AW19" s="39" t="e">
        <f>SUMIFS(Assumptions!CT$105:CT$128,Assumptions!$BB$105:$BB$128,'non-road'!$F19,Assumptions!$BC$105:$BC$128,'non-road'!$D19)/SUMIF(Assumptions!$BB$105:$BB$128,'non-road'!$F19,Assumptions!CT$105:CT$128)</f>
        <v>#DIV/0!</v>
      </c>
      <c r="AX19" s="39" t="e">
        <f>SUMIFS(Assumptions!CU$105:CU$128,Assumptions!$BB$105:$BB$128,'non-road'!$F19,Assumptions!$BC$105:$BC$128,'non-road'!$D19)/SUMIF(Assumptions!$BB$105:$BB$128,'non-road'!$F19,Assumptions!CU$105:CU$128)</f>
        <v>#DIV/0!</v>
      </c>
      <c r="AY19" s="39" t="e">
        <f>SUMIFS(Assumptions!CV$105:CV$128,Assumptions!$BB$105:$BB$128,'non-road'!$F19,Assumptions!$BC$105:$BC$128,'non-road'!$D19)/SUMIF(Assumptions!$BB$105:$BB$128,'non-road'!$F19,Assumptions!CV$105:CV$128)</f>
        <v>#DIV/0!</v>
      </c>
      <c r="AZ19" s="39" t="e">
        <f>SUMIFS(Assumptions!CW$105:CW$128,Assumptions!$BB$105:$BB$128,'non-road'!$F19,Assumptions!$BC$105:$BC$128,'non-road'!$D19)/SUMIF(Assumptions!$BB$105:$BB$128,'non-road'!$F19,Assumptions!CW$105:CW$128)</f>
        <v>#DIV/0!</v>
      </c>
      <c r="BD19" s="38" t="str">
        <f t="shared" si="55"/>
        <v>\I:</v>
      </c>
      <c r="BE19" s="39">
        <f>VLOOKUP($F19,Assumptions!$E$152:$BC$157,COLUMN()-COLUMN($BC$4),FALSE)</f>
        <v>1</v>
      </c>
      <c r="BF19" s="39">
        <f>VLOOKUP($F19,Assumptions!$E$152:$BC$157,COLUMN()-COLUMN($BC$4),FALSE)</f>
        <v>1</v>
      </c>
      <c r="BG19" s="39">
        <f>VLOOKUP($F19,Assumptions!$E$152:$BC$157,COLUMN()-COLUMN($BC$4),FALSE)</f>
        <v>1</v>
      </c>
      <c r="BH19" s="39">
        <f>VLOOKUP($F19,Assumptions!$E$152:$BC$157,COLUMN()-COLUMN($BC$4),FALSE)</f>
        <v>1</v>
      </c>
      <c r="BI19" s="39">
        <f>VLOOKUP($F19,Assumptions!$E$152:$BC$157,COLUMN()-COLUMN($BC$4),FALSE)</f>
        <v>1</v>
      </c>
      <c r="BJ19" s="39">
        <f>VLOOKUP($F19,Assumptions!$E$152:$BC$157,COLUMN()-COLUMN($BC$4),FALSE)</f>
        <v>1</v>
      </c>
      <c r="BK19" s="39">
        <f>VLOOKUP($F19,Assumptions!$E$152:$BC$157,COLUMN()-COLUMN($BC$4),FALSE)</f>
        <v>1</v>
      </c>
      <c r="BL19" s="39">
        <f>VLOOKUP($F19,Assumptions!$E$152:$BC$157,COLUMN()-COLUMN($BC$4),FALSE)</f>
        <v>1</v>
      </c>
      <c r="BM19" s="39">
        <f>VLOOKUP($F19,Assumptions!$E$152:$BC$157,COLUMN()-COLUMN($BC$4),FALSE)</f>
        <v>1</v>
      </c>
      <c r="BN19" s="39">
        <f>VLOOKUP($F19,Assumptions!$E$152:$BC$157,COLUMN()-COLUMN($BC$4),FALSE)</f>
        <v>1</v>
      </c>
      <c r="BO19" s="39">
        <f>VLOOKUP($F19,Assumptions!$E$152:$BC$157,COLUMN()-COLUMN($BC$4),FALSE)</f>
        <v>1</v>
      </c>
      <c r="BP19" s="39">
        <f>VLOOKUP($F19,Assumptions!$E$152:$BC$157,COLUMN()-COLUMN($BC$4),FALSE)</f>
        <v>1</v>
      </c>
      <c r="BQ19" s="39">
        <f>VLOOKUP($F19,Assumptions!$E$152:$BC$157,COLUMN()-COLUMN($BC$4),FALSE)</f>
        <v>1</v>
      </c>
      <c r="BR19" s="39">
        <f>VLOOKUP($F19,Assumptions!$E$152:$BC$157,COLUMN()-COLUMN($BC$4),FALSE)</f>
        <v>1</v>
      </c>
      <c r="BS19" s="39">
        <f>VLOOKUP($F19,Assumptions!$E$152:$BC$157,COLUMN()-COLUMN($BC$4),FALSE)</f>
        <v>1</v>
      </c>
      <c r="BT19" s="39">
        <f>VLOOKUP($F19,Assumptions!$E$152:$BC$157,COLUMN()-COLUMN($BC$4),FALSE)</f>
        <v>1</v>
      </c>
      <c r="BU19" s="39">
        <f>VLOOKUP($F19,Assumptions!$E$152:$BC$157,COLUMN()-COLUMN($BC$4),FALSE)</f>
        <v>1</v>
      </c>
      <c r="BV19" s="39">
        <f>VLOOKUP($F19,Assumptions!$E$152:$BC$157,COLUMN()-COLUMN($BC$4),FALSE)</f>
        <v>1</v>
      </c>
      <c r="BW19" s="39">
        <f>VLOOKUP($F19,Assumptions!$E$152:$BC$157,COLUMN()-COLUMN($BC$4),FALSE)</f>
        <v>1</v>
      </c>
      <c r="BX19" s="39">
        <f>VLOOKUP($F19,Assumptions!$E$152:$BC$157,COLUMN()-COLUMN($BC$4),FALSE)</f>
        <v>1</v>
      </c>
      <c r="BY19" s="39">
        <f>VLOOKUP($F19,Assumptions!$E$152:$BC$157,COLUMN()-COLUMN($BC$4),FALSE)</f>
        <v>1</v>
      </c>
      <c r="BZ19" s="39">
        <f>VLOOKUP($F19,Assumptions!$E$152:$BC$157,COLUMN()-COLUMN($BC$4),FALSE)</f>
        <v>1</v>
      </c>
      <c r="CA19" s="39">
        <f>VLOOKUP($F19,Assumptions!$E$152:$BC$157,COLUMN()-COLUMN($BC$4),FALSE)</f>
        <v>1</v>
      </c>
      <c r="CB19" s="39">
        <f>VLOOKUP($F19,Assumptions!$E$152:$BC$157,COLUMN()-COLUMN($BC$4),FALSE)</f>
        <v>1</v>
      </c>
      <c r="CC19" s="39">
        <f>VLOOKUP($F19,Assumptions!$E$152:$BC$157,COLUMN()-COLUMN($BC$4),FALSE)</f>
        <v>1</v>
      </c>
      <c r="CD19" s="39">
        <f>VLOOKUP($F19,Assumptions!$E$152:$BC$157,COLUMN()-COLUMN($BC$4),FALSE)</f>
        <v>1</v>
      </c>
      <c r="CE19" s="39">
        <f>VLOOKUP($F19,Assumptions!$E$152:$BC$157,COLUMN()-COLUMN($BC$4),FALSE)</f>
        <v>1</v>
      </c>
      <c r="CF19" s="39">
        <f>VLOOKUP($F19,Assumptions!$E$152:$BC$157,COLUMN()-COLUMN($BC$4),FALSE)</f>
        <v>1</v>
      </c>
      <c r="CG19" s="39">
        <f>VLOOKUP($F19,Assumptions!$E$152:$BC$157,COLUMN()-COLUMN($BC$4),FALSE)</f>
        <v>1</v>
      </c>
      <c r="CH19" s="39">
        <f>VLOOKUP($F19,Assumptions!$E$152:$BC$157,COLUMN()-COLUMN($BC$4),FALSE)</f>
        <v>1</v>
      </c>
      <c r="CI19" s="39">
        <f>VLOOKUP($F19,Assumptions!$E$152:$BC$157,COLUMN()-COLUMN($BC$4),FALSE)</f>
        <v>1</v>
      </c>
      <c r="CJ19" s="39">
        <f>VLOOKUP($F19,Assumptions!$E$152:$BC$157,COLUMN()-COLUMN($BC$4),FALSE)</f>
        <v>1</v>
      </c>
      <c r="CK19" s="39">
        <f>VLOOKUP($F19,Assumptions!$E$152:$BC$157,COLUMN()-COLUMN($BC$4),FALSE)</f>
        <v>1</v>
      </c>
      <c r="CL19" s="39">
        <f>VLOOKUP($F19,Assumptions!$E$152:$BC$157,COLUMN()-COLUMN($BC$4),FALSE)</f>
        <v>1</v>
      </c>
      <c r="CM19" s="39">
        <f>VLOOKUP($F19,Assumptions!$E$152:$BC$157,COLUMN()-COLUMN($BC$4),FALSE)</f>
        <v>1</v>
      </c>
      <c r="CN19" s="39">
        <f>VLOOKUP($F19,Assumptions!$E$152:$BC$157,COLUMN()-COLUMN($BC$4),FALSE)</f>
        <v>1</v>
      </c>
      <c r="CO19" s="39">
        <f>VLOOKUP($F19,Assumptions!$E$152:$BC$157,COLUMN()-COLUMN($BC$4),FALSE)</f>
        <v>1</v>
      </c>
      <c r="CP19" s="39">
        <f>VLOOKUP($F19,Assumptions!$E$152:$BC$157,COLUMN()-COLUMN($BC$4),FALSE)</f>
        <v>1</v>
      </c>
      <c r="CQ19" s="39">
        <f>VLOOKUP($F19,Assumptions!$E$152:$BC$157,COLUMN()-COLUMN($BC$4),FALSE)</f>
        <v>1</v>
      </c>
      <c r="CR19" s="39">
        <f>VLOOKUP($F19,Assumptions!$E$152:$BC$157,COLUMN()-COLUMN($BC$4),FALSE)</f>
        <v>1</v>
      </c>
      <c r="CS19" s="39">
        <f>VLOOKUP($F19,Assumptions!$E$152:$BC$157,COLUMN()-COLUMN($BC$4),FALSE)</f>
        <v>1</v>
      </c>
      <c r="CT19" s="39">
        <f>VLOOKUP($F19,Assumptions!$E$152:$BC$157,COLUMN()-COLUMN($BC$4),FALSE)</f>
        <v>1</v>
      </c>
      <c r="CU19" s="39">
        <f>VLOOKUP($F19,Assumptions!$E$152:$BC$157,COLUMN()-COLUMN($BC$4),FALSE)</f>
        <v>1</v>
      </c>
      <c r="CV19" s="39">
        <f>VLOOKUP($F19,Assumptions!$E$152:$BC$157,COLUMN()-COLUMN($BC$4),FALSE)</f>
        <v>1</v>
      </c>
      <c r="CW19" s="39">
        <f>VLOOKUP($F19,Assumptions!$E$152:$BC$157,COLUMN()-COLUMN($BC$4),FALSE)</f>
        <v>1</v>
      </c>
      <c r="CX19" s="39">
        <f>VLOOKUP($F19,Assumptions!$E$152:$BC$157,COLUMN()-COLUMN($BC$4),FALSE)</f>
        <v>1</v>
      </c>
      <c r="CY19" s="38"/>
      <c r="CZ19" s="43" t="str">
        <f>'TRA balance'!C57</f>
        <v>Year</v>
      </c>
      <c r="DA19" s="43" t="str">
        <f>'TRA balance'!D57</f>
        <v>Drvr</v>
      </c>
      <c r="DB19" s="43" t="str">
        <f>'TRA balance'!E57</f>
        <v>Africa_North</v>
      </c>
      <c r="DC19" s="43" t="str">
        <f>'TRA balance'!F57</f>
        <v>Africa_Other</v>
      </c>
      <c r="DD19" s="43" t="str">
        <f>'TRA balance'!G57</f>
        <v>Australia_d</v>
      </c>
      <c r="DE19" s="43" t="str">
        <f>'TRA balance'!H57</f>
        <v>Austria_d</v>
      </c>
      <c r="DF19" s="43" t="str">
        <f>'TRA balance'!I57</f>
        <v>Baltics</v>
      </c>
      <c r="DG19" s="43" t="str">
        <f>'TRA balance'!J57</f>
        <v>BeNeLux</v>
      </c>
      <c r="DH19" s="43" t="str">
        <f>'TRA balance'!K57</f>
        <v>Brazil_d</v>
      </c>
      <c r="DI19" s="43" t="str">
        <f>'TRA balance'!L57</f>
        <v>China_d</v>
      </c>
      <c r="DJ19" s="43" t="str">
        <f>'TRA balance'!M57</f>
        <v>CroSloven</v>
      </c>
      <c r="DK19" s="43" t="str">
        <f>'TRA balance'!N57</f>
        <v>CzechSlovak</v>
      </c>
      <c r="DL19" s="43" t="str">
        <f>'TRA balance'!O57</f>
        <v>France_d</v>
      </c>
      <c r="DM19" s="43" t="str">
        <f>'TRA balance'!P57</f>
        <v>Germany_d</v>
      </c>
      <c r="DN19" s="43" t="str">
        <f>'TRA balance'!Q57</f>
        <v>GreeceCyp</v>
      </c>
      <c r="DO19" s="43" t="str">
        <f>'TRA balance'!R57</f>
        <v>HunRomBul</v>
      </c>
      <c r="DP19" s="43" t="str">
        <f>'TRA balance'!S57</f>
        <v>Iceland_d</v>
      </c>
      <c r="DQ19" s="43" t="str">
        <f>'TRA balance'!T57</f>
        <v>India_d</v>
      </c>
      <c r="DR19" s="43" t="str">
        <f>'TRA balance'!U57</f>
        <v>Ireland_d</v>
      </c>
      <c r="DS19" s="43" t="str">
        <f>'TRA balance'!V57</f>
        <v>ItalyMal</v>
      </c>
      <c r="DT19" s="43" t="str">
        <f>'TRA balance'!W57</f>
        <v>Japan_d</v>
      </c>
      <c r="DU19" s="43" t="str">
        <f>'TRA balance'!X57</f>
        <v>LatAm</v>
      </c>
      <c r="DV19" s="43" t="str">
        <f>'TRA balance'!Y57</f>
        <v>MidEast</v>
      </c>
      <c r="DW19" s="43" t="str">
        <f>'TRA balance'!Z57</f>
        <v>NorthAm</v>
      </c>
      <c r="DX19" s="43" t="str">
        <f>'TRA balance'!AA57</f>
        <v>Norway_d</v>
      </c>
      <c r="DY19" s="43" t="str">
        <f>'TRA balance'!AB57</f>
        <v>Poland_d</v>
      </c>
      <c r="DZ19" s="43" t="str">
        <f>'TRA balance'!AC57</f>
        <v>ROW</v>
      </c>
      <c r="EA19" s="43" t="str">
        <f>'TRA balance'!AD57</f>
        <v>Russia_d</v>
      </c>
      <c r="EB19" s="43" t="str">
        <f>'TRA balance'!AE57</f>
        <v>SaudiArabia_d</v>
      </c>
      <c r="EC19" s="43" t="str">
        <f>'TRA balance'!AF57</f>
        <v>SouthAfrica_d</v>
      </c>
      <c r="ED19" s="43" t="str">
        <f>'TRA balance'!AG57</f>
        <v>SpainPor</v>
      </c>
      <c r="EE19" s="43" t="str">
        <f>'TRA balance'!AH57</f>
        <v>SweFinDen</v>
      </c>
      <c r="EF19" s="43" t="str">
        <f>'TRA balance'!AI57</f>
        <v>Switzerland_d</v>
      </c>
      <c r="EG19" s="43" t="str">
        <f>'TRA balance'!AJ57</f>
        <v>Turkey_d</v>
      </c>
      <c r="EH19" s="43" t="str">
        <f>'TRA balance'!AK57</f>
        <v>UK_d</v>
      </c>
      <c r="EI19" s="43" t="str">
        <f>'TRA balance'!AL57</f>
        <v>Ukraine_d</v>
      </c>
      <c r="EJ19" s="43" t="str">
        <f>'TRA balance'!AM57</f>
        <v>WestBalkans</v>
      </c>
      <c r="EK19" s="43" t="str">
        <f>'TRA balance'!AN57</f>
        <v>PRT</v>
      </c>
      <c r="EL19" s="43" t="str">
        <f>'TRA balance'!AO57</f>
        <v>ROM</v>
      </c>
      <c r="EM19" s="43" t="str">
        <f>'TRA balance'!AP57</f>
        <v>ROW</v>
      </c>
      <c r="EN19" s="43" t="str">
        <f>'TRA balance'!AQ57</f>
        <v>Russia</v>
      </c>
      <c r="EO19" s="43" t="str">
        <f>'TRA balance'!AR57</f>
        <v>SRB</v>
      </c>
      <c r="EP19" s="43" t="str">
        <f>'TRA balance'!AS57</f>
        <v>SVK</v>
      </c>
      <c r="EQ19" s="43" t="str">
        <f>'TRA balance'!AT57</f>
        <v>SVN</v>
      </c>
      <c r="ER19" s="43" t="str">
        <f>'TRA balance'!AU57</f>
        <v>SWE</v>
      </c>
      <c r="ES19" s="43" t="str">
        <f>'TRA balance'!AV57</f>
        <v>TUR</v>
      </c>
      <c r="ET19" s="43" t="str">
        <f>'TRA balance'!AW57</f>
        <v>UKR</v>
      </c>
      <c r="EU19" s="43" t="str">
        <f>'TRA balance'!AX57</f>
        <v>XXK</v>
      </c>
      <c r="EV19" s="38"/>
      <c r="EW19" s="38" t="str">
        <f t="shared" si="48"/>
        <v>\I:</v>
      </c>
      <c r="EX19" s="38" t="str">
        <f t="shared" si="68"/>
        <v/>
      </c>
      <c r="EY19" s="38" t="s">
        <v>133</v>
      </c>
      <c r="EZ19" s="38" t="s">
        <v>85</v>
      </c>
      <c r="FA19" s="38" t="s">
        <v>440</v>
      </c>
    </row>
    <row r="20" ht="16" spans="1:157">
      <c r="C20" s="38" t="str">
        <f t="shared" si="54"/>
        <v/>
      </c>
      <c r="D20" s="38" t="s">
        <v>69</v>
      </c>
      <c r="E20" s="38"/>
      <c r="F20" s="38" t="s">
        <v>76</v>
      </c>
      <c r="G20" s="39">
        <f>SUMIFS(Assumptions!BD$105:BD$128,Assumptions!$BB$105:$BB$128,'non-road'!$F20,Assumptions!$BC$105:$BC$128,'non-road'!$D20)/SUMIF(Assumptions!$BB$105:$BB$128,'non-road'!$F20,Assumptions!BD$105:BD$128)</f>
        <v>0</v>
      </c>
      <c r="H20" s="39">
        <f>SUMIFS(Assumptions!BE$105:BE$128,Assumptions!$BB$105:$BB$128,'non-road'!$F20,Assumptions!$BC$105:$BC$128,'non-road'!$D20)/SUMIF(Assumptions!$BB$105:$BB$128,'non-road'!$F20,Assumptions!BE$105:BE$128)</f>
        <v>0</v>
      </c>
      <c r="I20" s="39">
        <f>SUMIFS(Assumptions!BF$105:BF$128,Assumptions!$BB$105:$BB$128,'non-road'!$F20,Assumptions!$BC$105:$BC$128,'non-road'!$D20)/SUMIF(Assumptions!$BB$105:$BB$128,'non-road'!$F20,Assumptions!BF$105:BF$128)</f>
        <v>0</v>
      </c>
      <c r="J20" s="39">
        <f>SUMIFS(Assumptions!BG$105:BG$128,Assumptions!$BB$105:$BB$128,'non-road'!$F20,Assumptions!$BC$105:$BC$128,'non-road'!$D20)/SUMIF(Assumptions!$BB$105:$BB$128,'non-road'!$F20,Assumptions!BG$105:BG$128)</f>
        <v>0</v>
      </c>
      <c r="K20" s="39">
        <f>SUMIFS(Assumptions!BH$105:BH$128,Assumptions!$BB$105:$BB$128,'non-road'!$F20,Assumptions!$BC$105:$BC$128,'non-road'!$D20)/SUMIF(Assumptions!$BB$105:$BB$128,'non-road'!$F20,Assumptions!BH$105:BH$128)</f>
        <v>0</v>
      </c>
      <c r="L20" s="39">
        <f>SUMIFS(Assumptions!BI$105:BI$128,Assumptions!$BB$105:$BB$128,'non-road'!$F20,Assumptions!$BC$105:$BC$128,'non-road'!$D20)/SUMIF(Assumptions!$BB$105:$BB$128,'non-road'!$F20,Assumptions!BI$105:BI$128)</f>
        <v>0</v>
      </c>
      <c r="M20" s="39">
        <f>SUMIFS(Assumptions!BJ$105:BJ$128,Assumptions!$BB$105:$BB$128,'non-road'!$F20,Assumptions!$BC$105:$BC$128,'non-road'!$D20)/SUMIF(Assumptions!$BB$105:$BB$128,'non-road'!$F20,Assumptions!BJ$105:BJ$128)</f>
        <v>0</v>
      </c>
      <c r="N20" s="39">
        <f>SUMIFS(Assumptions!BK$105:BK$128,Assumptions!$BB$105:$BB$128,'non-road'!$F20,Assumptions!$BC$105:$BC$128,'non-road'!$D20)/SUMIF(Assumptions!$BB$105:$BB$128,'non-road'!$F20,Assumptions!BK$105:BK$128)</f>
        <v>0</v>
      </c>
      <c r="O20" s="39">
        <f>SUMIFS(Assumptions!BL$105:BL$128,Assumptions!$BB$105:$BB$128,'non-road'!$F20,Assumptions!$BC$105:$BC$128,'non-road'!$D20)/SUMIF(Assumptions!$BB$105:$BB$128,'non-road'!$F20,Assumptions!BL$105:BL$128)</f>
        <v>0</v>
      </c>
      <c r="P20" s="39">
        <f>SUMIFS(Assumptions!BM$105:BM$128,Assumptions!$BB$105:$BB$128,'non-road'!$F20,Assumptions!$BC$105:$BC$128,'non-road'!$D20)/SUMIF(Assumptions!$BB$105:$BB$128,'non-road'!$F20,Assumptions!BM$105:BM$128)</f>
        <v>0</v>
      </c>
      <c r="Q20" s="39">
        <f>SUMIFS(Assumptions!BN$105:BN$128,Assumptions!$BB$105:$BB$128,'non-road'!$F20,Assumptions!$BC$105:$BC$128,'non-road'!$D20)/SUMIF(Assumptions!$BB$105:$BB$128,'non-road'!$F20,Assumptions!BN$105:BN$128)</f>
        <v>0</v>
      </c>
      <c r="R20" s="39">
        <f>SUMIFS(Assumptions!BO$105:BO$128,Assumptions!$BB$105:$BB$128,'non-road'!$F20,Assumptions!$BC$105:$BC$128,'non-road'!$D20)/SUMIF(Assumptions!$BB$105:$BB$128,'non-road'!$F20,Assumptions!BO$105:BO$128)</f>
        <v>0</v>
      </c>
      <c r="S20" s="39">
        <f>SUMIFS(Assumptions!BP$105:BP$128,Assumptions!$BB$105:$BB$128,'non-road'!$F20,Assumptions!$BC$105:$BC$128,'non-road'!$D20)/SUMIF(Assumptions!$BB$105:$BB$128,'non-road'!$F20,Assumptions!BP$105:BP$128)</f>
        <v>0</v>
      </c>
      <c r="T20" s="39">
        <f>SUMIFS(Assumptions!BQ$105:BQ$128,Assumptions!$BB$105:$BB$128,'non-road'!$F20,Assumptions!$BC$105:$BC$128,'non-road'!$D20)/SUMIF(Assumptions!$BB$105:$BB$128,'non-road'!$F20,Assumptions!BQ$105:BQ$128)</f>
        <v>0</v>
      </c>
      <c r="U20" s="39">
        <f>SUMIFS(Assumptions!BR$105:BR$128,Assumptions!$BB$105:$BB$128,'non-road'!$F20,Assumptions!$BC$105:$BC$128,'non-road'!$D20)/SUMIF(Assumptions!$BB$105:$BB$128,'non-road'!$F20,Assumptions!BR$105:BR$128)</f>
        <v>0</v>
      </c>
      <c r="V20" s="39">
        <f>SUMIFS(Assumptions!BS$105:BS$128,Assumptions!$BB$105:$BB$128,'non-road'!$F20,Assumptions!$BC$105:$BC$128,'non-road'!$D20)/SUMIF(Assumptions!$BB$105:$BB$128,'non-road'!$F20,Assumptions!BS$105:BS$128)</f>
        <v>0</v>
      </c>
      <c r="W20" s="39">
        <f>SUMIFS(Assumptions!BT$105:BT$128,Assumptions!$BB$105:$BB$128,'non-road'!$F20,Assumptions!$BC$105:$BC$128,'non-road'!$D20)/SUMIF(Assumptions!$BB$105:$BB$128,'non-road'!$F20,Assumptions!BT$105:BT$128)</f>
        <v>0</v>
      </c>
      <c r="X20" s="39">
        <f>SUMIFS(Assumptions!BU$105:BU$128,Assumptions!$BB$105:$BB$128,'non-road'!$F20,Assumptions!$BC$105:$BC$128,'non-road'!$D20)/SUMIF(Assumptions!$BB$105:$BB$128,'non-road'!$F20,Assumptions!BU$105:BU$128)</f>
        <v>0</v>
      </c>
      <c r="Y20" s="39">
        <f>SUMIFS(Assumptions!BV$105:BV$128,Assumptions!$BB$105:$BB$128,'non-road'!$F20,Assumptions!$BC$105:$BC$128,'non-road'!$D20)/SUMIF(Assumptions!$BB$105:$BB$128,'non-road'!$F20,Assumptions!BV$105:BV$128)</f>
        <v>0</v>
      </c>
      <c r="Z20" s="39">
        <f>SUMIFS(Assumptions!BW$105:BW$128,Assumptions!$BB$105:$BB$128,'non-road'!$F20,Assumptions!$BC$105:$BC$128,'non-road'!$D20)/SUMIF(Assumptions!$BB$105:$BB$128,'non-road'!$F20,Assumptions!BW$105:BW$128)</f>
        <v>0</v>
      </c>
      <c r="AA20" s="39">
        <f>SUMIFS(Assumptions!BX$105:BX$128,Assumptions!$BB$105:$BB$128,'non-road'!$F20,Assumptions!$BC$105:$BC$128,'non-road'!$D20)/SUMIF(Assumptions!$BB$105:$BB$128,'non-road'!$F20,Assumptions!BX$105:BX$128)</f>
        <v>0</v>
      </c>
      <c r="AB20" s="39">
        <f>SUMIFS(Assumptions!BY$105:BY$128,Assumptions!$BB$105:$BB$128,'non-road'!$F20,Assumptions!$BC$105:$BC$128,'non-road'!$D20)/SUMIF(Assumptions!$BB$105:$BB$128,'non-road'!$F20,Assumptions!BY$105:BY$128)</f>
        <v>0</v>
      </c>
      <c r="AC20" s="39">
        <f>SUMIFS(Assumptions!BZ$105:BZ$128,Assumptions!$BB$105:$BB$128,'non-road'!$F20,Assumptions!$BC$105:$BC$128,'non-road'!$D20)/SUMIF(Assumptions!$BB$105:$BB$128,'non-road'!$F20,Assumptions!BZ$105:BZ$128)</f>
        <v>0</v>
      </c>
      <c r="AD20" s="39">
        <f>SUMIFS(Assumptions!CA$105:CA$128,Assumptions!$BB$105:$BB$128,'non-road'!$F20,Assumptions!$BC$105:$BC$128,'non-road'!$D20)/SUMIF(Assumptions!$BB$105:$BB$128,'non-road'!$F20,Assumptions!CA$105:CA$128)</f>
        <v>0</v>
      </c>
      <c r="AE20" s="39">
        <f>SUMIFS(Assumptions!CB$105:CB$128,Assumptions!$BB$105:$BB$128,'non-road'!$F20,Assumptions!$BC$105:$BC$128,'non-road'!$D20)/SUMIF(Assumptions!$BB$105:$BB$128,'non-road'!$F20,Assumptions!CB$105:CB$128)</f>
        <v>0</v>
      </c>
      <c r="AF20" s="39">
        <f>SUMIFS(Assumptions!CC$105:CC$128,Assumptions!$BB$105:$BB$128,'non-road'!$F20,Assumptions!$BC$105:$BC$128,'non-road'!$D20)/SUMIF(Assumptions!$BB$105:$BB$128,'non-road'!$F20,Assumptions!CC$105:CC$128)</f>
        <v>0</v>
      </c>
      <c r="AG20" s="39">
        <f>SUMIFS(Assumptions!CD$105:CD$128,Assumptions!$BB$105:$BB$128,'non-road'!$F20,Assumptions!$BC$105:$BC$128,'non-road'!$D20)/SUMIF(Assumptions!$BB$105:$BB$128,'non-road'!$F20,Assumptions!CD$105:CD$128)</f>
        <v>0</v>
      </c>
      <c r="AH20" s="39">
        <f>SUMIFS(Assumptions!CE$105:CE$128,Assumptions!$BB$105:$BB$128,'non-road'!$F20,Assumptions!$BC$105:$BC$128,'non-road'!$D20)/SUMIF(Assumptions!$BB$105:$BB$128,'non-road'!$F20,Assumptions!CE$105:CE$128)</f>
        <v>0</v>
      </c>
      <c r="AI20" s="39">
        <f>SUMIFS(Assumptions!CF$105:CF$128,Assumptions!$BB$105:$BB$128,'non-road'!$F20,Assumptions!$BC$105:$BC$128,'non-road'!$D20)/SUMIF(Assumptions!$BB$105:$BB$128,'non-road'!$F20,Assumptions!CF$105:CF$128)</f>
        <v>0</v>
      </c>
      <c r="AJ20" s="39">
        <f>SUMIFS(Assumptions!CG$105:CG$128,Assumptions!$BB$105:$BB$128,'non-road'!$F20,Assumptions!$BC$105:$BC$128,'non-road'!$D20)/SUMIF(Assumptions!$BB$105:$BB$128,'non-road'!$F20,Assumptions!CG$105:CG$128)</f>
        <v>0</v>
      </c>
      <c r="AK20" s="39">
        <f>SUMIFS(Assumptions!CH$105:CH$128,Assumptions!$BB$105:$BB$128,'non-road'!$F20,Assumptions!$BC$105:$BC$128,'non-road'!$D20)/SUMIF(Assumptions!$BB$105:$BB$128,'non-road'!$F20,Assumptions!CH$105:CH$128)</f>
        <v>0</v>
      </c>
      <c r="AL20" s="39">
        <f>SUMIFS(Assumptions!CI$105:CI$128,Assumptions!$BB$105:$BB$128,'non-road'!$F20,Assumptions!$BC$105:$BC$128,'non-road'!$D20)/SUMIF(Assumptions!$BB$105:$BB$128,'non-road'!$F20,Assumptions!CI$105:CI$128)</f>
        <v>0</v>
      </c>
      <c r="AM20" s="39">
        <f>SUMIFS(Assumptions!CJ$105:CJ$128,Assumptions!$BB$105:$BB$128,'non-road'!$F20,Assumptions!$BC$105:$BC$128,'non-road'!$D20)/SUMIF(Assumptions!$BB$105:$BB$128,'non-road'!$F20,Assumptions!CJ$105:CJ$128)</f>
        <v>0</v>
      </c>
      <c r="AN20" s="39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9">
        <f>SUMIFS(Assumptions!CL$105:CL$128,Assumptions!$BB$105:$BB$128,'non-road'!$F20,Assumptions!$BC$105:$BC$128,'non-road'!$D20)/SUMIF(Assumptions!$BB$105:$BB$128,'non-road'!$F20,Assumptions!CL$105:CL$128)</f>
        <v>0</v>
      </c>
      <c r="AP20" s="39" t="e">
        <f>SUMIFS(Assumptions!CM$105:CM$128,Assumptions!$BB$105:$BB$128,'non-road'!$F20,Assumptions!$BC$105:$BC$128,'non-road'!$D20)/SUMIF(Assumptions!$BB$105:$BB$128,'non-road'!$F20,Assumptions!CM$105:CM$128)</f>
        <v>#DIV/0!</v>
      </c>
      <c r="AQ20" s="39" t="e">
        <f>SUMIFS(Assumptions!CN$105:CN$128,Assumptions!$BB$105:$BB$128,'non-road'!$F20,Assumptions!$BC$105:$BC$128,'non-road'!$D20)/SUMIF(Assumptions!$BB$105:$BB$128,'non-road'!$F20,Assumptions!CN$105:CN$128)</f>
        <v>#DIV/0!</v>
      </c>
      <c r="AR20" s="39" t="e">
        <f>SUMIFS(Assumptions!CO$105:CO$128,Assumptions!$BB$105:$BB$128,'non-road'!$F20,Assumptions!$BC$105:$BC$128,'non-road'!$D20)/SUMIF(Assumptions!$BB$105:$BB$128,'non-road'!$F20,Assumptions!CO$105:CO$128)</f>
        <v>#DIV/0!</v>
      </c>
      <c r="AS20" s="39" t="e">
        <f>SUMIFS(Assumptions!CP$105:CP$128,Assumptions!$BB$105:$BB$128,'non-road'!$F20,Assumptions!$BC$105:$BC$128,'non-road'!$D20)/SUMIF(Assumptions!$BB$105:$BB$128,'non-road'!$F20,Assumptions!CP$105:CP$128)</f>
        <v>#DIV/0!</v>
      </c>
      <c r="AT20" s="39" t="e">
        <f>SUMIFS(Assumptions!CQ$105:CQ$128,Assumptions!$BB$105:$BB$128,'non-road'!$F20,Assumptions!$BC$105:$BC$128,'non-road'!$D20)/SUMIF(Assumptions!$BB$105:$BB$128,'non-road'!$F20,Assumptions!CQ$105:CQ$128)</f>
        <v>#DIV/0!</v>
      </c>
      <c r="AU20" s="39" t="e">
        <f>SUMIFS(Assumptions!CR$105:CR$128,Assumptions!$BB$105:$BB$128,'non-road'!$F20,Assumptions!$BC$105:$BC$128,'non-road'!$D20)/SUMIF(Assumptions!$BB$105:$BB$128,'non-road'!$F20,Assumptions!CR$105:CR$128)</f>
        <v>#DIV/0!</v>
      </c>
      <c r="AV20" s="39" t="e">
        <f>SUMIFS(Assumptions!CS$105:CS$128,Assumptions!$BB$105:$BB$128,'non-road'!$F20,Assumptions!$BC$105:$BC$128,'non-road'!$D20)/SUMIF(Assumptions!$BB$105:$BB$128,'non-road'!$F20,Assumptions!CS$105:CS$128)</f>
        <v>#DIV/0!</v>
      </c>
      <c r="AW20" s="39" t="e">
        <f>SUMIFS(Assumptions!CT$105:CT$128,Assumptions!$BB$105:$BB$128,'non-road'!$F20,Assumptions!$BC$105:$BC$128,'non-road'!$D20)/SUMIF(Assumptions!$BB$105:$BB$128,'non-road'!$F20,Assumptions!CT$105:CT$128)</f>
        <v>#DIV/0!</v>
      </c>
      <c r="AX20" s="39" t="e">
        <f>SUMIFS(Assumptions!CU$105:CU$128,Assumptions!$BB$105:$BB$128,'non-road'!$F20,Assumptions!$BC$105:$BC$128,'non-road'!$D20)/SUMIF(Assumptions!$BB$105:$BB$128,'non-road'!$F20,Assumptions!CU$105:CU$128)</f>
        <v>#DIV/0!</v>
      </c>
      <c r="AY20" s="39" t="e">
        <f>SUMIFS(Assumptions!CV$105:CV$128,Assumptions!$BB$105:$BB$128,'non-road'!$F20,Assumptions!$BC$105:$BC$128,'non-road'!$D20)/SUMIF(Assumptions!$BB$105:$BB$128,'non-road'!$F20,Assumptions!CV$105:CV$128)</f>
        <v>#DIV/0!</v>
      </c>
      <c r="AZ20" s="39" t="e">
        <f>SUMIFS(Assumptions!CW$105:CW$128,Assumptions!$BB$105:$BB$128,'non-road'!$F20,Assumptions!$BC$105:$BC$128,'non-road'!$D20)/SUMIF(Assumptions!$BB$105:$BB$128,'non-road'!$F20,Assumptions!CW$105:CW$128)</f>
        <v>#DIV/0!</v>
      </c>
      <c r="BD20" s="38" t="str">
        <f t="shared" si="55"/>
        <v>\I:</v>
      </c>
      <c r="BE20" s="39">
        <f>VLOOKUP($F20,Assumptions!$E$152:$BC$157,COLUMN()-COLUMN($BC$4),FALSE)</f>
        <v>1</v>
      </c>
      <c r="BF20" s="39">
        <f>VLOOKUP($F20,Assumptions!$E$152:$BC$157,COLUMN()-COLUMN($BC$4),FALSE)</f>
        <v>1</v>
      </c>
      <c r="BG20" s="39">
        <f>VLOOKUP($F20,Assumptions!$E$152:$BC$157,COLUMN()-COLUMN($BC$4),FALSE)</f>
        <v>1</v>
      </c>
      <c r="BH20" s="39">
        <f>VLOOKUP($F20,Assumptions!$E$152:$BC$157,COLUMN()-COLUMN($BC$4),FALSE)</f>
        <v>1</v>
      </c>
      <c r="BI20" s="39">
        <f>VLOOKUP($F20,Assumptions!$E$152:$BC$157,COLUMN()-COLUMN($BC$4),FALSE)</f>
        <v>1</v>
      </c>
      <c r="BJ20" s="39">
        <f>VLOOKUP($F20,Assumptions!$E$152:$BC$157,COLUMN()-COLUMN($BC$4),FALSE)</f>
        <v>1</v>
      </c>
      <c r="BK20" s="39">
        <f>VLOOKUP($F20,Assumptions!$E$152:$BC$157,COLUMN()-COLUMN($BC$4),FALSE)</f>
        <v>1</v>
      </c>
      <c r="BL20" s="39">
        <f>VLOOKUP($F20,Assumptions!$E$152:$BC$157,COLUMN()-COLUMN($BC$4),FALSE)</f>
        <v>1</v>
      </c>
      <c r="BM20" s="39">
        <f>VLOOKUP($F20,Assumptions!$E$152:$BC$157,COLUMN()-COLUMN($BC$4),FALSE)</f>
        <v>1</v>
      </c>
      <c r="BN20" s="39">
        <f>VLOOKUP($F20,Assumptions!$E$152:$BC$157,COLUMN()-COLUMN($BC$4),FALSE)</f>
        <v>1</v>
      </c>
      <c r="BO20" s="39">
        <f>VLOOKUP($F20,Assumptions!$E$152:$BC$157,COLUMN()-COLUMN($BC$4),FALSE)</f>
        <v>1</v>
      </c>
      <c r="BP20" s="39">
        <f>VLOOKUP($F20,Assumptions!$E$152:$BC$157,COLUMN()-COLUMN($BC$4),FALSE)</f>
        <v>1</v>
      </c>
      <c r="BQ20" s="39">
        <f>VLOOKUP($F20,Assumptions!$E$152:$BC$157,COLUMN()-COLUMN($BC$4),FALSE)</f>
        <v>1</v>
      </c>
      <c r="BR20" s="39">
        <f>VLOOKUP($F20,Assumptions!$E$152:$BC$157,COLUMN()-COLUMN($BC$4),FALSE)</f>
        <v>1</v>
      </c>
      <c r="BS20" s="39">
        <f>VLOOKUP($F20,Assumptions!$E$152:$BC$157,COLUMN()-COLUMN($BC$4),FALSE)</f>
        <v>1</v>
      </c>
      <c r="BT20" s="39">
        <f>VLOOKUP($F20,Assumptions!$E$152:$BC$157,COLUMN()-COLUMN($BC$4),FALSE)</f>
        <v>1</v>
      </c>
      <c r="BU20" s="39">
        <f>VLOOKUP($F20,Assumptions!$E$152:$BC$157,COLUMN()-COLUMN($BC$4),FALSE)</f>
        <v>1</v>
      </c>
      <c r="BV20" s="39">
        <f>VLOOKUP($F20,Assumptions!$E$152:$BC$157,COLUMN()-COLUMN($BC$4),FALSE)</f>
        <v>1</v>
      </c>
      <c r="BW20" s="39">
        <f>VLOOKUP($F20,Assumptions!$E$152:$BC$157,COLUMN()-COLUMN($BC$4),FALSE)</f>
        <v>1</v>
      </c>
      <c r="BX20" s="39">
        <f>VLOOKUP($F20,Assumptions!$E$152:$BC$157,COLUMN()-COLUMN($BC$4),FALSE)</f>
        <v>1</v>
      </c>
      <c r="BY20" s="39">
        <f>VLOOKUP($F20,Assumptions!$E$152:$BC$157,COLUMN()-COLUMN($BC$4),FALSE)</f>
        <v>1</v>
      </c>
      <c r="BZ20" s="39">
        <f>VLOOKUP($F20,Assumptions!$E$152:$BC$157,COLUMN()-COLUMN($BC$4),FALSE)</f>
        <v>1</v>
      </c>
      <c r="CA20" s="39">
        <f>VLOOKUP($F20,Assumptions!$E$152:$BC$157,COLUMN()-COLUMN($BC$4),FALSE)</f>
        <v>1</v>
      </c>
      <c r="CB20" s="39">
        <f>VLOOKUP($F20,Assumptions!$E$152:$BC$157,COLUMN()-COLUMN($BC$4),FALSE)</f>
        <v>1</v>
      </c>
      <c r="CC20" s="39">
        <f>VLOOKUP($F20,Assumptions!$E$152:$BC$157,COLUMN()-COLUMN($BC$4),FALSE)</f>
        <v>1</v>
      </c>
      <c r="CD20" s="39">
        <f>VLOOKUP($F20,Assumptions!$E$152:$BC$157,COLUMN()-COLUMN($BC$4),FALSE)</f>
        <v>1</v>
      </c>
      <c r="CE20" s="39">
        <f>VLOOKUP($F20,Assumptions!$E$152:$BC$157,COLUMN()-COLUMN($BC$4),FALSE)</f>
        <v>1</v>
      </c>
      <c r="CF20" s="39">
        <f>VLOOKUP($F20,Assumptions!$E$152:$BC$157,COLUMN()-COLUMN($BC$4),FALSE)</f>
        <v>1</v>
      </c>
      <c r="CG20" s="39">
        <f>VLOOKUP($F20,Assumptions!$E$152:$BC$157,COLUMN()-COLUMN($BC$4),FALSE)</f>
        <v>1</v>
      </c>
      <c r="CH20" s="39">
        <f>VLOOKUP($F20,Assumptions!$E$152:$BC$157,COLUMN()-COLUMN($BC$4),FALSE)</f>
        <v>1</v>
      </c>
      <c r="CI20" s="39">
        <f>VLOOKUP($F20,Assumptions!$E$152:$BC$157,COLUMN()-COLUMN($BC$4),FALSE)</f>
        <v>1</v>
      </c>
      <c r="CJ20" s="39">
        <f>VLOOKUP($F20,Assumptions!$E$152:$BC$157,COLUMN()-COLUMN($BC$4),FALSE)</f>
        <v>1</v>
      </c>
      <c r="CK20" s="39">
        <f>VLOOKUP($F20,Assumptions!$E$152:$BC$157,COLUMN()-COLUMN($BC$4),FALSE)</f>
        <v>1</v>
      </c>
      <c r="CL20" s="39">
        <f>VLOOKUP($F20,Assumptions!$E$152:$BC$157,COLUMN()-COLUMN($BC$4),FALSE)</f>
        <v>1</v>
      </c>
      <c r="CM20" s="39">
        <f>VLOOKUP($F20,Assumptions!$E$152:$BC$157,COLUMN()-COLUMN($BC$4),FALSE)</f>
        <v>1</v>
      </c>
      <c r="CN20" s="39">
        <f>VLOOKUP($F20,Assumptions!$E$152:$BC$157,COLUMN()-COLUMN($BC$4),FALSE)</f>
        <v>1</v>
      </c>
      <c r="CO20" s="39">
        <f>VLOOKUP($F20,Assumptions!$E$152:$BC$157,COLUMN()-COLUMN($BC$4),FALSE)</f>
        <v>1</v>
      </c>
      <c r="CP20" s="39">
        <f>VLOOKUP($F20,Assumptions!$E$152:$BC$157,COLUMN()-COLUMN($BC$4),FALSE)</f>
        <v>1</v>
      </c>
      <c r="CQ20" s="39">
        <f>VLOOKUP($F20,Assumptions!$E$152:$BC$157,COLUMN()-COLUMN($BC$4),FALSE)</f>
        <v>1</v>
      </c>
      <c r="CR20" s="39">
        <f>VLOOKUP($F20,Assumptions!$E$152:$BC$157,COLUMN()-COLUMN($BC$4),FALSE)</f>
        <v>1</v>
      </c>
      <c r="CS20" s="39">
        <f>VLOOKUP($F20,Assumptions!$E$152:$BC$157,COLUMN()-COLUMN($BC$4),FALSE)</f>
        <v>1</v>
      </c>
      <c r="CT20" s="39">
        <f>VLOOKUP($F20,Assumptions!$E$152:$BC$157,COLUMN()-COLUMN($BC$4),FALSE)</f>
        <v>1</v>
      </c>
      <c r="CU20" s="39">
        <f>VLOOKUP($F20,Assumptions!$E$152:$BC$157,COLUMN()-COLUMN($BC$4),FALSE)</f>
        <v>1</v>
      </c>
      <c r="CV20" s="39">
        <f>VLOOKUP($F20,Assumptions!$E$152:$BC$157,COLUMN()-COLUMN($BC$4),FALSE)</f>
        <v>1</v>
      </c>
      <c r="CW20" s="39">
        <f>VLOOKUP($F20,Assumptions!$E$152:$BC$157,COLUMN()-COLUMN($BC$4),FALSE)</f>
        <v>1</v>
      </c>
      <c r="CX20" s="39">
        <f>VLOOKUP($F20,Assumptions!$E$152:$BC$157,COLUMN()-COLUMN($BC$4),FALSE)</f>
        <v>1</v>
      </c>
      <c r="CY20" s="38"/>
      <c r="CZ20" s="43">
        <f>'TRA balance'!C58</f>
        <v>2019</v>
      </c>
      <c r="DA20" s="43" t="str">
        <f>'TRA balance'!D58</f>
        <v>GDP</v>
      </c>
      <c r="DB20" s="44">
        <f>'TRA balance'!E58</f>
        <v>2018.274</v>
      </c>
      <c r="DC20" s="44">
        <f>'TRA balance'!F58</f>
        <v>2792.809383</v>
      </c>
      <c r="DD20" s="44">
        <f>'TRA balance'!G58</f>
        <v>964.981</v>
      </c>
      <c r="DE20" s="44">
        <f>'TRA balance'!H58</f>
        <v>350.867</v>
      </c>
      <c r="DF20" s="44">
        <f>'TRA balance'!I58</f>
        <v>142.6773</v>
      </c>
      <c r="DG20" s="44">
        <f>'TRA balance'!J58</f>
        <v>1215.2069</v>
      </c>
      <c r="DH20" s="44">
        <f>'TRA balance'!K58</f>
        <v>2724.93</v>
      </c>
      <c r="DI20" s="44">
        <f>'TRA balance'!L58</f>
        <v>21308.9</v>
      </c>
      <c r="DJ20" s="44">
        <f>'TRA balance'!M58</f>
        <v>137.786</v>
      </c>
      <c r="DK20" s="44">
        <f>'TRA balance'!N58</f>
        <v>458.463</v>
      </c>
      <c r="DL20" s="44">
        <f>'TRA balance'!O58</f>
        <v>2250.3</v>
      </c>
      <c r="DM20" s="44">
        <f>'TRA balance'!P58</f>
        <v>3218.77</v>
      </c>
      <c r="DN20" s="44">
        <f>'TRA balance'!Q58</f>
        <v>269.2231</v>
      </c>
      <c r="DO20" s="44">
        <f>'TRA balance'!R58</f>
        <v>667.972</v>
      </c>
      <c r="DP20" s="44">
        <f>'TRA balance'!S58</f>
        <v>15.8709</v>
      </c>
      <c r="DQ20" s="44">
        <f>'TRA balance'!T58</f>
        <v>8348.05</v>
      </c>
      <c r="DR20" s="44">
        <f>'TRA balance'!U58</f>
        <v>302.74</v>
      </c>
      <c r="DS20" s="44">
        <f>'TRA balance'!V58</f>
        <v>1746.1618</v>
      </c>
      <c r="DT20" s="44">
        <f>'TRA balance'!W58</f>
        <v>4399.22</v>
      </c>
      <c r="DU20" s="44">
        <f>'TRA balance'!X58</f>
        <v>3684.5448814</v>
      </c>
      <c r="DV20" s="44">
        <f>'TRA balance'!Y58</f>
        <v>3897.7243</v>
      </c>
      <c r="DW20" s="44">
        <f>'TRA balance'!Z58</f>
        <v>20059.15</v>
      </c>
      <c r="DX20" s="44">
        <f>'TRA balance'!AA58</f>
        <v>265.438</v>
      </c>
      <c r="DY20" s="44">
        <f>'TRA balance'!AB58</f>
        <v>919.784</v>
      </c>
      <c r="DZ20" s="44">
        <f>'TRA balance'!AC58</f>
        <v>13965.300496</v>
      </c>
      <c r="EA20" s="44">
        <f>'TRA balance'!AD58</f>
        <v>2457.317</v>
      </c>
      <c r="EB20" s="44">
        <f>'TRA balance'!AE58</f>
        <v>1712.87</v>
      </c>
      <c r="EC20" s="44">
        <f>'TRA balance'!AF58</f>
        <v>625.812</v>
      </c>
      <c r="ED20" s="44">
        <f>'TRA balance'!AG58</f>
        <v>1655.67</v>
      </c>
      <c r="EE20" s="44">
        <f>'TRA balance'!AH58</f>
        <v>819.16</v>
      </c>
      <c r="EF20" s="44">
        <f>'TRA balance'!AI58</f>
        <v>410.763</v>
      </c>
      <c r="EG20" s="44">
        <f>'TRA balance'!AJ58</f>
        <v>1542.4</v>
      </c>
      <c r="EH20" s="44">
        <f>'TRA balance'!AK58</f>
        <v>2363.72</v>
      </c>
      <c r="EI20" s="44">
        <f>'TRA balance'!AL58</f>
        <v>385.6139</v>
      </c>
      <c r="EJ20" s="44">
        <f>'TRA balance'!AM58</f>
        <v>189.0739</v>
      </c>
      <c r="EK20" s="44">
        <f>'TRA balance'!AN58</f>
        <v>261.55</v>
      </c>
      <c r="EL20" s="44">
        <f>'TRA balance'!AO58</f>
        <v>330.101</v>
      </c>
      <c r="EM20" s="44">
        <f>'TRA balance'!AP58</f>
        <v>48028.0698408</v>
      </c>
      <c r="EN20" s="44">
        <f>'TRA balance'!AQ58</f>
        <v>2457.317</v>
      </c>
      <c r="EO20" s="44">
        <f>'TRA balance'!AR58</f>
        <v>94.7031</v>
      </c>
      <c r="EP20" s="44">
        <f>'TRA balance'!AS58</f>
        <v>143.645</v>
      </c>
      <c r="EQ20" s="44">
        <f>'TRA balance'!AT58</f>
        <v>62.0465</v>
      </c>
      <c r="ER20" s="44">
        <f>'TRA balance'!AU58</f>
        <v>405.629</v>
      </c>
      <c r="ES20" s="44">
        <f>'TRA balance'!AV58</f>
        <v>1542.4</v>
      </c>
      <c r="ET20" s="44">
        <f>'TRA balance'!AW58</f>
        <v>385.6139</v>
      </c>
      <c r="EU20" s="44" t="str">
        <f>'TRA balance'!AX58</f>
        <v>NULL</v>
      </c>
      <c r="EV20" s="38"/>
      <c r="EW20" s="38" t="str">
        <f t="shared" si="48"/>
        <v>\I:</v>
      </c>
      <c r="EX20" s="38" t="str">
        <f t="shared" si="68"/>
        <v/>
      </c>
      <c r="EY20" s="38" t="s">
        <v>133</v>
      </c>
      <c r="EZ20" s="38" t="s">
        <v>85</v>
      </c>
      <c r="FA20" s="38" t="s">
        <v>440</v>
      </c>
    </row>
    <row r="21" ht="16" spans="1:157">
      <c r="C21" s="38" t="str">
        <f t="shared" si="54"/>
        <v/>
      </c>
      <c r="D21" s="38" t="s">
        <v>72</v>
      </c>
      <c r="E21" s="38" t="s">
        <v>445</v>
      </c>
      <c r="F21" s="38" t="s">
        <v>76</v>
      </c>
      <c r="G21" s="39">
        <f>SUMIFS(Assumptions!BD$105:BD$128,Assumptions!$BB$105:$BB$128,'non-road'!$F21,Assumptions!$BC$105:$BC$128,'non-road'!$D21)/SUMIF(Assumptions!$BB$105:$BB$128,'non-road'!$F21,Assumptions!BD$105:BD$128)</f>
        <v>1</v>
      </c>
      <c r="H21" s="39">
        <f>SUMIFS(Assumptions!BE$105:BE$128,Assumptions!$BB$105:$BB$128,'non-road'!$F21,Assumptions!$BC$105:$BC$128,'non-road'!$D21)/SUMIF(Assumptions!$BB$105:$BB$128,'non-road'!$F21,Assumptions!BE$105:BE$128)</f>
        <v>1</v>
      </c>
      <c r="I21" s="39">
        <f>SUMIFS(Assumptions!BF$105:BF$128,Assumptions!$BB$105:$BB$128,'non-road'!$F21,Assumptions!$BC$105:$BC$128,'non-road'!$D21)/SUMIF(Assumptions!$BB$105:$BB$128,'non-road'!$F21,Assumptions!BF$105:BF$128)</f>
        <v>1</v>
      </c>
      <c r="J21" s="39">
        <f>SUMIFS(Assumptions!BG$105:BG$128,Assumptions!$BB$105:$BB$128,'non-road'!$F21,Assumptions!$BC$105:$BC$128,'non-road'!$D21)/SUMIF(Assumptions!$BB$105:$BB$128,'non-road'!$F21,Assumptions!BG$105:BG$128)</f>
        <v>1</v>
      </c>
      <c r="K21" s="39">
        <f>SUMIFS(Assumptions!BH$105:BH$128,Assumptions!$BB$105:$BB$128,'non-road'!$F21,Assumptions!$BC$105:$BC$128,'non-road'!$D21)/SUMIF(Assumptions!$BB$105:$BB$128,'non-road'!$F21,Assumptions!BH$105:BH$128)</f>
        <v>1</v>
      </c>
      <c r="L21" s="39">
        <f>SUMIFS(Assumptions!BI$105:BI$128,Assumptions!$BB$105:$BB$128,'non-road'!$F21,Assumptions!$BC$105:$BC$128,'non-road'!$D21)/SUMIF(Assumptions!$BB$105:$BB$128,'non-road'!$F21,Assumptions!BI$105:BI$128)</f>
        <v>1</v>
      </c>
      <c r="M21" s="39">
        <f>SUMIFS(Assumptions!BJ$105:BJ$128,Assumptions!$BB$105:$BB$128,'non-road'!$F21,Assumptions!$BC$105:$BC$128,'non-road'!$D21)/SUMIF(Assumptions!$BB$105:$BB$128,'non-road'!$F21,Assumptions!BJ$105:BJ$128)</f>
        <v>1</v>
      </c>
      <c r="N21" s="39">
        <f>SUMIFS(Assumptions!BK$105:BK$128,Assumptions!$BB$105:$BB$128,'non-road'!$F21,Assumptions!$BC$105:$BC$128,'non-road'!$D21)/SUMIF(Assumptions!$BB$105:$BB$128,'non-road'!$F21,Assumptions!BK$105:BK$128)</f>
        <v>1</v>
      </c>
      <c r="O21" s="39">
        <f>SUMIFS(Assumptions!BL$105:BL$128,Assumptions!$BB$105:$BB$128,'non-road'!$F21,Assumptions!$BC$105:$BC$128,'non-road'!$D21)/SUMIF(Assumptions!$BB$105:$BB$128,'non-road'!$F21,Assumptions!BL$105:BL$128)</f>
        <v>1</v>
      </c>
      <c r="P21" s="39">
        <f>SUMIFS(Assumptions!BM$105:BM$128,Assumptions!$BB$105:$BB$128,'non-road'!$F21,Assumptions!$BC$105:$BC$128,'non-road'!$D21)/SUMIF(Assumptions!$BB$105:$BB$128,'non-road'!$F21,Assumptions!BM$105:BM$128)</f>
        <v>1</v>
      </c>
      <c r="Q21" s="39">
        <f>SUMIFS(Assumptions!BN$105:BN$128,Assumptions!$BB$105:$BB$128,'non-road'!$F21,Assumptions!$BC$105:$BC$128,'non-road'!$D21)/SUMIF(Assumptions!$BB$105:$BB$128,'non-road'!$F21,Assumptions!BN$105:BN$128)</f>
        <v>1</v>
      </c>
      <c r="R21" s="39">
        <f>SUMIFS(Assumptions!BO$105:BO$128,Assumptions!$BB$105:$BB$128,'non-road'!$F21,Assumptions!$BC$105:$BC$128,'non-road'!$D21)/SUMIF(Assumptions!$BB$105:$BB$128,'non-road'!$F21,Assumptions!BO$105:BO$128)</f>
        <v>1</v>
      </c>
      <c r="S21" s="39">
        <f>SUMIFS(Assumptions!BP$105:BP$128,Assumptions!$BB$105:$BB$128,'non-road'!$F21,Assumptions!$BC$105:$BC$128,'non-road'!$D21)/SUMIF(Assumptions!$BB$105:$BB$128,'non-road'!$F21,Assumptions!BP$105:BP$128)</f>
        <v>1</v>
      </c>
      <c r="T21" s="39">
        <f>SUMIFS(Assumptions!BQ$105:BQ$128,Assumptions!$BB$105:$BB$128,'non-road'!$F21,Assumptions!$BC$105:$BC$128,'non-road'!$D21)/SUMIF(Assumptions!$BB$105:$BB$128,'non-road'!$F21,Assumptions!BQ$105:BQ$128)</f>
        <v>1</v>
      </c>
      <c r="U21" s="39">
        <f>SUMIFS(Assumptions!BR$105:BR$128,Assumptions!$BB$105:$BB$128,'non-road'!$F21,Assumptions!$BC$105:$BC$128,'non-road'!$D21)/SUMIF(Assumptions!$BB$105:$BB$128,'non-road'!$F21,Assumptions!BR$105:BR$128)</f>
        <v>1</v>
      </c>
      <c r="V21" s="39">
        <f>SUMIFS(Assumptions!BS$105:BS$128,Assumptions!$BB$105:$BB$128,'non-road'!$F21,Assumptions!$BC$105:$BC$128,'non-road'!$D21)/SUMIF(Assumptions!$BB$105:$BB$128,'non-road'!$F21,Assumptions!BS$105:BS$128)</f>
        <v>1</v>
      </c>
      <c r="W21" s="39">
        <f>SUMIFS(Assumptions!BT$105:BT$128,Assumptions!$BB$105:$BB$128,'non-road'!$F21,Assumptions!$BC$105:$BC$128,'non-road'!$D21)/SUMIF(Assumptions!$BB$105:$BB$128,'non-road'!$F21,Assumptions!BT$105:BT$128)</f>
        <v>1</v>
      </c>
      <c r="X21" s="39">
        <f>SUMIFS(Assumptions!BU$105:BU$128,Assumptions!$BB$105:$BB$128,'non-road'!$F21,Assumptions!$BC$105:$BC$128,'non-road'!$D21)/SUMIF(Assumptions!$BB$105:$BB$128,'non-road'!$F21,Assumptions!BU$105:BU$128)</f>
        <v>1</v>
      </c>
      <c r="Y21" s="39">
        <f>SUMIFS(Assumptions!BV$105:BV$128,Assumptions!$BB$105:$BB$128,'non-road'!$F21,Assumptions!$BC$105:$BC$128,'non-road'!$D21)/SUMIF(Assumptions!$BB$105:$BB$128,'non-road'!$F21,Assumptions!BV$105:BV$128)</f>
        <v>1</v>
      </c>
      <c r="Z21" s="39">
        <f>SUMIFS(Assumptions!BW$105:BW$128,Assumptions!$BB$105:$BB$128,'non-road'!$F21,Assumptions!$BC$105:$BC$128,'non-road'!$D21)/SUMIF(Assumptions!$BB$105:$BB$128,'non-road'!$F21,Assumptions!BW$105:BW$128)</f>
        <v>1</v>
      </c>
      <c r="AA21" s="39">
        <f>SUMIFS(Assumptions!BX$105:BX$128,Assumptions!$BB$105:$BB$128,'non-road'!$F21,Assumptions!$BC$105:$BC$128,'non-road'!$D21)/SUMIF(Assumptions!$BB$105:$BB$128,'non-road'!$F21,Assumptions!BX$105:BX$128)</f>
        <v>1</v>
      </c>
      <c r="AB21" s="39">
        <f>SUMIFS(Assumptions!BY$105:BY$128,Assumptions!$BB$105:$BB$128,'non-road'!$F21,Assumptions!$BC$105:$BC$128,'non-road'!$D21)/SUMIF(Assumptions!$BB$105:$BB$128,'non-road'!$F21,Assumptions!BY$105:BY$128)</f>
        <v>1</v>
      </c>
      <c r="AC21" s="39">
        <f>SUMIFS(Assumptions!BZ$105:BZ$128,Assumptions!$BB$105:$BB$128,'non-road'!$F21,Assumptions!$BC$105:$BC$128,'non-road'!$D21)/SUMIF(Assumptions!$BB$105:$BB$128,'non-road'!$F21,Assumptions!BZ$105:BZ$128)</f>
        <v>1</v>
      </c>
      <c r="AD21" s="39">
        <f>SUMIFS(Assumptions!CA$105:CA$128,Assumptions!$BB$105:$BB$128,'non-road'!$F21,Assumptions!$BC$105:$BC$128,'non-road'!$D21)/SUMIF(Assumptions!$BB$105:$BB$128,'non-road'!$F21,Assumptions!CA$105:CA$128)</f>
        <v>1</v>
      </c>
      <c r="AE21" s="39">
        <f>SUMIFS(Assumptions!CB$105:CB$128,Assumptions!$BB$105:$BB$128,'non-road'!$F21,Assumptions!$BC$105:$BC$128,'non-road'!$D21)/SUMIF(Assumptions!$BB$105:$BB$128,'non-road'!$F21,Assumptions!CB$105:CB$128)</f>
        <v>1</v>
      </c>
      <c r="AF21" s="39">
        <f>SUMIFS(Assumptions!CC$105:CC$128,Assumptions!$BB$105:$BB$128,'non-road'!$F21,Assumptions!$BC$105:$BC$128,'non-road'!$D21)/SUMIF(Assumptions!$BB$105:$BB$128,'non-road'!$F21,Assumptions!CC$105:CC$128)</f>
        <v>1</v>
      </c>
      <c r="AG21" s="39">
        <f>SUMIFS(Assumptions!CD$105:CD$128,Assumptions!$BB$105:$BB$128,'non-road'!$F21,Assumptions!$BC$105:$BC$128,'non-road'!$D21)/SUMIF(Assumptions!$BB$105:$BB$128,'non-road'!$F21,Assumptions!CD$105:CD$128)</f>
        <v>1</v>
      </c>
      <c r="AH21" s="39">
        <f>SUMIFS(Assumptions!CE$105:CE$128,Assumptions!$BB$105:$BB$128,'non-road'!$F21,Assumptions!$BC$105:$BC$128,'non-road'!$D21)/SUMIF(Assumptions!$BB$105:$BB$128,'non-road'!$F21,Assumptions!CE$105:CE$128)</f>
        <v>1</v>
      </c>
      <c r="AI21" s="39">
        <f>SUMIFS(Assumptions!CF$105:CF$128,Assumptions!$BB$105:$BB$128,'non-road'!$F21,Assumptions!$BC$105:$BC$128,'non-road'!$D21)/SUMIF(Assumptions!$BB$105:$BB$128,'non-road'!$F21,Assumptions!CF$105:CF$128)</f>
        <v>1</v>
      </c>
      <c r="AJ21" s="39">
        <f>SUMIFS(Assumptions!CG$105:CG$128,Assumptions!$BB$105:$BB$128,'non-road'!$F21,Assumptions!$BC$105:$BC$128,'non-road'!$D21)/SUMIF(Assumptions!$BB$105:$BB$128,'non-road'!$F21,Assumptions!CG$105:CG$128)</f>
        <v>1</v>
      </c>
      <c r="AK21" s="39">
        <f>SUMIFS(Assumptions!CH$105:CH$128,Assumptions!$BB$105:$BB$128,'non-road'!$F21,Assumptions!$BC$105:$BC$128,'non-road'!$D21)/SUMIF(Assumptions!$BB$105:$BB$128,'non-road'!$F21,Assumptions!CH$105:CH$128)</f>
        <v>1</v>
      </c>
      <c r="AL21" s="39">
        <f>SUMIFS(Assumptions!CI$105:CI$128,Assumptions!$BB$105:$BB$128,'non-road'!$F21,Assumptions!$BC$105:$BC$128,'non-road'!$D21)/SUMIF(Assumptions!$BB$105:$BB$128,'non-road'!$F21,Assumptions!CI$105:CI$128)</f>
        <v>1</v>
      </c>
      <c r="AM21" s="39">
        <f>SUMIFS(Assumptions!CJ$105:CJ$128,Assumptions!$BB$105:$BB$128,'non-road'!$F21,Assumptions!$BC$105:$BC$128,'non-road'!$D21)/SUMIF(Assumptions!$BB$105:$BB$128,'non-road'!$F21,Assumptions!CJ$105:CJ$128)</f>
        <v>1</v>
      </c>
      <c r="AN21" s="39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9">
        <f>SUMIFS(Assumptions!CL$105:CL$128,Assumptions!$BB$105:$BB$128,'non-road'!$F21,Assumptions!$BC$105:$BC$128,'non-road'!$D21)/SUMIF(Assumptions!$BB$105:$BB$128,'non-road'!$F21,Assumptions!CL$105:CL$128)</f>
        <v>1</v>
      </c>
      <c r="AP21" s="39" t="e">
        <f>SUMIFS(Assumptions!CM$105:CM$128,Assumptions!$BB$105:$BB$128,'non-road'!$F21,Assumptions!$BC$105:$BC$128,'non-road'!$D21)/SUMIF(Assumptions!$BB$105:$BB$128,'non-road'!$F21,Assumptions!CM$105:CM$128)</f>
        <v>#DIV/0!</v>
      </c>
      <c r="AQ21" s="39" t="e">
        <f>SUMIFS(Assumptions!CN$105:CN$128,Assumptions!$BB$105:$BB$128,'non-road'!$F21,Assumptions!$BC$105:$BC$128,'non-road'!$D21)/SUMIF(Assumptions!$BB$105:$BB$128,'non-road'!$F21,Assumptions!CN$105:CN$128)</f>
        <v>#DIV/0!</v>
      </c>
      <c r="AR21" s="39" t="e">
        <f>SUMIFS(Assumptions!CO$105:CO$128,Assumptions!$BB$105:$BB$128,'non-road'!$F21,Assumptions!$BC$105:$BC$128,'non-road'!$D21)/SUMIF(Assumptions!$BB$105:$BB$128,'non-road'!$F21,Assumptions!CO$105:CO$128)</f>
        <v>#DIV/0!</v>
      </c>
      <c r="AS21" s="39" t="e">
        <f>SUMIFS(Assumptions!CP$105:CP$128,Assumptions!$BB$105:$BB$128,'non-road'!$F21,Assumptions!$BC$105:$BC$128,'non-road'!$D21)/SUMIF(Assumptions!$BB$105:$BB$128,'non-road'!$F21,Assumptions!CP$105:CP$128)</f>
        <v>#DIV/0!</v>
      </c>
      <c r="AT21" s="39" t="e">
        <f>SUMIFS(Assumptions!CQ$105:CQ$128,Assumptions!$BB$105:$BB$128,'non-road'!$F21,Assumptions!$BC$105:$BC$128,'non-road'!$D21)/SUMIF(Assumptions!$BB$105:$BB$128,'non-road'!$F21,Assumptions!CQ$105:CQ$128)</f>
        <v>#DIV/0!</v>
      </c>
      <c r="AU21" s="39" t="e">
        <f>SUMIFS(Assumptions!CR$105:CR$128,Assumptions!$BB$105:$BB$128,'non-road'!$F21,Assumptions!$BC$105:$BC$128,'non-road'!$D21)/SUMIF(Assumptions!$BB$105:$BB$128,'non-road'!$F21,Assumptions!CR$105:CR$128)</f>
        <v>#DIV/0!</v>
      </c>
      <c r="AV21" s="39" t="e">
        <f>SUMIFS(Assumptions!CS$105:CS$128,Assumptions!$BB$105:$BB$128,'non-road'!$F21,Assumptions!$BC$105:$BC$128,'non-road'!$D21)/SUMIF(Assumptions!$BB$105:$BB$128,'non-road'!$F21,Assumptions!CS$105:CS$128)</f>
        <v>#DIV/0!</v>
      </c>
      <c r="AW21" s="39" t="e">
        <f>SUMIFS(Assumptions!CT$105:CT$128,Assumptions!$BB$105:$BB$128,'non-road'!$F21,Assumptions!$BC$105:$BC$128,'non-road'!$D21)/SUMIF(Assumptions!$BB$105:$BB$128,'non-road'!$F21,Assumptions!CT$105:CT$128)</f>
        <v>#DIV/0!</v>
      </c>
      <c r="AX21" s="39" t="e">
        <f>SUMIFS(Assumptions!CU$105:CU$128,Assumptions!$BB$105:$BB$128,'non-road'!$F21,Assumptions!$BC$105:$BC$128,'non-road'!$D21)/SUMIF(Assumptions!$BB$105:$BB$128,'non-road'!$F21,Assumptions!CU$105:CU$128)</f>
        <v>#DIV/0!</v>
      </c>
      <c r="AY21" s="39" t="e">
        <f>SUMIFS(Assumptions!CV$105:CV$128,Assumptions!$BB$105:$BB$128,'non-road'!$F21,Assumptions!$BC$105:$BC$128,'non-road'!$D21)/SUMIF(Assumptions!$BB$105:$BB$128,'non-road'!$F21,Assumptions!CV$105:CV$128)</f>
        <v>#DIV/0!</v>
      </c>
      <c r="AZ21" s="39" t="e">
        <f>SUMIFS(Assumptions!CW$105:CW$128,Assumptions!$BB$105:$BB$128,'non-road'!$F21,Assumptions!$BC$105:$BC$128,'non-road'!$D21)/SUMIF(Assumptions!$BB$105:$BB$128,'non-road'!$F21,Assumptions!CW$105:CW$128)</f>
        <v>#DIV/0!</v>
      </c>
      <c r="BD21" s="38" t="str">
        <f t="shared" si="55"/>
        <v>\I:</v>
      </c>
      <c r="BE21" s="39">
        <f>VLOOKUP($F21,Assumptions!$E$152:$BC$157,COLUMN()-COLUMN($BC$4),FALSE)</f>
        <v>1</v>
      </c>
      <c r="BF21" s="39">
        <f>VLOOKUP($F21,Assumptions!$E$152:$BC$157,COLUMN()-COLUMN($BC$4),FALSE)</f>
        <v>1</v>
      </c>
      <c r="BG21" s="39">
        <f>VLOOKUP($F21,Assumptions!$E$152:$BC$157,COLUMN()-COLUMN($BC$4),FALSE)</f>
        <v>1</v>
      </c>
      <c r="BH21" s="39">
        <f>VLOOKUP($F21,Assumptions!$E$152:$BC$157,COLUMN()-COLUMN($BC$4),FALSE)</f>
        <v>1</v>
      </c>
      <c r="BI21" s="39">
        <f>VLOOKUP($F21,Assumptions!$E$152:$BC$157,COLUMN()-COLUMN($BC$4),FALSE)</f>
        <v>1</v>
      </c>
      <c r="BJ21" s="39">
        <f>VLOOKUP($F21,Assumptions!$E$152:$BC$157,COLUMN()-COLUMN($BC$4),FALSE)</f>
        <v>1</v>
      </c>
      <c r="BK21" s="39">
        <f>VLOOKUP($F21,Assumptions!$E$152:$BC$157,COLUMN()-COLUMN($BC$4),FALSE)</f>
        <v>1</v>
      </c>
      <c r="BL21" s="39">
        <f>VLOOKUP($F21,Assumptions!$E$152:$BC$157,COLUMN()-COLUMN($BC$4),FALSE)</f>
        <v>1</v>
      </c>
      <c r="BM21" s="39">
        <f>VLOOKUP($F21,Assumptions!$E$152:$BC$157,COLUMN()-COLUMN($BC$4),FALSE)</f>
        <v>1</v>
      </c>
      <c r="BN21" s="39">
        <f>VLOOKUP($F21,Assumptions!$E$152:$BC$157,COLUMN()-COLUMN($BC$4),FALSE)</f>
        <v>1</v>
      </c>
      <c r="BO21" s="39">
        <f>VLOOKUP($F21,Assumptions!$E$152:$BC$157,COLUMN()-COLUMN($BC$4),FALSE)</f>
        <v>1</v>
      </c>
      <c r="BP21" s="39">
        <f>VLOOKUP($F21,Assumptions!$E$152:$BC$157,COLUMN()-COLUMN($BC$4),FALSE)</f>
        <v>1</v>
      </c>
      <c r="BQ21" s="39">
        <f>VLOOKUP($F21,Assumptions!$E$152:$BC$157,COLUMN()-COLUMN($BC$4),FALSE)</f>
        <v>1</v>
      </c>
      <c r="BR21" s="39">
        <f>VLOOKUP($F21,Assumptions!$E$152:$BC$157,COLUMN()-COLUMN($BC$4),FALSE)</f>
        <v>1</v>
      </c>
      <c r="BS21" s="39">
        <f>VLOOKUP($F21,Assumptions!$E$152:$BC$157,COLUMN()-COLUMN($BC$4),FALSE)</f>
        <v>1</v>
      </c>
      <c r="BT21" s="39">
        <f>VLOOKUP($F21,Assumptions!$E$152:$BC$157,COLUMN()-COLUMN($BC$4),FALSE)</f>
        <v>1</v>
      </c>
      <c r="BU21" s="39">
        <f>VLOOKUP($F21,Assumptions!$E$152:$BC$157,COLUMN()-COLUMN($BC$4),FALSE)</f>
        <v>1</v>
      </c>
      <c r="BV21" s="39">
        <f>VLOOKUP($F21,Assumptions!$E$152:$BC$157,COLUMN()-COLUMN($BC$4),FALSE)</f>
        <v>1</v>
      </c>
      <c r="BW21" s="39">
        <f>VLOOKUP($F21,Assumptions!$E$152:$BC$157,COLUMN()-COLUMN($BC$4),FALSE)</f>
        <v>1</v>
      </c>
      <c r="BX21" s="39">
        <f>VLOOKUP($F21,Assumptions!$E$152:$BC$157,COLUMN()-COLUMN($BC$4),FALSE)</f>
        <v>1</v>
      </c>
      <c r="BY21" s="39">
        <f>VLOOKUP($F21,Assumptions!$E$152:$BC$157,COLUMN()-COLUMN($BC$4),FALSE)</f>
        <v>1</v>
      </c>
      <c r="BZ21" s="39">
        <f>VLOOKUP($F21,Assumptions!$E$152:$BC$157,COLUMN()-COLUMN($BC$4),FALSE)</f>
        <v>1</v>
      </c>
      <c r="CA21" s="39">
        <f>VLOOKUP($F21,Assumptions!$E$152:$BC$157,COLUMN()-COLUMN($BC$4),FALSE)</f>
        <v>1</v>
      </c>
      <c r="CB21" s="39">
        <f>VLOOKUP($F21,Assumptions!$E$152:$BC$157,COLUMN()-COLUMN($BC$4),FALSE)</f>
        <v>1</v>
      </c>
      <c r="CC21" s="39">
        <f>VLOOKUP($F21,Assumptions!$E$152:$BC$157,COLUMN()-COLUMN($BC$4),FALSE)</f>
        <v>1</v>
      </c>
      <c r="CD21" s="39">
        <f>VLOOKUP($F21,Assumptions!$E$152:$BC$157,COLUMN()-COLUMN($BC$4),FALSE)</f>
        <v>1</v>
      </c>
      <c r="CE21" s="39">
        <f>VLOOKUP($F21,Assumptions!$E$152:$BC$157,COLUMN()-COLUMN($BC$4),FALSE)</f>
        <v>1</v>
      </c>
      <c r="CF21" s="39">
        <f>VLOOKUP($F21,Assumptions!$E$152:$BC$157,COLUMN()-COLUMN($BC$4),FALSE)</f>
        <v>1</v>
      </c>
      <c r="CG21" s="39">
        <f>VLOOKUP($F21,Assumptions!$E$152:$BC$157,COLUMN()-COLUMN($BC$4),FALSE)</f>
        <v>1</v>
      </c>
      <c r="CH21" s="39">
        <f>VLOOKUP($F21,Assumptions!$E$152:$BC$157,COLUMN()-COLUMN($BC$4),FALSE)</f>
        <v>1</v>
      </c>
      <c r="CI21" s="39">
        <f>VLOOKUP($F21,Assumptions!$E$152:$BC$157,COLUMN()-COLUMN($BC$4),FALSE)</f>
        <v>1</v>
      </c>
      <c r="CJ21" s="39">
        <f>VLOOKUP($F21,Assumptions!$E$152:$BC$157,COLUMN()-COLUMN($BC$4),FALSE)</f>
        <v>1</v>
      </c>
      <c r="CK21" s="39">
        <f>VLOOKUP($F21,Assumptions!$E$152:$BC$157,COLUMN()-COLUMN($BC$4),FALSE)</f>
        <v>1</v>
      </c>
      <c r="CL21" s="39">
        <f>VLOOKUP($F21,Assumptions!$E$152:$BC$157,COLUMN()-COLUMN($BC$4),FALSE)</f>
        <v>1</v>
      </c>
      <c r="CM21" s="39">
        <f>VLOOKUP($F21,Assumptions!$E$152:$BC$157,COLUMN()-COLUMN($BC$4),FALSE)</f>
        <v>1</v>
      </c>
      <c r="CN21" s="39">
        <f>VLOOKUP($F21,Assumptions!$E$152:$BC$157,COLUMN()-COLUMN($BC$4),FALSE)</f>
        <v>1</v>
      </c>
      <c r="CO21" s="39">
        <f>VLOOKUP($F21,Assumptions!$E$152:$BC$157,COLUMN()-COLUMN($BC$4),FALSE)</f>
        <v>1</v>
      </c>
      <c r="CP21" s="39">
        <f>VLOOKUP($F21,Assumptions!$E$152:$BC$157,COLUMN()-COLUMN($BC$4),FALSE)</f>
        <v>1</v>
      </c>
      <c r="CQ21" s="39">
        <f>VLOOKUP($F21,Assumptions!$E$152:$BC$157,COLUMN()-COLUMN($BC$4),FALSE)</f>
        <v>1</v>
      </c>
      <c r="CR21" s="39">
        <f>VLOOKUP($F21,Assumptions!$E$152:$BC$157,COLUMN()-COLUMN($BC$4),FALSE)</f>
        <v>1</v>
      </c>
      <c r="CS21" s="39">
        <f>VLOOKUP($F21,Assumptions!$E$152:$BC$157,COLUMN()-COLUMN($BC$4),FALSE)</f>
        <v>1</v>
      </c>
      <c r="CT21" s="39">
        <f>VLOOKUP($F21,Assumptions!$E$152:$BC$157,COLUMN()-COLUMN($BC$4),FALSE)</f>
        <v>1</v>
      </c>
      <c r="CU21" s="39">
        <f>VLOOKUP($F21,Assumptions!$E$152:$BC$157,COLUMN()-COLUMN($BC$4),FALSE)</f>
        <v>1</v>
      </c>
      <c r="CV21" s="39">
        <f>VLOOKUP($F21,Assumptions!$E$152:$BC$157,COLUMN()-COLUMN($BC$4),FALSE)</f>
        <v>1</v>
      </c>
      <c r="CW21" s="39">
        <f>VLOOKUP($F21,Assumptions!$E$152:$BC$157,COLUMN()-COLUMN($BC$4),FALSE)</f>
        <v>1</v>
      </c>
      <c r="CX21" s="39">
        <f>VLOOKUP($F21,Assumptions!$E$152:$BC$157,COLUMN()-COLUMN($BC$4),FALSE)</f>
        <v>1</v>
      </c>
      <c r="CY21" s="38"/>
      <c r="CZ21" s="43">
        <f>'TRA balance'!C59</f>
        <v>2019</v>
      </c>
      <c r="DA21" s="43" t="str">
        <f>'TRA balance'!D59</f>
        <v>POP</v>
      </c>
      <c r="DB21" s="44">
        <f>'TRA balance'!E59</f>
        <v>198.38505</v>
      </c>
      <c r="DC21" s="44">
        <f>'TRA balance'!F59</f>
        <v>1039.156949</v>
      </c>
      <c r="DD21" s="44">
        <f>'TRA balance'!G59</f>
        <v>25.3657</v>
      </c>
      <c r="DE21" s="44">
        <f>'TRA balance'!H59</f>
        <v>8.87992</v>
      </c>
      <c r="DF21" s="44">
        <f>'TRA balance'!I59</f>
        <v>6.03486</v>
      </c>
      <c r="DG21" s="44">
        <f>'TRA balance'!J59</f>
        <v>29.453901</v>
      </c>
      <c r="DH21" s="44">
        <f>'TRA balance'!K59</f>
        <v>211.05</v>
      </c>
      <c r="DI21" s="44">
        <f>'TRA balance'!L59</f>
        <v>1397.72</v>
      </c>
      <c r="DJ21" s="44">
        <f>'TRA balance'!M59</f>
        <v>6.15364</v>
      </c>
      <c r="DK21" s="44">
        <f>'TRA balance'!N59</f>
        <v>16.12605</v>
      </c>
      <c r="DL21" s="44">
        <f>'TRA balance'!O59</f>
        <v>67.2489</v>
      </c>
      <c r="DM21" s="44">
        <f>'TRA balance'!P59</f>
        <v>83.093</v>
      </c>
      <c r="DN21" s="44">
        <f>'TRA balance'!Q59</f>
        <v>11.92017</v>
      </c>
      <c r="DO21" s="44">
        <f>'TRA balance'!R59</f>
        <v>36.1185</v>
      </c>
      <c r="DP21" s="44">
        <f>'TRA balance'!S59</f>
        <v>0.360563</v>
      </c>
      <c r="DQ21" s="44">
        <f>'TRA balance'!T59</f>
        <v>1366.42</v>
      </c>
      <c r="DR21" s="44">
        <f>'TRA balance'!U59</f>
        <v>4.93434</v>
      </c>
      <c r="DS21" s="44">
        <f>'TRA balance'!V59</f>
        <v>60.233162</v>
      </c>
      <c r="DT21" s="44">
        <f>'TRA balance'!W59</f>
        <v>126.265</v>
      </c>
      <c r="DU21" s="44">
        <f>'TRA balance'!X59</f>
        <v>308.82149155</v>
      </c>
      <c r="DV21" s="44">
        <f>'TRA balance'!Y59</f>
        <v>222.57825</v>
      </c>
      <c r="DW21" s="44">
        <f>'TRA balance'!Z59</f>
        <v>493.4994</v>
      </c>
      <c r="DX21" s="44">
        <f>'TRA balance'!AA59</f>
        <v>5.3479</v>
      </c>
      <c r="DY21" s="44">
        <f>'TRA balance'!AB59</f>
        <v>37.9655</v>
      </c>
      <c r="DZ21" s="44">
        <f>'TRA balance'!AC59</f>
        <v>1349.4624115</v>
      </c>
      <c r="EA21" s="44">
        <f>'TRA balance'!AD59</f>
        <v>153.82385</v>
      </c>
      <c r="EB21" s="44">
        <f>'TRA balance'!AE59</f>
        <v>34.2685</v>
      </c>
      <c r="EC21" s="44">
        <f>'TRA balance'!AF59</f>
        <v>58.5583</v>
      </c>
      <c r="ED21" s="44">
        <f>'TRA balance'!AG59</f>
        <v>57.4198</v>
      </c>
      <c r="EE21" s="44">
        <f>'TRA balance'!AH59</f>
        <v>21.61493</v>
      </c>
      <c r="EF21" s="44">
        <f>'TRA balance'!AI59</f>
        <v>8.57528</v>
      </c>
      <c r="EG21" s="44">
        <f>'TRA balance'!AJ59</f>
        <v>83.4296</v>
      </c>
      <c r="EH21" s="44">
        <f>'TRA balance'!AK59</f>
        <v>66.8363</v>
      </c>
      <c r="EI21" s="44">
        <f>'TRA balance'!AL59</f>
        <v>47.04945</v>
      </c>
      <c r="EJ21" s="44">
        <f>'TRA balance'!AM59</f>
        <v>15.805908</v>
      </c>
      <c r="EK21" s="44">
        <f>'TRA balance'!AN59</f>
        <v>10.2863</v>
      </c>
      <c r="EL21" s="44">
        <f>'TRA balance'!AO59</f>
        <v>19.3716</v>
      </c>
      <c r="EM21" s="44">
        <f>'TRA balance'!AP59</f>
        <v>4241.80896233</v>
      </c>
      <c r="EN21" s="44">
        <f>'TRA balance'!AQ59</f>
        <v>153.82385</v>
      </c>
      <c r="EO21" s="44">
        <f>'TRA balance'!AR59</f>
        <v>6.94523</v>
      </c>
      <c r="EP21" s="44">
        <f>'TRA balance'!AS59</f>
        <v>5.45415</v>
      </c>
      <c r="EQ21" s="44">
        <f>'TRA balance'!AT59</f>
        <v>2.08839</v>
      </c>
      <c r="ER21" s="44">
        <f>'TRA balance'!AU59</f>
        <v>10.2789</v>
      </c>
      <c r="ES21" s="44">
        <f>'TRA balance'!AV59</f>
        <v>83.4296</v>
      </c>
      <c r="ET21" s="44">
        <f>'TRA balance'!AW59</f>
        <v>47.04945</v>
      </c>
      <c r="EU21" s="44" t="str">
        <f>'TRA balance'!AX59</f>
        <v>NULL</v>
      </c>
      <c r="EV21" s="38"/>
      <c r="EW21" s="38" t="str">
        <f t="shared" si="48"/>
        <v>DMD</v>
      </c>
      <c r="EX21" s="38" t="str">
        <f t="shared" si="68"/>
        <v>TAD_Generic</v>
      </c>
      <c r="EY21" s="38" t="s">
        <v>449</v>
      </c>
      <c r="EZ21" s="38" t="s">
        <v>85</v>
      </c>
      <c r="FA21" s="38" t="s">
        <v>440</v>
      </c>
    </row>
    <row r="22" ht="15.25" spans="1:157">
      <c r="C22" s="38" t="str">
        <f t="shared" si="54"/>
        <v>TAD_Generic</v>
      </c>
      <c r="D22" s="38" t="s">
        <v>66</v>
      </c>
      <c r="E22" s="38"/>
      <c r="F22" s="38" t="s">
        <v>62</v>
      </c>
      <c r="G22" s="39">
        <f>SUMIFS(Assumptions!BD$105:BD$128,Assumptions!$BB$105:$BB$128,'non-road'!$F22,Assumptions!$BC$105:$BC$128,'non-road'!$D22)/SUMIF(Assumptions!$BB$105:$BB$128,'non-road'!$F22,Assumptions!BD$105:BD$128)</f>
        <v>0</v>
      </c>
      <c r="H22" s="39">
        <f>SUMIFS(Assumptions!BE$105:BE$128,Assumptions!$BB$105:$BB$128,'non-road'!$F22,Assumptions!$BC$105:$BC$128,'non-road'!$D22)/SUMIF(Assumptions!$BB$105:$BB$128,'non-road'!$F22,Assumptions!BE$105:BE$128)</f>
        <v>0</v>
      </c>
      <c r="I22" s="39">
        <f>SUMIFS(Assumptions!BF$105:BF$128,Assumptions!$BB$105:$BB$128,'non-road'!$F22,Assumptions!$BC$105:$BC$128,'non-road'!$D22)/SUMIF(Assumptions!$BB$105:$BB$128,'non-road'!$F22,Assumptions!BF$105:BF$128)</f>
        <v>0</v>
      </c>
      <c r="J22" s="39">
        <f>SUMIFS(Assumptions!BG$105:BG$128,Assumptions!$BB$105:$BB$128,'non-road'!$F22,Assumptions!$BC$105:$BC$128,'non-road'!$D22)/SUMIF(Assumptions!$BB$105:$BB$128,'non-road'!$F22,Assumptions!BG$105:BG$128)</f>
        <v>0</v>
      </c>
      <c r="K22" s="39">
        <f>SUMIFS(Assumptions!BH$105:BH$128,Assumptions!$BB$105:$BB$128,'non-road'!$F22,Assumptions!$BC$105:$BC$128,'non-road'!$D22)/SUMIF(Assumptions!$BB$105:$BB$128,'non-road'!$F22,Assumptions!BH$105:BH$128)</f>
        <v>0</v>
      </c>
      <c r="L22" s="39">
        <f>SUMIFS(Assumptions!BI$105:BI$128,Assumptions!$BB$105:$BB$128,'non-road'!$F22,Assumptions!$BC$105:$BC$128,'non-road'!$D22)/SUMIF(Assumptions!$BB$105:$BB$128,'non-road'!$F22,Assumptions!BI$105:BI$128)</f>
        <v>0</v>
      </c>
      <c r="M22" s="39">
        <f>SUMIFS(Assumptions!BJ$105:BJ$128,Assumptions!$BB$105:$BB$128,'non-road'!$F22,Assumptions!$BC$105:$BC$128,'non-road'!$D22)/SUMIF(Assumptions!$BB$105:$BB$128,'non-road'!$F22,Assumptions!BJ$105:BJ$128)</f>
        <v>0</v>
      </c>
      <c r="N22" s="39">
        <f>SUMIFS(Assumptions!BK$105:BK$128,Assumptions!$BB$105:$BB$128,'non-road'!$F22,Assumptions!$BC$105:$BC$128,'non-road'!$D22)/SUMIF(Assumptions!$BB$105:$BB$128,'non-road'!$F22,Assumptions!BK$105:BK$128)</f>
        <v>0</v>
      </c>
      <c r="O22" s="39">
        <f>SUMIFS(Assumptions!BL$105:BL$128,Assumptions!$BB$105:$BB$128,'non-road'!$F22,Assumptions!$BC$105:$BC$128,'non-road'!$D22)/SUMIF(Assumptions!$BB$105:$BB$128,'non-road'!$F22,Assumptions!BL$105:BL$128)</f>
        <v>0</v>
      </c>
      <c r="P22" s="39">
        <f>SUMIFS(Assumptions!BM$105:BM$128,Assumptions!$BB$105:$BB$128,'non-road'!$F22,Assumptions!$BC$105:$BC$128,'non-road'!$D22)/SUMIF(Assumptions!$BB$105:$BB$128,'non-road'!$F22,Assumptions!BM$105:BM$128)</f>
        <v>0</v>
      </c>
      <c r="Q22" s="39">
        <f>SUMIFS(Assumptions!BN$105:BN$128,Assumptions!$BB$105:$BB$128,'non-road'!$F22,Assumptions!$BC$105:$BC$128,'non-road'!$D22)/SUMIF(Assumptions!$BB$105:$BB$128,'non-road'!$F22,Assumptions!BN$105:BN$128)</f>
        <v>0</v>
      </c>
      <c r="R22" s="39">
        <f>SUMIFS(Assumptions!BO$105:BO$128,Assumptions!$BB$105:$BB$128,'non-road'!$F22,Assumptions!$BC$105:$BC$128,'non-road'!$D22)/SUMIF(Assumptions!$BB$105:$BB$128,'non-road'!$F22,Assumptions!BO$105:BO$128)</f>
        <v>0</v>
      </c>
      <c r="S22" s="39">
        <f>SUMIFS(Assumptions!BP$105:BP$128,Assumptions!$BB$105:$BB$128,'non-road'!$F22,Assumptions!$BC$105:$BC$128,'non-road'!$D22)/SUMIF(Assumptions!$BB$105:$BB$128,'non-road'!$F22,Assumptions!BP$105:BP$128)</f>
        <v>0</v>
      </c>
      <c r="T22" s="39">
        <f>SUMIFS(Assumptions!BQ$105:BQ$128,Assumptions!$BB$105:$BB$128,'non-road'!$F22,Assumptions!$BC$105:$BC$128,'non-road'!$D22)/SUMIF(Assumptions!$BB$105:$BB$128,'non-road'!$F22,Assumptions!BQ$105:BQ$128)</f>
        <v>0</v>
      </c>
      <c r="U22" s="39">
        <f>SUMIFS(Assumptions!BR$105:BR$128,Assumptions!$BB$105:$BB$128,'non-road'!$F22,Assumptions!$BC$105:$BC$128,'non-road'!$D22)/SUMIF(Assumptions!$BB$105:$BB$128,'non-road'!$F22,Assumptions!BR$105:BR$128)</f>
        <v>0</v>
      </c>
      <c r="V22" s="39">
        <f>SUMIFS(Assumptions!BS$105:BS$128,Assumptions!$BB$105:$BB$128,'non-road'!$F22,Assumptions!$BC$105:$BC$128,'non-road'!$D22)/SUMIF(Assumptions!$BB$105:$BB$128,'non-road'!$F22,Assumptions!BS$105:BS$128)</f>
        <v>0</v>
      </c>
      <c r="W22" s="39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9">
        <f>SUMIFS(Assumptions!BU$105:BU$128,Assumptions!$BB$105:$BB$128,'non-road'!$F22,Assumptions!$BC$105:$BC$128,'non-road'!$D22)/SUMIF(Assumptions!$BB$105:$BB$128,'non-road'!$F22,Assumptions!BU$105:BU$128)</f>
        <v>0</v>
      </c>
      <c r="Y22" s="39">
        <f>SUMIFS(Assumptions!BV$105:BV$128,Assumptions!$BB$105:$BB$128,'non-road'!$F22,Assumptions!$BC$105:$BC$128,'non-road'!$D22)/SUMIF(Assumptions!$BB$105:$BB$128,'non-road'!$F22,Assumptions!BV$105:BV$128)</f>
        <v>0</v>
      </c>
      <c r="Z22" s="39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9">
        <f>SUMIFS(Assumptions!BX$105:BX$128,Assumptions!$BB$105:$BB$128,'non-road'!$F22,Assumptions!$BC$105:$BC$128,'non-road'!$D22)/SUMIF(Assumptions!$BB$105:$BB$128,'non-road'!$F22,Assumptions!BX$105:BX$128)</f>
        <v>0</v>
      </c>
      <c r="AB22" s="39">
        <f>SUMIFS(Assumptions!BY$105:BY$128,Assumptions!$BB$105:$BB$128,'non-road'!$F22,Assumptions!$BC$105:$BC$128,'non-road'!$D22)/SUMIF(Assumptions!$BB$105:$BB$128,'non-road'!$F22,Assumptions!BY$105:BY$128)</f>
        <v>0</v>
      </c>
      <c r="AC22" s="39">
        <f>SUMIFS(Assumptions!BZ$105:BZ$128,Assumptions!$BB$105:$BB$128,'non-road'!$F22,Assumptions!$BC$105:$BC$128,'non-road'!$D22)/SUMIF(Assumptions!$BB$105:$BB$128,'non-road'!$F22,Assumptions!BZ$105:BZ$128)</f>
        <v>0</v>
      </c>
      <c r="AD22" s="39">
        <f>SUMIFS(Assumptions!CA$105:CA$128,Assumptions!$BB$105:$BB$128,'non-road'!$F22,Assumptions!$BC$105:$BC$128,'non-road'!$D22)/SUMIF(Assumptions!$BB$105:$BB$128,'non-road'!$F22,Assumptions!CA$105:CA$128)</f>
        <v>0</v>
      </c>
      <c r="AE22" s="39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9">
        <f>SUMIFS(Assumptions!CC$105:CC$128,Assumptions!$BB$105:$BB$128,'non-road'!$F22,Assumptions!$BC$105:$BC$128,'non-road'!$D22)/SUMIF(Assumptions!$BB$105:$BB$128,'non-road'!$F22,Assumptions!CC$105:CC$128)</f>
        <v>0</v>
      </c>
      <c r="AG22" s="39">
        <f>SUMIFS(Assumptions!CD$105:CD$128,Assumptions!$BB$105:$BB$128,'non-road'!$F22,Assumptions!$BC$105:$BC$128,'non-road'!$D22)/SUMIF(Assumptions!$BB$105:$BB$128,'non-road'!$F22,Assumptions!CD$105:CD$128)</f>
        <v>0</v>
      </c>
      <c r="AH22" s="39">
        <f>SUMIFS(Assumptions!CE$105:CE$128,Assumptions!$BB$105:$BB$128,'non-road'!$F22,Assumptions!$BC$105:$BC$128,'non-road'!$D22)/SUMIF(Assumptions!$BB$105:$BB$128,'non-road'!$F22,Assumptions!CE$105:CE$128)</f>
        <v>0</v>
      </c>
      <c r="AI22" s="39">
        <f>SUMIFS(Assumptions!CF$105:CF$128,Assumptions!$BB$105:$BB$128,'non-road'!$F22,Assumptions!$BC$105:$BC$128,'non-road'!$D22)/SUMIF(Assumptions!$BB$105:$BB$128,'non-road'!$F22,Assumptions!CF$105:CF$128)</f>
        <v>0</v>
      </c>
      <c r="AJ22" s="39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9">
        <f>SUMIFS(Assumptions!CH$105:CH$128,Assumptions!$BB$105:$BB$128,'non-road'!$F22,Assumptions!$BC$105:$BC$128,'non-road'!$D22)/SUMIF(Assumptions!$BB$105:$BB$128,'non-road'!$F22,Assumptions!CH$105:CH$128)</f>
        <v>0</v>
      </c>
      <c r="AL22" s="39">
        <f>SUMIFS(Assumptions!CI$105:CI$128,Assumptions!$BB$105:$BB$128,'non-road'!$F22,Assumptions!$BC$105:$BC$128,'non-road'!$D22)/SUMIF(Assumptions!$BB$105:$BB$128,'non-road'!$F22,Assumptions!CI$105:CI$128)</f>
        <v>0</v>
      </c>
      <c r="AM22" s="39">
        <f>SUMIFS(Assumptions!CJ$105:CJ$128,Assumptions!$BB$105:$BB$128,'non-road'!$F22,Assumptions!$BC$105:$BC$128,'non-road'!$D22)/SUMIF(Assumptions!$BB$105:$BB$128,'non-road'!$F22,Assumptions!CJ$105:CJ$128)</f>
        <v>0</v>
      </c>
      <c r="AN22" s="39">
        <f>SUMIFS(Assumptions!CK$105:CK$128,Assumptions!$BB$105:$BB$128,'non-road'!$F22,Assumptions!$BC$105:$BC$128,'non-road'!$D22)/SUMIF(Assumptions!$BB$105:$BB$128,'non-road'!$F22,Assumptions!CK$105:CK$128)</f>
        <v>0</v>
      </c>
      <c r="AO22" s="39" t="e">
        <f>SUMIFS(Assumptions!CL$105:CL$128,Assumptions!$BB$105:$BB$128,'non-road'!$F22,Assumptions!$BC$105:$BC$128,'non-road'!$D22)/SUMIF(Assumptions!$BB$105:$BB$128,'non-road'!$F22,Assumptions!CL$105:CL$128)</f>
        <v>#DIV/0!</v>
      </c>
      <c r="AP22" s="39" t="e">
        <f>SUMIFS(Assumptions!CM$105:CM$128,Assumptions!$BB$105:$BB$128,'non-road'!$F22,Assumptions!$BC$105:$BC$128,'non-road'!$D22)/SUMIF(Assumptions!$BB$105:$BB$128,'non-road'!$F22,Assumptions!CM$105:CM$128)</f>
        <v>#DIV/0!</v>
      </c>
      <c r="AQ22" s="39" t="e">
        <f>SUMIFS(Assumptions!CN$105:CN$128,Assumptions!$BB$105:$BB$128,'non-road'!$F22,Assumptions!$BC$105:$BC$128,'non-road'!$D22)/SUMIF(Assumptions!$BB$105:$BB$128,'non-road'!$F22,Assumptions!CN$105:CN$128)</f>
        <v>#DIV/0!</v>
      </c>
      <c r="AR22" s="39" t="e">
        <f>SUMIFS(Assumptions!CO$105:CO$128,Assumptions!$BB$105:$BB$128,'non-road'!$F22,Assumptions!$BC$105:$BC$128,'non-road'!$D22)/SUMIF(Assumptions!$BB$105:$BB$128,'non-road'!$F22,Assumptions!CO$105:CO$128)</f>
        <v>#DIV/0!</v>
      </c>
      <c r="AS22" s="39" t="e">
        <f>SUMIFS(Assumptions!CP$105:CP$128,Assumptions!$BB$105:$BB$128,'non-road'!$F22,Assumptions!$BC$105:$BC$128,'non-road'!$D22)/SUMIF(Assumptions!$BB$105:$BB$128,'non-road'!$F22,Assumptions!CP$105:CP$128)</f>
        <v>#DIV/0!</v>
      </c>
      <c r="AT22" s="39" t="e">
        <f>SUMIFS(Assumptions!CQ$105:CQ$128,Assumptions!$BB$105:$BB$128,'non-road'!$F22,Assumptions!$BC$105:$BC$128,'non-road'!$D22)/SUMIF(Assumptions!$BB$105:$BB$128,'non-road'!$F22,Assumptions!CQ$105:CQ$128)</f>
        <v>#DIV/0!</v>
      </c>
      <c r="AU22" s="39" t="e">
        <f>SUMIFS(Assumptions!CR$105:CR$128,Assumptions!$BB$105:$BB$128,'non-road'!$F22,Assumptions!$BC$105:$BC$128,'non-road'!$D22)/SUMIF(Assumptions!$BB$105:$BB$128,'non-road'!$F22,Assumptions!CR$105:CR$128)</f>
        <v>#DIV/0!</v>
      </c>
      <c r="AV22" s="39" t="e">
        <f>SUMIFS(Assumptions!CS$105:CS$128,Assumptions!$BB$105:$BB$128,'non-road'!$F22,Assumptions!$BC$105:$BC$128,'non-road'!$D22)/SUMIF(Assumptions!$BB$105:$BB$128,'non-road'!$F22,Assumptions!CS$105:CS$128)</f>
        <v>#DIV/0!</v>
      </c>
      <c r="AW22" s="39" t="e">
        <f>SUMIFS(Assumptions!CT$105:CT$128,Assumptions!$BB$105:$BB$128,'non-road'!$F22,Assumptions!$BC$105:$BC$128,'non-road'!$D22)/SUMIF(Assumptions!$BB$105:$BB$128,'non-road'!$F22,Assumptions!CT$105:CT$128)</f>
        <v>#DIV/0!</v>
      </c>
      <c r="AX22" s="39" t="e">
        <f>SUMIFS(Assumptions!CU$105:CU$128,Assumptions!$BB$105:$BB$128,'non-road'!$F22,Assumptions!$BC$105:$BC$128,'non-road'!$D22)/SUMIF(Assumptions!$BB$105:$BB$128,'non-road'!$F22,Assumptions!CU$105:CU$128)</f>
        <v>#DIV/0!</v>
      </c>
      <c r="AY22" s="39" t="e">
        <f>SUMIFS(Assumptions!CV$105:CV$128,Assumptions!$BB$105:$BB$128,'non-road'!$F22,Assumptions!$BC$105:$BC$128,'non-road'!$D22)/SUMIF(Assumptions!$BB$105:$BB$128,'non-road'!$F22,Assumptions!CV$105:CV$128)</f>
        <v>#DIV/0!</v>
      </c>
      <c r="AZ22" s="39" t="e">
        <f>SUMIFS(Assumptions!CW$105:CW$128,Assumptions!$BB$105:$BB$128,'non-road'!$F22,Assumptions!$BC$105:$BC$128,'non-road'!$D22)/SUMIF(Assumptions!$BB$105:$BB$128,'non-road'!$F22,Assumptions!CW$105:CW$128)</f>
        <v>#DIV/0!</v>
      </c>
      <c r="BD22" s="38" t="str">
        <f t="shared" si="55"/>
        <v>TAD_Generic</v>
      </c>
      <c r="BE22" s="39">
        <f>VLOOKUP($F22,Assumptions!$E$152:$BC$157,COLUMN()-COLUMN($BC$4),FALSE)</f>
        <v>1</v>
      </c>
      <c r="BF22" s="39">
        <f>VLOOKUP($F22,Assumptions!$E$152:$BC$157,COLUMN()-COLUMN($BC$4),FALSE)</f>
        <v>1</v>
      </c>
      <c r="BG22" s="39">
        <f>VLOOKUP($F22,Assumptions!$E$152:$BC$157,COLUMN()-COLUMN($BC$4),FALSE)</f>
        <v>1</v>
      </c>
      <c r="BH22" s="39">
        <f>VLOOKUP($F22,Assumptions!$E$152:$BC$157,COLUMN()-COLUMN($BC$4),FALSE)</f>
        <v>1</v>
      </c>
      <c r="BI22" s="39">
        <f>VLOOKUP($F22,Assumptions!$E$152:$BC$157,COLUMN()-COLUMN($BC$4),FALSE)</f>
        <v>1</v>
      </c>
      <c r="BJ22" s="39">
        <f>VLOOKUP($F22,Assumptions!$E$152:$BC$157,COLUMN()-COLUMN($BC$4),FALSE)</f>
        <v>1</v>
      </c>
      <c r="BK22" s="39">
        <f>VLOOKUP($F22,Assumptions!$E$152:$BC$157,COLUMN()-COLUMN($BC$4),FALSE)</f>
        <v>1</v>
      </c>
      <c r="BL22" s="39">
        <f>VLOOKUP($F22,Assumptions!$E$152:$BC$157,COLUMN()-COLUMN($BC$4),FALSE)</f>
        <v>1</v>
      </c>
      <c r="BM22" s="39">
        <f>VLOOKUP($F22,Assumptions!$E$152:$BC$157,COLUMN()-COLUMN($BC$4),FALSE)</f>
        <v>1</v>
      </c>
      <c r="BN22" s="39">
        <f>VLOOKUP($F22,Assumptions!$E$152:$BC$157,COLUMN()-COLUMN($BC$4),FALSE)</f>
        <v>1</v>
      </c>
      <c r="BO22" s="39">
        <f>VLOOKUP($F22,Assumptions!$E$152:$BC$157,COLUMN()-COLUMN($BC$4),FALSE)</f>
        <v>1</v>
      </c>
      <c r="BP22" s="39">
        <f>VLOOKUP($F22,Assumptions!$E$152:$BC$157,COLUMN()-COLUMN($BC$4),FALSE)</f>
        <v>1</v>
      </c>
      <c r="BQ22" s="39">
        <f>VLOOKUP($F22,Assumptions!$E$152:$BC$157,COLUMN()-COLUMN($BC$4),FALSE)</f>
        <v>1</v>
      </c>
      <c r="BR22" s="39">
        <f>VLOOKUP($F22,Assumptions!$E$152:$BC$157,COLUMN()-COLUMN($BC$4),FALSE)</f>
        <v>1</v>
      </c>
      <c r="BS22" s="39">
        <f>VLOOKUP($F22,Assumptions!$E$152:$BC$157,COLUMN()-COLUMN($BC$4),FALSE)</f>
        <v>1</v>
      </c>
      <c r="BT22" s="39">
        <f>VLOOKUP($F22,Assumptions!$E$152:$BC$157,COLUMN()-COLUMN($BC$4),FALSE)</f>
        <v>1</v>
      </c>
      <c r="BU22" s="39">
        <f>VLOOKUP($F22,Assumptions!$E$152:$BC$157,COLUMN()-COLUMN($BC$4),FALSE)</f>
        <v>1</v>
      </c>
      <c r="BV22" s="39">
        <f>VLOOKUP($F22,Assumptions!$E$152:$BC$157,COLUMN()-COLUMN($BC$4),FALSE)</f>
        <v>1</v>
      </c>
      <c r="BW22" s="39">
        <f>VLOOKUP($F22,Assumptions!$E$152:$BC$157,COLUMN()-COLUMN($BC$4),FALSE)</f>
        <v>1</v>
      </c>
      <c r="BX22" s="39">
        <f>VLOOKUP($F22,Assumptions!$E$152:$BC$157,COLUMN()-COLUMN($BC$4),FALSE)</f>
        <v>1</v>
      </c>
      <c r="BY22" s="39">
        <f>VLOOKUP($F22,Assumptions!$E$152:$BC$157,COLUMN()-COLUMN($BC$4),FALSE)</f>
        <v>1</v>
      </c>
      <c r="BZ22" s="39">
        <f>VLOOKUP($F22,Assumptions!$E$152:$BC$157,COLUMN()-COLUMN($BC$4),FALSE)</f>
        <v>1</v>
      </c>
      <c r="CA22" s="39">
        <f>VLOOKUP($F22,Assumptions!$E$152:$BC$157,COLUMN()-COLUMN($BC$4),FALSE)</f>
        <v>1</v>
      </c>
      <c r="CB22" s="39">
        <f>VLOOKUP($F22,Assumptions!$E$152:$BC$157,COLUMN()-COLUMN($BC$4),FALSE)</f>
        <v>1</v>
      </c>
      <c r="CC22" s="39">
        <f>VLOOKUP($F22,Assumptions!$E$152:$BC$157,COLUMN()-COLUMN($BC$4),FALSE)</f>
        <v>1</v>
      </c>
      <c r="CD22" s="39">
        <f>VLOOKUP($F22,Assumptions!$E$152:$BC$157,COLUMN()-COLUMN($BC$4),FALSE)</f>
        <v>1</v>
      </c>
      <c r="CE22" s="39">
        <f>VLOOKUP($F22,Assumptions!$E$152:$BC$157,COLUMN()-COLUMN($BC$4),FALSE)</f>
        <v>1</v>
      </c>
      <c r="CF22" s="39">
        <f>VLOOKUP($F22,Assumptions!$E$152:$BC$157,COLUMN()-COLUMN($BC$4),FALSE)</f>
        <v>1</v>
      </c>
      <c r="CG22" s="39">
        <f>VLOOKUP($F22,Assumptions!$E$152:$BC$157,COLUMN()-COLUMN($BC$4),FALSE)</f>
        <v>1</v>
      </c>
      <c r="CH22" s="39">
        <f>VLOOKUP($F22,Assumptions!$E$152:$BC$157,COLUMN()-COLUMN($BC$4),FALSE)</f>
        <v>1</v>
      </c>
      <c r="CI22" s="39">
        <f>VLOOKUP($F22,Assumptions!$E$152:$BC$157,COLUMN()-COLUMN($BC$4),FALSE)</f>
        <v>1</v>
      </c>
      <c r="CJ22" s="39">
        <f>VLOOKUP($F22,Assumptions!$E$152:$BC$157,COLUMN()-COLUMN($BC$4),FALSE)</f>
        <v>1</v>
      </c>
      <c r="CK22" s="39">
        <f>VLOOKUP($F22,Assumptions!$E$152:$BC$157,COLUMN()-COLUMN($BC$4),FALSE)</f>
        <v>1</v>
      </c>
      <c r="CL22" s="39">
        <f>VLOOKUP($F22,Assumptions!$E$152:$BC$157,COLUMN()-COLUMN($BC$4),FALSE)</f>
        <v>1</v>
      </c>
      <c r="CM22" s="39">
        <f>VLOOKUP($F22,Assumptions!$E$152:$BC$157,COLUMN()-COLUMN($BC$4),FALSE)</f>
        <v>1</v>
      </c>
      <c r="CN22" s="39">
        <f>VLOOKUP($F22,Assumptions!$E$152:$BC$157,COLUMN()-COLUMN($BC$4),FALSE)</f>
        <v>1</v>
      </c>
      <c r="CO22" s="39">
        <f>VLOOKUP($F22,Assumptions!$E$152:$BC$157,COLUMN()-COLUMN($BC$4),FALSE)</f>
        <v>1</v>
      </c>
      <c r="CP22" s="39">
        <f>VLOOKUP($F22,Assumptions!$E$152:$BC$157,COLUMN()-COLUMN($BC$4),FALSE)</f>
        <v>1</v>
      </c>
      <c r="CQ22" s="39">
        <f>VLOOKUP($F22,Assumptions!$E$152:$BC$157,COLUMN()-COLUMN($BC$4),FALSE)</f>
        <v>1</v>
      </c>
      <c r="CR22" s="39">
        <f>VLOOKUP($F22,Assumptions!$E$152:$BC$157,COLUMN()-COLUMN($BC$4),FALSE)</f>
        <v>1</v>
      </c>
      <c r="CS22" s="39">
        <f>VLOOKUP($F22,Assumptions!$E$152:$BC$157,COLUMN()-COLUMN($BC$4),FALSE)</f>
        <v>1</v>
      </c>
      <c r="CT22" s="39">
        <f>VLOOKUP($F22,Assumptions!$E$152:$BC$157,COLUMN()-COLUMN($BC$4),FALSE)</f>
        <v>1</v>
      </c>
      <c r="CU22" s="39">
        <f>VLOOKUP($F22,Assumptions!$E$152:$BC$157,COLUMN()-COLUMN($BC$4),FALSE)</f>
        <v>1</v>
      </c>
      <c r="CV22" s="39">
        <f>VLOOKUP($F22,Assumptions!$E$152:$BC$157,COLUMN()-COLUMN($BC$4),FALSE)</f>
        <v>1</v>
      </c>
      <c r="CW22" s="39">
        <f>VLOOKUP($F22,Assumptions!$E$152:$BC$157,COLUMN()-COLUMN($BC$4),FALSE)</f>
        <v>1</v>
      </c>
      <c r="CX22" s="39">
        <f>VLOOKUP($F22,Assumptions!$E$152:$BC$157,COLUMN()-COLUMN($BC$4),FALSE)</f>
        <v>1</v>
      </c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 t="str">
        <f t="shared" si="48"/>
        <v>\I:</v>
      </c>
      <c r="EX22" s="38" t="str">
        <f t="shared" si="68"/>
        <v/>
      </c>
      <c r="EY22" s="38" t="s">
        <v>133</v>
      </c>
      <c r="EZ22" s="38" t="s">
        <v>85</v>
      </c>
      <c r="FA22" s="38" t="s">
        <v>440</v>
      </c>
    </row>
    <row r="23" spans="1:157">
      <c r="C23" s="38" t="str">
        <f t="shared" si="54"/>
        <v/>
      </c>
      <c r="D23" s="38" t="s">
        <v>60</v>
      </c>
      <c r="E23" s="38"/>
      <c r="F23" s="38" t="s">
        <v>62</v>
      </c>
      <c r="G23" s="39">
        <f>SUMIFS(Assumptions!BD$105:BD$128,Assumptions!$BB$105:$BB$128,'non-road'!$F23,Assumptions!$BC$105:$BC$128,'non-road'!$D23)/SUMIF(Assumptions!$BB$105:$BB$128,'non-road'!$F23,Assumptions!BD$105:BD$128)</f>
        <v>0</v>
      </c>
      <c r="H23" s="39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9">
        <f>SUMIFS(Assumptions!BF$105:BF$128,Assumptions!$BB$105:$BB$128,'non-road'!$F23,Assumptions!$BC$105:$BC$128,'non-road'!$D23)/SUMIF(Assumptions!$BB$105:$BB$128,'non-road'!$F23,Assumptions!BF$105:BF$128)</f>
        <v>0</v>
      </c>
      <c r="J23" s="39">
        <f>SUMIFS(Assumptions!BG$105:BG$128,Assumptions!$BB$105:$BB$128,'non-road'!$F23,Assumptions!$BC$105:$BC$128,'non-road'!$D23)/SUMIF(Assumptions!$BB$105:$BB$128,'non-road'!$F23,Assumptions!BG$105:BG$128)</f>
        <v>0</v>
      </c>
      <c r="K23" s="39">
        <f>SUMIFS(Assumptions!BH$105:BH$128,Assumptions!$BB$105:$BB$128,'non-road'!$F23,Assumptions!$BC$105:$BC$128,'non-road'!$D23)/SUMIF(Assumptions!$BB$105:$BB$128,'non-road'!$F23,Assumptions!BH$105:BH$128)</f>
        <v>0</v>
      </c>
      <c r="L23" s="39">
        <f>SUMIFS(Assumptions!BI$105:BI$128,Assumptions!$BB$105:$BB$128,'non-road'!$F23,Assumptions!$BC$105:$BC$128,'non-road'!$D23)/SUMIF(Assumptions!$BB$105:$BB$128,'non-road'!$F23,Assumptions!BI$105:BI$128)</f>
        <v>0</v>
      </c>
      <c r="M23" s="39">
        <f>SUMIFS(Assumptions!BJ$105:BJ$128,Assumptions!$BB$105:$BB$128,'non-road'!$F23,Assumptions!$BC$105:$BC$128,'non-road'!$D23)/SUMIF(Assumptions!$BB$105:$BB$128,'non-road'!$F23,Assumptions!BJ$105:BJ$128)</f>
        <v>0</v>
      </c>
      <c r="N23" s="39">
        <f>SUMIFS(Assumptions!BK$105:BK$128,Assumptions!$BB$105:$BB$128,'non-road'!$F23,Assumptions!$BC$105:$BC$128,'non-road'!$D23)/SUMIF(Assumptions!$BB$105:$BB$128,'non-road'!$F23,Assumptions!BK$105:BK$128)</f>
        <v>0</v>
      </c>
      <c r="O23" s="39">
        <f>SUMIFS(Assumptions!BL$105:BL$128,Assumptions!$BB$105:$BB$128,'non-road'!$F23,Assumptions!$BC$105:$BC$128,'non-road'!$D23)/SUMIF(Assumptions!$BB$105:$BB$128,'non-road'!$F23,Assumptions!BL$105:BL$128)</f>
        <v>0</v>
      </c>
      <c r="P23" s="39">
        <f>SUMIFS(Assumptions!BM$105:BM$128,Assumptions!$BB$105:$BB$128,'non-road'!$F23,Assumptions!$BC$105:$BC$128,'non-road'!$D23)/SUMIF(Assumptions!$BB$105:$BB$128,'non-road'!$F23,Assumptions!BM$105:BM$128)</f>
        <v>0</v>
      </c>
      <c r="Q23" s="39">
        <f>SUMIFS(Assumptions!BN$105:BN$128,Assumptions!$BB$105:$BB$128,'non-road'!$F23,Assumptions!$BC$105:$BC$128,'non-road'!$D23)/SUMIF(Assumptions!$BB$105:$BB$128,'non-road'!$F23,Assumptions!BN$105:BN$128)</f>
        <v>0</v>
      </c>
      <c r="R23" s="39">
        <f>SUMIFS(Assumptions!BO$105:BO$128,Assumptions!$BB$105:$BB$128,'non-road'!$F23,Assumptions!$BC$105:$BC$128,'non-road'!$D23)/SUMIF(Assumptions!$BB$105:$BB$128,'non-road'!$F23,Assumptions!BO$105:BO$128)</f>
        <v>0</v>
      </c>
      <c r="S23" s="39">
        <f>SUMIFS(Assumptions!BP$105:BP$128,Assumptions!$BB$105:$BB$128,'non-road'!$F23,Assumptions!$BC$105:$BC$128,'non-road'!$D23)/SUMIF(Assumptions!$BB$105:$BB$128,'non-road'!$F23,Assumptions!BP$105:BP$128)</f>
        <v>0</v>
      </c>
      <c r="T23" s="39">
        <f>SUMIFS(Assumptions!BQ$105:BQ$128,Assumptions!$BB$105:$BB$128,'non-road'!$F23,Assumptions!$BC$105:$BC$128,'non-road'!$D23)/SUMIF(Assumptions!$BB$105:$BB$128,'non-road'!$F23,Assumptions!BQ$105:BQ$128)</f>
        <v>0</v>
      </c>
      <c r="U23" s="39">
        <f>SUMIFS(Assumptions!BR$105:BR$128,Assumptions!$BB$105:$BB$128,'non-road'!$F23,Assumptions!$BC$105:$BC$128,'non-road'!$D23)/SUMIF(Assumptions!$BB$105:$BB$128,'non-road'!$F23,Assumptions!BR$105:BR$128)</f>
        <v>0</v>
      </c>
      <c r="V23" s="39">
        <f>SUMIFS(Assumptions!BS$105:BS$128,Assumptions!$BB$105:$BB$128,'non-road'!$F23,Assumptions!$BC$105:$BC$128,'non-road'!$D23)/SUMIF(Assumptions!$BB$105:$BB$128,'non-road'!$F23,Assumptions!BS$105:BS$128)</f>
        <v>0</v>
      </c>
      <c r="W23" s="39">
        <f>SUMIFS(Assumptions!BT$105:BT$128,Assumptions!$BB$105:$BB$128,'non-road'!$F23,Assumptions!$BC$105:$BC$128,'non-road'!$D23)/SUMIF(Assumptions!$BB$105:$BB$128,'non-road'!$F23,Assumptions!BT$105:BT$128)</f>
        <v>0</v>
      </c>
      <c r="X23" s="39">
        <f>SUMIFS(Assumptions!BU$105:BU$128,Assumptions!$BB$105:$BB$128,'non-road'!$F23,Assumptions!$BC$105:$BC$128,'non-road'!$D23)/SUMIF(Assumptions!$BB$105:$BB$128,'non-road'!$F23,Assumptions!BU$105:BU$128)</f>
        <v>0</v>
      </c>
      <c r="Y23" s="39">
        <f>SUMIFS(Assumptions!BV$105:BV$128,Assumptions!$BB$105:$BB$128,'non-road'!$F23,Assumptions!$BC$105:$BC$128,'non-road'!$D23)/SUMIF(Assumptions!$BB$105:$BB$128,'non-road'!$F23,Assumptions!BV$105:BV$128)</f>
        <v>0</v>
      </c>
      <c r="Z23" s="39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9">
        <f>SUMIFS(Assumptions!BX$105:BX$128,Assumptions!$BB$105:$BB$128,'non-road'!$F23,Assumptions!$BC$105:$BC$128,'non-road'!$D23)/SUMIF(Assumptions!$BB$105:$BB$128,'non-road'!$F23,Assumptions!BX$105:BX$128)</f>
        <v>0</v>
      </c>
      <c r="AB23" s="39">
        <f>SUMIFS(Assumptions!BY$105:BY$128,Assumptions!$BB$105:$BB$128,'non-road'!$F23,Assumptions!$BC$105:$BC$128,'non-road'!$D23)/SUMIF(Assumptions!$BB$105:$BB$128,'non-road'!$F23,Assumptions!BY$105:BY$128)</f>
        <v>0</v>
      </c>
      <c r="AC23" s="39">
        <f>SUMIFS(Assumptions!BZ$105:BZ$128,Assumptions!$BB$105:$BB$128,'non-road'!$F23,Assumptions!$BC$105:$BC$128,'non-road'!$D23)/SUMIF(Assumptions!$BB$105:$BB$128,'non-road'!$F23,Assumptions!BZ$105:BZ$128)</f>
        <v>0</v>
      </c>
      <c r="AD23" s="39">
        <f>SUMIFS(Assumptions!CA$105:CA$128,Assumptions!$BB$105:$BB$128,'non-road'!$F23,Assumptions!$BC$105:$BC$128,'non-road'!$D23)/SUMIF(Assumptions!$BB$105:$BB$128,'non-road'!$F23,Assumptions!CA$105:CA$128)</f>
        <v>0</v>
      </c>
      <c r="AE23" s="39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9">
        <f>SUMIFS(Assumptions!CC$105:CC$128,Assumptions!$BB$105:$BB$128,'non-road'!$F23,Assumptions!$BC$105:$BC$128,'non-road'!$D23)/SUMIF(Assumptions!$BB$105:$BB$128,'non-road'!$F23,Assumptions!CC$105:CC$128)</f>
        <v>0</v>
      </c>
      <c r="AG23" s="39">
        <f>SUMIFS(Assumptions!CD$105:CD$128,Assumptions!$BB$105:$BB$128,'non-road'!$F23,Assumptions!$BC$105:$BC$128,'non-road'!$D23)/SUMIF(Assumptions!$BB$105:$BB$128,'non-road'!$F23,Assumptions!CD$105:CD$128)</f>
        <v>0</v>
      </c>
      <c r="AH23" s="39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9">
        <f>SUMIFS(Assumptions!CF$105:CF$128,Assumptions!$BB$105:$BB$128,'non-road'!$F23,Assumptions!$BC$105:$BC$128,'non-road'!$D23)/SUMIF(Assumptions!$BB$105:$BB$128,'non-road'!$F23,Assumptions!CF$105:CF$128)</f>
        <v>0</v>
      </c>
      <c r="AJ23" s="39">
        <f>SUMIFS(Assumptions!CG$105:CG$128,Assumptions!$BB$105:$BB$128,'non-road'!$F23,Assumptions!$BC$105:$BC$128,'non-road'!$D23)/SUMIF(Assumptions!$BB$105:$BB$128,'non-road'!$F23,Assumptions!CG$105:CG$128)</f>
        <v>0</v>
      </c>
      <c r="AK23" s="39">
        <f>SUMIFS(Assumptions!CH$105:CH$128,Assumptions!$BB$105:$BB$128,'non-road'!$F23,Assumptions!$BC$105:$BC$128,'non-road'!$D23)/SUMIF(Assumptions!$BB$105:$BB$128,'non-road'!$F23,Assumptions!CH$105:CH$128)</f>
        <v>0</v>
      </c>
      <c r="AL23" s="39">
        <f>SUMIFS(Assumptions!CI$105:CI$128,Assumptions!$BB$105:$BB$128,'non-road'!$F23,Assumptions!$BC$105:$BC$128,'non-road'!$D23)/SUMIF(Assumptions!$BB$105:$BB$128,'non-road'!$F23,Assumptions!CI$105:CI$128)</f>
        <v>0</v>
      </c>
      <c r="AM23" s="39">
        <f>SUMIFS(Assumptions!CJ$105:CJ$128,Assumptions!$BB$105:$BB$128,'non-road'!$F23,Assumptions!$BC$105:$BC$128,'non-road'!$D23)/SUMIF(Assumptions!$BB$105:$BB$128,'non-road'!$F23,Assumptions!CJ$105:CJ$128)</f>
        <v>0</v>
      </c>
      <c r="AN23" s="39">
        <f>SUMIFS(Assumptions!CK$105:CK$128,Assumptions!$BB$105:$BB$128,'non-road'!$F23,Assumptions!$BC$105:$BC$128,'non-road'!$D23)/SUMIF(Assumptions!$BB$105:$BB$128,'non-road'!$F23,Assumptions!CK$105:CK$128)</f>
        <v>0</v>
      </c>
      <c r="AO23" s="39" t="e">
        <f>SUMIFS(Assumptions!CL$105:CL$128,Assumptions!$BB$105:$BB$128,'non-road'!$F23,Assumptions!$BC$105:$BC$128,'non-road'!$D23)/SUMIF(Assumptions!$BB$105:$BB$128,'non-road'!$F23,Assumptions!CL$105:CL$128)</f>
        <v>#DIV/0!</v>
      </c>
      <c r="AP23" s="39" t="e">
        <f>SUMIFS(Assumptions!CM$105:CM$128,Assumptions!$BB$105:$BB$128,'non-road'!$F23,Assumptions!$BC$105:$BC$128,'non-road'!$D23)/SUMIF(Assumptions!$BB$105:$BB$128,'non-road'!$F23,Assumptions!CM$105:CM$128)</f>
        <v>#DIV/0!</v>
      </c>
      <c r="AQ23" s="39" t="e">
        <f>SUMIFS(Assumptions!CN$105:CN$128,Assumptions!$BB$105:$BB$128,'non-road'!$F23,Assumptions!$BC$105:$BC$128,'non-road'!$D23)/SUMIF(Assumptions!$BB$105:$BB$128,'non-road'!$F23,Assumptions!CN$105:CN$128)</f>
        <v>#DIV/0!</v>
      </c>
      <c r="AR23" s="39" t="e">
        <f>SUMIFS(Assumptions!CO$105:CO$128,Assumptions!$BB$105:$BB$128,'non-road'!$F23,Assumptions!$BC$105:$BC$128,'non-road'!$D23)/SUMIF(Assumptions!$BB$105:$BB$128,'non-road'!$F23,Assumptions!CO$105:CO$128)</f>
        <v>#DIV/0!</v>
      </c>
      <c r="AS23" s="39" t="e">
        <f>SUMIFS(Assumptions!CP$105:CP$128,Assumptions!$BB$105:$BB$128,'non-road'!$F23,Assumptions!$BC$105:$BC$128,'non-road'!$D23)/SUMIF(Assumptions!$BB$105:$BB$128,'non-road'!$F23,Assumptions!CP$105:CP$128)</f>
        <v>#DIV/0!</v>
      </c>
      <c r="AT23" s="39" t="e">
        <f>SUMIFS(Assumptions!CQ$105:CQ$128,Assumptions!$BB$105:$BB$128,'non-road'!$F23,Assumptions!$BC$105:$BC$128,'non-road'!$D23)/SUMIF(Assumptions!$BB$105:$BB$128,'non-road'!$F23,Assumptions!CQ$105:CQ$128)</f>
        <v>#DIV/0!</v>
      </c>
      <c r="AU23" s="39" t="e">
        <f>SUMIFS(Assumptions!CR$105:CR$128,Assumptions!$BB$105:$BB$128,'non-road'!$F23,Assumptions!$BC$105:$BC$128,'non-road'!$D23)/SUMIF(Assumptions!$BB$105:$BB$128,'non-road'!$F23,Assumptions!CR$105:CR$128)</f>
        <v>#DIV/0!</v>
      </c>
      <c r="AV23" s="39" t="e">
        <f>SUMIFS(Assumptions!CS$105:CS$128,Assumptions!$BB$105:$BB$128,'non-road'!$F23,Assumptions!$BC$105:$BC$128,'non-road'!$D23)/SUMIF(Assumptions!$BB$105:$BB$128,'non-road'!$F23,Assumptions!CS$105:CS$128)</f>
        <v>#DIV/0!</v>
      </c>
      <c r="AW23" s="39" t="e">
        <f>SUMIFS(Assumptions!CT$105:CT$128,Assumptions!$BB$105:$BB$128,'non-road'!$F23,Assumptions!$BC$105:$BC$128,'non-road'!$D23)/SUMIF(Assumptions!$BB$105:$BB$128,'non-road'!$F23,Assumptions!CT$105:CT$128)</f>
        <v>#DIV/0!</v>
      </c>
      <c r="AX23" s="39" t="e">
        <f>SUMIFS(Assumptions!CU$105:CU$128,Assumptions!$BB$105:$BB$128,'non-road'!$F23,Assumptions!$BC$105:$BC$128,'non-road'!$D23)/SUMIF(Assumptions!$BB$105:$BB$128,'non-road'!$F23,Assumptions!CU$105:CU$128)</f>
        <v>#DIV/0!</v>
      </c>
      <c r="AY23" s="39" t="e">
        <f>SUMIFS(Assumptions!CV$105:CV$128,Assumptions!$BB$105:$BB$128,'non-road'!$F23,Assumptions!$BC$105:$BC$128,'non-road'!$D23)/SUMIF(Assumptions!$BB$105:$BB$128,'non-road'!$F23,Assumptions!CV$105:CV$128)</f>
        <v>#DIV/0!</v>
      </c>
      <c r="AZ23" s="39" t="e">
        <f>SUMIFS(Assumptions!CW$105:CW$128,Assumptions!$BB$105:$BB$128,'non-road'!$F23,Assumptions!$BC$105:$BC$128,'non-road'!$D23)/SUMIF(Assumptions!$BB$105:$BB$128,'non-road'!$F23,Assumptions!CW$105:CW$128)</f>
        <v>#DIV/0!</v>
      </c>
      <c r="BD23" s="38" t="str">
        <f t="shared" si="55"/>
        <v>\I:</v>
      </c>
      <c r="BE23" s="39">
        <f>VLOOKUP($F23,Assumptions!$E$152:$BC$157,COLUMN()-COLUMN($BC$4),FALSE)</f>
        <v>1</v>
      </c>
      <c r="BF23" s="39">
        <f>VLOOKUP($F23,Assumptions!$E$152:$BC$157,COLUMN()-COLUMN($BC$4),FALSE)</f>
        <v>1</v>
      </c>
      <c r="BG23" s="39">
        <f>VLOOKUP($F23,Assumptions!$E$152:$BC$157,COLUMN()-COLUMN($BC$4),FALSE)</f>
        <v>1</v>
      </c>
      <c r="BH23" s="39">
        <f>VLOOKUP($F23,Assumptions!$E$152:$BC$157,COLUMN()-COLUMN($BC$4),FALSE)</f>
        <v>1</v>
      </c>
      <c r="BI23" s="39">
        <f>VLOOKUP($F23,Assumptions!$E$152:$BC$157,COLUMN()-COLUMN($BC$4),FALSE)</f>
        <v>1</v>
      </c>
      <c r="BJ23" s="39">
        <f>VLOOKUP($F23,Assumptions!$E$152:$BC$157,COLUMN()-COLUMN($BC$4),FALSE)</f>
        <v>1</v>
      </c>
      <c r="BK23" s="39">
        <f>VLOOKUP($F23,Assumptions!$E$152:$BC$157,COLUMN()-COLUMN($BC$4),FALSE)</f>
        <v>1</v>
      </c>
      <c r="BL23" s="39">
        <f>VLOOKUP($F23,Assumptions!$E$152:$BC$157,COLUMN()-COLUMN($BC$4),FALSE)</f>
        <v>1</v>
      </c>
      <c r="BM23" s="39">
        <f>VLOOKUP($F23,Assumptions!$E$152:$BC$157,COLUMN()-COLUMN($BC$4),FALSE)</f>
        <v>1</v>
      </c>
      <c r="BN23" s="39">
        <f>VLOOKUP($F23,Assumptions!$E$152:$BC$157,COLUMN()-COLUMN($BC$4),FALSE)</f>
        <v>1</v>
      </c>
      <c r="BO23" s="39">
        <f>VLOOKUP($F23,Assumptions!$E$152:$BC$157,COLUMN()-COLUMN($BC$4),FALSE)</f>
        <v>1</v>
      </c>
      <c r="BP23" s="39">
        <f>VLOOKUP($F23,Assumptions!$E$152:$BC$157,COLUMN()-COLUMN($BC$4),FALSE)</f>
        <v>1</v>
      </c>
      <c r="BQ23" s="39">
        <f>VLOOKUP($F23,Assumptions!$E$152:$BC$157,COLUMN()-COLUMN($BC$4),FALSE)</f>
        <v>1</v>
      </c>
      <c r="BR23" s="39">
        <f>VLOOKUP($F23,Assumptions!$E$152:$BC$157,COLUMN()-COLUMN($BC$4),FALSE)</f>
        <v>1</v>
      </c>
      <c r="BS23" s="39">
        <f>VLOOKUP($F23,Assumptions!$E$152:$BC$157,COLUMN()-COLUMN($BC$4),FALSE)</f>
        <v>1</v>
      </c>
      <c r="BT23" s="39">
        <f>VLOOKUP($F23,Assumptions!$E$152:$BC$157,COLUMN()-COLUMN($BC$4),FALSE)</f>
        <v>1</v>
      </c>
      <c r="BU23" s="39">
        <f>VLOOKUP($F23,Assumptions!$E$152:$BC$157,COLUMN()-COLUMN($BC$4),FALSE)</f>
        <v>1</v>
      </c>
      <c r="BV23" s="39">
        <f>VLOOKUP($F23,Assumptions!$E$152:$BC$157,COLUMN()-COLUMN($BC$4),FALSE)</f>
        <v>1</v>
      </c>
      <c r="BW23" s="39">
        <f>VLOOKUP($F23,Assumptions!$E$152:$BC$157,COLUMN()-COLUMN($BC$4),FALSE)</f>
        <v>1</v>
      </c>
      <c r="BX23" s="39">
        <f>VLOOKUP($F23,Assumptions!$E$152:$BC$157,COLUMN()-COLUMN($BC$4),FALSE)</f>
        <v>1</v>
      </c>
      <c r="BY23" s="39">
        <f>VLOOKUP($F23,Assumptions!$E$152:$BC$157,COLUMN()-COLUMN($BC$4),FALSE)</f>
        <v>1</v>
      </c>
      <c r="BZ23" s="39">
        <f>VLOOKUP($F23,Assumptions!$E$152:$BC$157,COLUMN()-COLUMN($BC$4),FALSE)</f>
        <v>1</v>
      </c>
      <c r="CA23" s="39">
        <f>VLOOKUP($F23,Assumptions!$E$152:$BC$157,COLUMN()-COLUMN($BC$4),FALSE)</f>
        <v>1</v>
      </c>
      <c r="CB23" s="39">
        <f>VLOOKUP($F23,Assumptions!$E$152:$BC$157,COLUMN()-COLUMN($BC$4),FALSE)</f>
        <v>1</v>
      </c>
      <c r="CC23" s="39">
        <f>VLOOKUP($F23,Assumptions!$E$152:$BC$157,COLUMN()-COLUMN($BC$4),FALSE)</f>
        <v>1</v>
      </c>
      <c r="CD23" s="39">
        <f>VLOOKUP($F23,Assumptions!$E$152:$BC$157,COLUMN()-COLUMN($BC$4),FALSE)</f>
        <v>1</v>
      </c>
      <c r="CE23" s="39">
        <f>VLOOKUP($F23,Assumptions!$E$152:$BC$157,COLUMN()-COLUMN($BC$4),FALSE)</f>
        <v>1</v>
      </c>
      <c r="CF23" s="39">
        <f>VLOOKUP($F23,Assumptions!$E$152:$BC$157,COLUMN()-COLUMN($BC$4),FALSE)</f>
        <v>1</v>
      </c>
      <c r="CG23" s="39">
        <f>VLOOKUP($F23,Assumptions!$E$152:$BC$157,COLUMN()-COLUMN($BC$4),FALSE)</f>
        <v>1</v>
      </c>
      <c r="CH23" s="39">
        <f>VLOOKUP($F23,Assumptions!$E$152:$BC$157,COLUMN()-COLUMN($BC$4),FALSE)</f>
        <v>1</v>
      </c>
      <c r="CI23" s="39">
        <f>VLOOKUP($F23,Assumptions!$E$152:$BC$157,COLUMN()-COLUMN($BC$4),FALSE)</f>
        <v>1</v>
      </c>
      <c r="CJ23" s="39">
        <f>VLOOKUP($F23,Assumptions!$E$152:$BC$157,COLUMN()-COLUMN($BC$4),FALSE)</f>
        <v>1</v>
      </c>
      <c r="CK23" s="39">
        <f>VLOOKUP($F23,Assumptions!$E$152:$BC$157,COLUMN()-COLUMN($BC$4),FALSE)</f>
        <v>1</v>
      </c>
      <c r="CL23" s="39">
        <f>VLOOKUP($F23,Assumptions!$E$152:$BC$157,COLUMN()-COLUMN($BC$4),FALSE)</f>
        <v>1</v>
      </c>
      <c r="CM23" s="39">
        <f>VLOOKUP($F23,Assumptions!$E$152:$BC$157,COLUMN()-COLUMN($BC$4),FALSE)</f>
        <v>1</v>
      </c>
      <c r="CN23" s="39">
        <f>VLOOKUP($F23,Assumptions!$E$152:$BC$157,COLUMN()-COLUMN($BC$4),FALSE)</f>
        <v>1</v>
      </c>
      <c r="CO23" s="39">
        <f>VLOOKUP($F23,Assumptions!$E$152:$BC$157,COLUMN()-COLUMN($BC$4),FALSE)</f>
        <v>1</v>
      </c>
      <c r="CP23" s="39">
        <f>VLOOKUP($F23,Assumptions!$E$152:$BC$157,COLUMN()-COLUMN($BC$4),FALSE)</f>
        <v>1</v>
      </c>
      <c r="CQ23" s="39">
        <f>VLOOKUP($F23,Assumptions!$E$152:$BC$157,COLUMN()-COLUMN($BC$4),FALSE)</f>
        <v>1</v>
      </c>
      <c r="CR23" s="39">
        <f>VLOOKUP($F23,Assumptions!$E$152:$BC$157,COLUMN()-COLUMN($BC$4),FALSE)</f>
        <v>1</v>
      </c>
      <c r="CS23" s="39">
        <f>VLOOKUP($F23,Assumptions!$E$152:$BC$157,COLUMN()-COLUMN($BC$4),FALSE)</f>
        <v>1</v>
      </c>
      <c r="CT23" s="39">
        <f>VLOOKUP($F23,Assumptions!$E$152:$BC$157,COLUMN()-COLUMN($BC$4),FALSE)</f>
        <v>1</v>
      </c>
      <c r="CU23" s="39">
        <f>VLOOKUP($F23,Assumptions!$E$152:$BC$157,COLUMN()-COLUMN($BC$4),FALSE)</f>
        <v>1</v>
      </c>
      <c r="CV23" s="39">
        <f>VLOOKUP($F23,Assumptions!$E$152:$BC$157,COLUMN()-COLUMN($BC$4),FALSE)</f>
        <v>1</v>
      </c>
      <c r="CW23" s="39">
        <f>VLOOKUP($F23,Assumptions!$E$152:$BC$157,COLUMN()-COLUMN($BC$4),FALSE)</f>
        <v>1</v>
      </c>
      <c r="CX23" s="39">
        <f>VLOOKUP($F23,Assumptions!$E$152:$BC$157,COLUMN()-COLUMN($BC$4),FALSE)</f>
        <v>1</v>
      </c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 t="str">
        <f t="shared" si="48"/>
        <v>\I:</v>
      </c>
      <c r="EX23" s="38" t="str">
        <f t="shared" si="68"/>
        <v/>
      </c>
      <c r="EY23" s="38" t="s">
        <v>133</v>
      </c>
      <c r="EZ23" s="38" t="s">
        <v>85</v>
      </c>
      <c r="FA23" s="38" t="s">
        <v>440</v>
      </c>
    </row>
    <row r="24" spans="1:157">
      <c r="C24" s="38" t="str">
        <f t="shared" si="54"/>
        <v/>
      </c>
      <c r="D24" s="38" t="s">
        <v>66</v>
      </c>
      <c r="E24" s="38"/>
      <c r="F24" s="38" t="s">
        <v>62</v>
      </c>
      <c r="G24" s="39">
        <f>SUMIFS(Assumptions!BD$105:BD$128,Assumptions!$BB$105:$BB$128,'non-road'!$F24,Assumptions!$BC$105:$BC$128,'non-road'!$D24)/SUMIF(Assumptions!$BB$105:$BB$128,'non-road'!$F24,Assumptions!BD$105:BD$128)</f>
        <v>0</v>
      </c>
      <c r="H24" s="39">
        <f>SUMIFS(Assumptions!BE$105:BE$128,Assumptions!$BB$105:$BB$128,'non-road'!$F24,Assumptions!$BC$105:$BC$128,'non-road'!$D24)/SUMIF(Assumptions!$BB$105:$BB$128,'non-road'!$F24,Assumptions!BE$105:BE$128)</f>
        <v>0</v>
      </c>
      <c r="I24" s="39">
        <f>SUMIFS(Assumptions!BF$105:BF$128,Assumptions!$BB$105:$BB$128,'non-road'!$F24,Assumptions!$BC$105:$BC$128,'non-road'!$D24)/SUMIF(Assumptions!$BB$105:$BB$128,'non-road'!$F24,Assumptions!BF$105:BF$128)</f>
        <v>0</v>
      </c>
      <c r="J24" s="39">
        <f>SUMIFS(Assumptions!BG$105:BG$128,Assumptions!$BB$105:$BB$128,'non-road'!$F24,Assumptions!$BC$105:$BC$128,'non-road'!$D24)/SUMIF(Assumptions!$BB$105:$BB$128,'non-road'!$F24,Assumptions!BG$105:BG$128)</f>
        <v>0</v>
      </c>
      <c r="K24" s="39">
        <f>SUMIFS(Assumptions!BH$105:BH$128,Assumptions!$BB$105:$BB$128,'non-road'!$F24,Assumptions!$BC$105:$BC$128,'non-road'!$D24)/SUMIF(Assumptions!$BB$105:$BB$128,'non-road'!$F24,Assumptions!BH$105:BH$128)</f>
        <v>0</v>
      </c>
      <c r="L24" s="39">
        <f>SUMIFS(Assumptions!BI$105:BI$128,Assumptions!$BB$105:$BB$128,'non-road'!$F24,Assumptions!$BC$105:$BC$128,'non-road'!$D24)/SUMIF(Assumptions!$BB$105:$BB$128,'non-road'!$F24,Assumptions!BI$105:BI$128)</f>
        <v>0</v>
      </c>
      <c r="M24" s="39">
        <f>SUMIFS(Assumptions!BJ$105:BJ$128,Assumptions!$BB$105:$BB$128,'non-road'!$F24,Assumptions!$BC$105:$BC$128,'non-road'!$D24)/SUMIF(Assumptions!$BB$105:$BB$128,'non-road'!$F24,Assumptions!BJ$105:BJ$128)</f>
        <v>0</v>
      </c>
      <c r="N24" s="39">
        <f>SUMIFS(Assumptions!BK$105:BK$128,Assumptions!$BB$105:$BB$128,'non-road'!$F24,Assumptions!$BC$105:$BC$128,'non-road'!$D24)/SUMIF(Assumptions!$BB$105:$BB$128,'non-road'!$F24,Assumptions!BK$105:BK$128)</f>
        <v>0</v>
      </c>
      <c r="O24" s="39">
        <f>SUMIFS(Assumptions!BL$105:BL$128,Assumptions!$BB$105:$BB$128,'non-road'!$F24,Assumptions!$BC$105:$BC$128,'non-road'!$D24)/SUMIF(Assumptions!$BB$105:$BB$128,'non-road'!$F24,Assumptions!BL$105:BL$128)</f>
        <v>0</v>
      </c>
      <c r="P24" s="39">
        <f>SUMIFS(Assumptions!BM$105:BM$128,Assumptions!$BB$105:$BB$128,'non-road'!$F24,Assumptions!$BC$105:$BC$128,'non-road'!$D24)/SUMIF(Assumptions!$BB$105:$BB$128,'non-road'!$F24,Assumptions!BM$105:BM$128)</f>
        <v>0</v>
      </c>
      <c r="Q24" s="39">
        <f>SUMIFS(Assumptions!BN$105:BN$128,Assumptions!$BB$105:$BB$128,'non-road'!$F24,Assumptions!$BC$105:$BC$128,'non-road'!$D24)/SUMIF(Assumptions!$BB$105:$BB$128,'non-road'!$F24,Assumptions!BN$105:BN$128)</f>
        <v>0</v>
      </c>
      <c r="R24" s="39">
        <f>SUMIFS(Assumptions!BO$105:BO$128,Assumptions!$BB$105:$BB$128,'non-road'!$F24,Assumptions!$BC$105:$BC$128,'non-road'!$D24)/SUMIF(Assumptions!$BB$105:$BB$128,'non-road'!$F24,Assumptions!BO$105:BO$128)</f>
        <v>0</v>
      </c>
      <c r="S24" s="39">
        <f>SUMIFS(Assumptions!BP$105:BP$128,Assumptions!$BB$105:$BB$128,'non-road'!$F24,Assumptions!$BC$105:$BC$128,'non-road'!$D24)/SUMIF(Assumptions!$BB$105:$BB$128,'non-road'!$F24,Assumptions!BP$105:BP$128)</f>
        <v>0</v>
      </c>
      <c r="T24" s="39">
        <f>SUMIFS(Assumptions!BQ$105:BQ$128,Assumptions!$BB$105:$BB$128,'non-road'!$F24,Assumptions!$BC$105:$BC$128,'non-road'!$D24)/SUMIF(Assumptions!$BB$105:$BB$128,'non-road'!$F24,Assumptions!BQ$105:BQ$128)</f>
        <v>0</v>
      </c>
      <c r="U24" s="39">
        <f>SUMIFS(Assumptions!BR$105:BR$128,Assumptions!$BB$105:$BB$128,'non-road'!$F24,Assumptions!$BC$105:$BC$128,'non-road'!$D24)/SUMIF(Assumptions!$BB$105:$BB$128,'non-road'!$F24,Assumptions!BR$105:BR$128)</f>
        <v>0</v>
      </c>
      <c r="V24" s="39">
        <f>SUMIFS(Assumptions!BS$105:BS$128,Assumptions!$BB$105:$BB$128,'non-road'!$F24,Assumptions!$BC$105:$BC$128,'non-road'!$D24)/SUMIF(Assumptions!$BB$105:$BB$128,'non-road'!$F24,Assumptions!BS$105:BS$128)</f>
        <v>0</v>
      </c>
      <c r="W24" s="39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9">
        <f>SUMIFS(Assumptions!BU$105:BU$128,Assumptions!$BB$105:$BB$128,'non-road'!$F24,Assumptions!$BC$105:$BC$128,'non-road'!$D24)/SUMIF(Assumptions!$BB$105:$BB$128,'non-road'!$F24,Assumptions!BU$105:BU$128)</f>
        <v>0</v>
      </c>
      <c r="Y24" s="39">
        <f>SUMIFS(Assumptions!BV$105:BV$128,Assumptions!$BB$105:$BB$128,'non-road'!$F24,Assumptions!$BC$105:$BC$128,'non-road'!$D24)/SUMIF(Assumptions!$BB$105:$BB$128,'non-road'!$F24,Assumptions!BV$105:BV$128)</f>
        <v>0</v>
      </c>
      <c r="Z24" s="39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9">
        <f>SUMIFS(Assumptions!BX$105:BX$128,Assumptions!$BB$105:$BB$128,'non-road'!$F24,Assumptions!$BC$105:$BC$128,'non-road'!$D24)/SUMIF(Assumptions!$BB$105:$BB$128,'non-road'!$F24,Assumptions!BX$105:BX$128)</f>
        <v>0</v>
      </c>
      <c r="AB24" s="39">
        <f>SUMIFS(Assumptions!BY$105:BY$128,Assumptions!$BB$105:$BB$128,'non-road'!$F24,Assumptions!$BC$105:$BC$128,'non-road'!$D24)/SUMIF(Assumptions!$BB$105:$BB$128,'non-road'!$F24,Assumptions!BY$105:BY$128)</f>
        <v>0</v>
      </c>
      <c r="AC24" s="39">
        <f>SUMIFS(Assumptions!BZ$105:BZ$128,Assumptions!$BB$105:$BB$128,'non-road'!$F24,Assumptions!$BC$105:$BC$128,'non-road'!$D24)/SUMIF(Assumptions!$BB$105:$BB$128,'non-road'!$F24,Assumptions!BZ$105:BZ$128)</f>
        <v>0</v>
      </c>
      <c r="AD24" s="39">
        <f>SUMIFS(Assumptions!CA$105:CA$128,Assumptions!$BB$105:$BB$128,'non-road'!$F24,Assumptions!$BC$105:$BC$128,'non-road'!$D24)/SUMIF(Assumptions!$BB$105:$BB$128,'non-road'!$F24,Assumptions!CA$105:CA$128)</f>
        <v>0</v>
      </c>
      <c r="AE24" s="39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9">
        <f>SUMIFS(Assumptions!CC$105:CC$128,Assumptions!$BB$105:$BB$128,'non-road'!$F24,Assumptions!$BC$105:$BC$128,'non-road'!$D24)/SUMIF(Assumptions!$BB$105:$BB$128,'non-road'!$F24,Assumptions!CC$105:CC$128)</f>
        <v>0</v>
      </c>
      <c r="AG24" s="39">
        <f>SUMIFS(Assumptions!CD$105:CD$128,Assumptions!$BB$105:$BB$128,'non-road'!$F24,Assumptions!$BC$105:$BC$128,'non-road'!$D24)/SUMIF(Assumptions!$BB$105:$BB$128,'non-road'!$F24,Assumptions!CD$105:CD$128)</f>
        <v>0</v>
      </c>
      <c r="AH24" s="39">
        <f>SUMIFS(Assumptions!CE$105:CE$128,Assumptions!$BB$105:$BB$128,'non-road'!$F24,Assumptions!$BC$105:$BC$128,'non-road'!$D24)/SUMIF(Assumptions!$BB$105:$BB$128,'non-road'!$F24,Assumptions!CE$105:CE$128)</f>
        <v>0</v>
      </c>
      <c r="AI24" s="39">
        <f>SUMIFS(Assumptions!CF$105:CF$128,Assumptions!$BB$105:$BB$128,'non-road'!$F24,Assumptions!$BC$105:$BC$128,'non-road'!$D24)/SUMIF(Assumptions!$BB$105:$BB$128,'non-road'!$F24,Assumptions!CF$105:CF$128)</f>
        <v>0</v>
      </c>
      <c r="AJ24" s="39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9">
        <f>SUMIFS(Assumptions!CH$105:CH$128,Assumptions!$BB$105:$BB$128,'non-road'!$F24,Assumptions!$BC$105:$BC$128,'non-road'!$D24)/SUMIF(Assumptions!$BB$105:$BB$128,'non-road'!$F24,Assumptions!CH$105:CH$128)</f>
        <v>0</v>
      </c>
      <c r="AL24" s="39">
        <f>SUMIFS(Assumptions!CI$105:CI$128,Assumptions!$BB$105:$BB$128,'non-road'!$F24,Assumptions!$BC$105:$BC$128,'non-road'!$D24)/SUMIF(Assumptions!$BB$105:$BB$128,'non-road'!$F24,Assumptions!CI$105:CI$128)</f>
        <v>0</v>
      </c>
      <c r="AM24" s="39">
        <f>SUMIFS(Assumptions!CJ$105:CJ$128,Assumptions!$BB$105:$BB$128,'non-road'!$F24,Assumptions!$BC$105:$BC$128,'non-road'!$D24)/SUMIF(Assumptions!$BB$105:$BB$128,'non-road'!$F24,Assumptions!CJ$105:CJ$128)</f>
        <v>0</v>
      </c>
      <c r="AN24" s="39">
        <f>SUMIFS(Assumptions!CK$105:CK$128,Assumptions!$BB$105:$BB$128,'non-road'!$F24,Assumptions!$BC$105:$BC$128,'non-road'!$D24)/SUMIF(Assumptions!$BB$105:$BB$128,'non-road'!$F24,Assumptions!CK$105:CK$128)</f>
        <v>0</v>
      </c>
      <c r="AO24" s="39" t="e">
        <f>SUMIFS(Assumptions!CL$105:CL$128,Assumptions!$BB$105:$BB$128,'non-road'!$F24,Assumptions!$BC$105:$BC$128,'non-road'!$D24)/SUMIF(Assumptions!$BB$105:$BB$128,'non-road'!$F24,Assumptions!CL$105:CL$128)</f>
        <v>#DIV/0!</v>
      </c>
      <c r="AP24" s="39" t="e">
        <f>SUMIFS(Assumptions!CM$105:CM$128,Assumptions!$BB$105:$BB$128,'non-road'!$F24,Assumptions!$BC$105:$BC$128,'non-road'!$D24)/SUMIF(Assumptions!$BB$105:$BB$128,'non-road'!$F24,Assumptions!CM$105:CM$128)</f>
        <v>#DIV/0!</v>
      </c>
      <c r="AQ24" s="39" t="e">
        <f>SUMIFS(Assumptions!CN$105:CN$128,Assumptions!$BB$105:$BB$128,'non-road'!$F24,Assumptions!$BC$105:$BC$128,'non-road'!$D24)/SUMIF(Assumptions!$BB$105:$BB$128,'non-road'!$F24,Assumptions!CN$105:CN$128)</f>
        <v>#DIV/0!</v>
      </c>
      <c r="AR24" s="39" t="e">
        <f>SUMIFS(Assumptions!CO$105:CO$128,Assumptions!$BB$105:$BB$128,'non-road'!$F24,Assumptions!$BC$105:$BC$128,'non-road'!$D24)/SUMIF(Assumptions!$BB$105:$BB$128,'non-road'!$F24,Assumptions!CO$105:CO$128)</f>
        <v>#DIV/0!</v>
      </c>
      <c r="AS24" s="39" t="e">
        <f>SUMIFS(Assumptions!CP$105:CP$128,Assumptions!$BB$105:$BB$128,'non-road'!$F24,Assumptions!$BC$105:$BC$128,'non-road'!$D24)/SUMIF(Assumptions!$BB$105:$BB$128,'non-road'!$F24,Assumptions!CP$105:CP$128)</f>
        <v>#DIV/0!</v>
      </c>
      <c r="AT24" s="39" t="e">
        <f>SUMIFS(Assumptions!CQ$105:CQ$128,Assumptions!$BB$105:$BB$128,'non-road'!$F24,Assumptions!$BC$105:$BC$128,'non-road'!$D24)/SUMIF(Assumptions!$BB$105:$BB$128,'non-road'!$F24,Assumptions!CQ$105:CQ$128)</f>
        <v>#DIV/0!</v>
      </c>
      <c r="AU24" s="39" t="e">
        <f>SUMIFS(Assumptions!CR$105:CR$128,Assumptions!$BB$105:$BB$128,'non-road'!$F24,Assumptions!$BC$105:$BC$128,'non-road'!$D24)/SUMIF(Assumptions!$BB$105:$BB$128,'non-road'!$F24,Assumptions!CR$105:CR$128)</f>
        <v>#DIV/0!</v>
      </c>
      <c r="AV24" s="39" t="e">
        <f>SUMIFS(Assumptions!CS$105:CS$128,Assumptions!$BB$105:$BB$128,'non-road'!$F24,Assumptions!$BC$105:$BC$128,'non-road'!$D24)/SUMIF(Assumptions!$BB$105:$BB$128,'non-road'!$F24,Assumptions!CS$105:CS$128)</f>
        <v>#DIV/0!</v>
      </c>
      <c r="AW24" s="39" t="e">
        <f>SUMIFS(Assumptions!CT$105:CT$128,Assumptions!$BB$105:$BB$128,'non-road'!$F24,Assumptions!$BC$105:$BC$128,'non-road'!$D24)/SUMIF(Assumptions!$BB$105:$BB$128,'non-road'!$F24,Assumptions!CT$105:CT$128)</f>
        <v>#DIV/0!</v>
      </c>
      <c r="AX24" s="39" t="e">
        <f>SUMIFS(Assumptions!CU$105:CU$128,Assumptions!$BB$105:$BB$128,'non-road'!$F24,Assumptions!$BC$105:$BC$128,'non-road'!$D24)/SUMIF(Assumptions!$BB$105:$BB$128,'non-road'!$F24,Assumptions!CU$105:CU$128)</f>
        <v>#DIV/0!</v>
      </c>
      <c r="AY24" s="39" t="e">
        <f>SUMIFS(Assumptions!CV$105:CV$128,Assumptions!$BB$105:$BB$128,'non-road'!$F24,Assumptions!$BC$105:$BC$128,'non-road'!$D24)/SUMIF(Assumptions!$BB$105:$BB$128,'non-road'!$F24,Assumptions!CV$105:CV$128)</f>
        <v>#DIV/0!</v>
      </c>
      <c r="AZ24" s="39" t="e">
        <f>SUMIFS(Assumptions!CW$105:CW$128,Assumptions!$BB$105:$BB$128,'non-road'!$F24,Assumptions!$BC$105:$BC$128,'non-road'!$D24)/SUMIF(Assumptions!$BB$105:$BB$128,'non-road'!$F24,Assumptions!CW$105:CW$128)</f>
        <v>#DIV/0!</v>
      </c>
      <c r="BD24" s="38" t="str">
        <f t="shared" si="55"/>
        <v>\I:</v>
      </c>
      <c r="BE24" s="39">
        <f>VLOOKUP($F24,Assumptions!$E$152:$BC$157,COLUMN()-COLUMN($BC$4),FALSE)</f>
        <v>1</v>
      </c>
      <c r="BF24" s="39">
        <f>VLOOKUP($F24,Assumptions!$E$152:$BC$157,COLUMN()-COLUMN($BC$4),FALSE)</f>
        <v>1</v>
      </c>
      <c r="BG24" s="39">
        <f>VLOOKUP($F24,Assumptions!$E$152:$BC$157,COLUMN()-COLUMN($BC$4),FALSE)</f>
        <v>1</v>
      </c>
      <c r="BH24" s="39">
        <f>VLOOKUP($F24,Assumptions!$E$152:$BC$157,COLUMN()-COLUMN($BC$4),FALSE)</f>
        <v>1</v>
      </c>
      <c r="BI24" s="39">
        <f>VLOOKUP($F24,Assumptions!$E$152:$BC$157,COLUMN()-COLUMN($BC$4),FALSE)</f>
        <v>1</v>
      </c>
      <c r="BJ24" s="39">
        <f>VLOOKUP($F24,Assumptions!$E$152:$BC$157,COLUMN()-COLUMN($BC$4),FALSE)</f>
        <v>1</v>
      </c>
      <c r="BK24" s="39">
        <f>VLOOKUP($F24,Assumptions!$E$152:$BC$157,COLUMN()-COLUMN($BC$4),FALSE)</f>
        <v>1</v>
      </c>
      <c r="BL24" s="39">
        <f>VLOOKUP($F24,Assumptions!$E$152:$BC$157,COLUMN()-COLUMN($BC$4),FALSE)</f>
        <v>1</v>
      </c>
      <c r="BM24" s="39">
        <f>VLOOKUP($F24,Assumptions!$E$152:$BC$157,COLUMN()-COLUMN($BC$4),FALSE)</f>
        <v>1</v>
      </c>
      <c r="BN24" s="39">
        <f>VLOOKUP($F24,Assumptions!$E$152:$BC$157,COLUMN()-COLUMN($BC$4),FALSE)</f>
        <v>1</v>
      </c>
      <c r="BO24" s="39">
        <f>VLOOKUP($F24,Assumptions!$E$152:$BC$157,COLUMN()-COLUMN($BC$4),FALSE)</f>
        <v>1</v>
      </c>
      <c r="BP24" s="39">
        <f>VLOOKUP($F24,Assumptions!$E$152:$BC$157,COLUMN()-COLUMN($BC$4),FALSE)</f>
        <v>1</v>
      </c>
      <c r="BQ24" s="39">
        <f>VLOOKUP($F24,Assumptions!$E$152:$BC$157,COLUMN()-COLUMN($BC$4),FALSE)</f>
        <v>1</v>
      </c>
      <c r="BR24" s="39">
        <f>VLOOKUP($F24,Assumptions!$E$152:$BC$157,COLUMN()-COLUMN($BC$4),FALSE)</f>
        <v>1</v>
      </c>
      <c r="BS24" s="39">
        <f>VLOOKUP($F24,Assumptions!$E$152:$BC$157,COLUMN()-COLUMN($BC$4),FALSE)</f>
        <v>1</v>
      </c>
      <c r="BT24" s="39">
        <f>VLOOKUP($F24,Assumptions!$E$152:$BC$157,COLUMN()-COLUMN($BC$4),FALSE)</f>
        <v>1</v>
      </c>
      <c r="BU24" s="39">
        <f>VLOOKUP($F24,Assumptions!$E$152:$BC$157,COLUMN()-COLUMN($BC$4),FALSE)</f>
        <v>1</v>
      </c>
      <c r="BV24" s="39">
        <f>VLOOKUP($F24,Assumptions!$E$152:$BC$157,COLUMN()-COLUMN($BC$4),FALSE)</f>
        <v>1</v>
      </c>
      <c r="BW24" s="39">
        <f>VLOOKUP($F24,Assumptions!$E$152:$BC$157,COLUMN()-COLUMN($BC$4),FALSE)</f>
        <v>1</v>
      </c>
      <c r="BX24" s="39">
        <f>VLOOKUP($F24,Assumptions!$E$152:$BC$157,COLUMN()-COLUMN($BC$4),FALSE)</f>
        <v>1</v>
      </c>
      <c r="BY24" s="39">
        <f>VLOOKUP($F24,Assumptions!$E$152:$BC$157,COLUMN()-COLUMN($BC$4),FALSE)</f>
        <v>1</v>
      </c>
      <c r="BZ24" s="39">
        <f>VLOOKUP($F24,Assumptions!$E$152:$BC$157,COLUMN()-COLUMN($BC$4),FALSE)</f>
        <v>1</v>
      </c>
      <c r="CA24" s="39">
        <f>VLOOKUP($F24,Assumptions!$E$152:$BC$157,COLUMN()-COLUMN($BC$4),FALSE)</f>
        <v>1</v>
      </c>
      <c r="CB24" s="39">
        <f>VLOOKUP($F24,Assumptions!$E$152:$BC$157,COLUMN()-COLUMN($BC$4),FALSE)</f>
        <v>1</v>
      </c>
      <c r="CC24" s="39">
        <f>VLOOKUP($F24,Assumptions!$E$152:$BC$157,COLUMN()-COLUMN($BC$4),FALSE)</f>
        <v>1</v>
      </c>
      <c r="CD24" s="39">
        <f>VLOOKUP($F24,Assumptions!$E$152:$BC$157,COLUMN()-COLUMN($BC$4),FALSE)</f>
        <v>1</v>
      </c>
      <c r="CE24" s="39">
        <f>VLOOKUP($F24,Assumptions!$E$152:$BC$157,COLUMN()-COLUMN($BC$4),FALSE)</f>
        <v>1</v>
      </c>
      <c r="CF24" s="39">
        <f>VLOOKUP($F24,Assumptions!$E$152:$BC$157,COLUMN()-COLUMN($BC$4),FALSE)</f>
        <v>1</v>
      </c>
      <c r="CG24" s="39">
        <f>VLOOKUP($F24,Assumptions!$E$152:$BC$157,COLUMN()-COLUMN($BC$4),FALSE)</f>
        <v>1</v>
      </c>
      <c r="CH24" s="39">
        <f>VLOOKUP($F24,Assumptions!$E$152:$BC$157,COLUMN()-COLUMN($BC$4),FALSE)</f>
        <v>1</v>
      </c>
      <c r="CI24" s="39">
        <f>VLOOKUP($F24,Assumptions!$E$152:$BC$157,COLUMN()-COLUMN($BC$4),FALSE)</f>
        <v>1</v>
      </c>
      <c r="CJ24" s="39">
        <f>VLOOKUP($F24,Assumptions!$E$152:$BC$157,COLUMN()-COLUMN($BC$4),FALSE)</f>
        <v>1</v>
      </c>
      <c r="CK24" s="39">
        <f>VLOOKUP($F24,Assumptions!$E$152:$BC$157,COLUMN()-COLUMN($BC$4),FALSE)</f>
        <v>1</v>
      </c>
      <c r="CL24" s="39">
        <f>VLOOKUP($F24,Assumptions!$E$152:$BC$157,COLUMN()-COLUMN($BC$4),FALSE)</f>
        <v>1</v>
      </c>
      <c r="CM24" s="39">
        <f>VLOOKUP($F24,Assumptions!$E$152:$BC$157,COLUMN()-COLUMN($BC$4),FALSE)</f>
        <v>1</v>
      </c>
      <c r="CN24" s="39">
        <f>VLOOKUP($F24,Assumptions!$E$152:$BC$157,COLUMN()-COLUMN($BC$4),FALSE)</f>
        <v>1</v>
      </c>
      <c r="CO24" s="39">
        <f>VLOOKUP($F24,Assumptions!$E$152:$BC$157,COLUMN()-COLUMN($BC$4),FALSE)</f>
        <v>1</v>
      </c>
      <c r="CP24" s="39">
        <f>VLOOKUP($F24,Assumptions!$E$152:$BC$157,COLUMN()-COLUMN($BC$4),FALSE)</f>
        <v>1</v>
      </c>
      <c r="CQ24" s="39">
        <f>VLOOKUP($F24,Assumptions!$E$152:$BC$157,COLUMN()-COLUMN($BC$4),FALSE)</f>
        <v>1</v>
      </c>
      <c r="CR24" s="39">
        <f>VLOOKUP($F24,Assumptions!$E$152:$BC$157,COLUMN()-COLUMN($BC$4),FALSE)</f>
        <v>1</v>
      </c>
      <c r="CS24" s="39">
        <f>VLOOKUP($F24,Assumptions!$E$152:$BC$157,COLUMN()-COLUMN($BC$4),FALSE)</f>
        <v>1</v>
      </c>
      <c r="CT24" s="39">
        <f>VLOOKUP($F24,Assumptions!$E$152:$BC$157,COLUMN()-COLUMN($BC$4),FALSE)</f>
        <v>1</v>
      </c>
      <c r="CU24" s="39">
        <f>VLOOKUP($F24,Assumptions!$E$152:$BC$157,COLUMN()-COLUMN($BC$4),FALSE)</f>
        <v>1</v>
      </c>
      <c r="CV24" s="39">
        <f>VLOOKUP($F24,Assumptions!$E$152:$BC$157,COLUMN()-COLUMN($BC$4),FALSE)</f>
        <v>1</v>
      </c>
      <c r="CW24" s="39">
        <f>VLOOKUP($F24,Assumptions!$E$152:$BC$157,COLUMN()-COLUMN($BC$4),FALSE)</f>
        <v>1</v>
      </c>
      <c r="CX24" s="39">
        <f>VLOOKUP($F24,Assumptions!$E$152:$BC$157,COLUMN()-COLUMN($BC$4),FALSE)</f>
        <v>1</v>
      </c>
      <c r="CY24" s="38"/>
      <c r="EV24" s="38"/>
      <c r="EW24" s="38" t="str">
        <f t="shared" si="48"/>
        <v>\I:</v>
      </c>
      <c r="EX24" s="38" t="str">
        <f t="shared" si="68"/>
        <v/>
      </c>
      <c r="EY24" s="38" t="s">
        <v>133</v>
      </c>
      <c r="EZ24" s="38" t="s">
        <v>85</v>
      </c>
      <c r="FA24" s="38" t="s">
        <v>440</v>
      </c>
    </row>
    <row r="25" spans="1:157">
      <c r="C25" s="38" t="str">
        <f t="shared" si="54"/>
        <v/>
      </c>
      <c r="D25" s="38" t="s">
        <v>69</v>
      </c>
      <c r="E25" s="38"/>
      <c r="F25" s="38" t="s">
        <v>62</v>
      </c>
      <c r="G25" s="39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9">
        <f>SUMIFS(Assumptions!BE$105:BE$128,Assumptions!$BB$105:$BB$128,'non-road'!$F25,Assumptions!$BC$105:$BC$128,'non-road'!$D25)/SUMIF(Assumptions!$BB$105:$BB$128,'non-road'!$F25,Assumptions!BE$105:BE$128)</f>
        <v>0</v>
      </c>
      <c r="I25" s="39">
        <f>SUMIFS(Assumptions!BF$105:BF$128,Assumptions!$BB$105:$BB$128,'non-road'!$F25,Assumptions!$BC$105:$BC$128,'non-road'!$D25)/SUMIF(Assumptions!$BB$105:$BB$128,'non-road'!$F25,Assumptions!BF$105:BF$128)</f>
        <v>0</v>
      </c>
      <c r="J25" s="39">
        <f>SUMIFS(Assumptions!BG$105:BG$128,Assumptions!$BB$105:$BB$128,'non-road'!$F25,Assumptions!$BC$105:$BC$128,'non-road'!$D25)/SUMIF(Assumptions!$BB$105:$BB$128,'non-road'!$F25,Assumptions!BG$105:BG$128)</f>
        <v>0</v>
      </c>
      <c r="K25" s="39">
        <f>SUMIFS(Assumptions!BH$105:BH$128,Assumptions!$BB$105:$BB$128,'non-road'!$F25,Assumptions!$BC$105:$BC$128,'non-road'!$D25)/SUMIF(Assumptions!$BB$105:$BB$128,'non-road'!$F25,Assumptions!BH$105:BH$128)</f>
        <v>0</v>
      </c>
      <c r="L25" s="39">
        <f>SUMIFS(Assumptions!BI$105:BI$128,Assumptions!$BB$105:$BB$128,'non-road'!$F25,Assumptions!$BC$105:$BC$128,'non-road'!$D25)/SUMIF(Assumptions!$BB$105:$BB$128,'non-road'!$F25,Assumptions!BI$105:BI$128)</f>
        <v>0</v>
      </c>
      <c r="M25" s="39">
        <f>SUMIFS(Assumptions!BJ$105:BJ$128,Assumptions!$BB$105:$BB$128,'non-road'!$F25,Assumptions!$BC$105:$BC$128,'non-road'!$D25)/SUMIF(Assumptions!$BB$105:$BB$128,'non-road'!$F25,Assumptions!BJ$105:BJ$128)</f>
        <v>0</v>
      </c>
      <c r="N25" s="39">
        <f>SUMIFS(Assumptions!BK$105:BK$128,Assumptions!$BB$105:$BB$128,'non-road'!$F25,Assumptions!$BC$105:$BC$128,'non-road'!$D25)/SUMIF(Assumptions!$BB$105:$BB$128,'non-road'!$F25,Assumptions!BK$105:BK$128)</f>
        <v>0</v>
      </c>
      <c r="O25" s="39">
        <f>SUMIFS(Assumptions!BL$105:BL$128,Assumptions!$BB$105:$BB$128,'non-road'!$F25,Assumptions!$BC$105:$BC$128,'non-road'!$D25)/SUMIF(Assumptions!$BB$105:$BB$128,'non-road'!$F25,Assumptions!BL$105:BL$128)</f>
        <v>0</v>
      </c>
      <c r="P25" s="39">
        <f>SUMIFS(Assumptions!BM$105:BM$128,Assumptions!$BB$105:$BB$128,'non-road'!$F25,Assumptions!$BC$105:$BC$128,'non-road'!$D25)/SUMIF(Assumptions!$BB$105:$BB$128,'non-road'!$F25,Assumptions!BM$105:BM$128)</f>
        <v>0</v>
      </c>
      <c r="Q25" s="39">
        <f>SUMIFS(Assumptions!BN$105:BN$128,Assumptions!$BB$105:$BB$128,'non-road'!$F25,Assumptions!$BC$105:$BC$128,'non-road'!$D25)/SUMIF(Assumptions!$BB$105:$BB$128,'non-road'!$F25,Assumptions!BN$105:BN$128)</f>
        <v>0</v>
      </c>
      <c r="R25" s="39">
        <f>SUMIFS(Assumptions!BO$105:BO$128,Assumptions!$BB$105:$BB$128,'non-road'!$F25,Assumptions!$BC$105:$BC$128,'non-road'!$D25)/SUMIF(Assumptions!$BB$105:$BB$128,'non-road'!$F25,Assumptions!BO$105:BO$128)</f>
        <v>0</v>
      </c>
      <c r="S25" s="39">
        <f>SUMIFS(Assumptions!BP$105:BP$128,Assumptions!$BB$105:$BB$128,'non-road'!$F25,Assumptions!$BC$105:$BC$128,'non-road'!$D25)/SUMIF(Assumptions!$BB$105:$BB$128,'non-road'!$F25,Assumptions!BP$105:BP$128)</f>
        <v>0</v>
      </c>
      <c r="T25" s="39">
        <f>SUMIFS(Assumptions!BQ$105:BQ$128,Assumptions!$BB$105:$BB$128,'non-road'!$F25,Assumptions!$BC$105:$BC$128,'non-road'!$D25)/SUMIF(Assumptions!$BB$105:$BB$128,'non-road'!$F25,Assumptions!BQ$105:BQ$128)</f>
        <v>0</v>
      </c>
      <c r="U25" s="39">
        <f>SUMIFS(Assumptions!BR$105:BR$128,Assumptions!$BB$105:$BB$128,'non-road'!$F25,Assumptions!$BC$105:$BC$128,'non-road'!$D25)/SUMIF(Assumptions!$BB$105:$BB$128,'non-road'!$F25,Assumptions!BR$105:BR$128)</f>
        <v>0</v>
      </c>
      <c r="V25" s="39">
        <f>SUMIFS(Assumptions!BS$105:BS$128,Assumptions!$BB$105:$BB$128,'non-road'!$F25,Assumptions!$BC$105:$BC$128,'non-road'!$D25)/SUMIF(Assumptions!$BB$105:$BB$128,'non-road'!$F25,Assumptions!BS$105:BS$128)</f>
        <v>0</v>
      </c>
      <c r="W25" s="39">
        <f>SUMIFS(Assumptions!BT$105:BT$128,Assumptions!$BB$105:$BB$128,'non-road'!$F25,Assumptions!$BC$105:$BC$128,'non-road'!$D25)/SUMIF(Assumptions!$BB$105:$BB$128,'non-road'!$F25,Assumptions!BT$105:BT$128)</f>
        <v>0</v>
      </c>
      <c r="X25" s="39">
        <f>SUMIFS(Assumptions!BU$105:BU$128,Assumptions!$BB$105:$BB$128,'non-road'!$F25,Assumptions!$BC$105:$BC$128,'non-road'!$D25)/SUMIF(Assumptions!$BB$105:$BB$128,'non-road'!$F25,Assumptions!BU$105:BU$128)</f>
        <v>0</v>
      </c>
      <c r="Y25" s="39">
        <f>SUMIFS(Assumptions!BV$105:BV$128,Assumptions!$BB$105:$BB$128,'non-road'!$F25,Assumptions!$BC$105:$BC$128,'non-road'!$D25)/SUMIF(Assumptions!$BB$105:$BB$128,'non-road'!$F25,Assumptions!BV$105:BV$128)</f>
        <v>0</v>
      </c>
      <c r="Z25" s="39">
        <f>SUMIFS(Assumptions!BW$105:BW$128,Assumptions!$BB$105:$BB$128,'non-road'!$F25,Assumptions!$BC$105:$BC$128,'non-road'!$D25)/SUMIF(Assumptions!$BB$105:$BB$128,'non-road'!$F25,Assumptions!BW$105:BW$128)</f>
        <v>0</v>
      </c>
      <c r="AA25" s="39">
        <f>SUMIFS(Assumptions!BX$105:BX$128,Assumptions!$BB$105:$BB$128,'non-road'!$F25,Assumptions!$BC$105:$BC$128,'non-road'!$D25)/SUMIF(Assumptions!$BB$105:$BB$128,'non-road'!$F25,Assumptions!BX$105:BX$128)</f>
        <v>0</v>
      </c>
      <c r="AB25" s="39">
        <f>SUMIFS(Assumptions!BY$105:BY$128,Assumptions!$BB$105:$BB$128,'non-road'!$F25,Assumptions!$BC$105:$BC$128,'non-road'!$D25)/SUMIF(Assumptions!$BB$105:$BB$128,'non-road'!$F25,Assumptions!BY$105:BY$128)</f>
        <v>0</v>
      </c>
      <c r="AC25" s="39">
        <f>SUMIFS(Assumptions!BZ$105:BZ$128,Assumptions!$BB$105:$BB$128,'non-road'!$F25,Assumptions!$BC$105:$BC$128,'non-road'!$D25)/SUMIF(Assumptions!$BB$105:$BB$128,'non-road'!$F25,Assumptions!BZ$105:BZ$128)</f>
        <v>0</v>
      </c>
      <c r="AD25" s="39">
        <f>SUMIFS(Assumptions!CA$105:CA$128,Assumptions!$BB$105:$BB$128,'non-road'!$F25,Assumptions!$BC$105:$BC$128,'non-road'!$D25)/SUMIF(Assumptions!$BB$105:$BB$128,'non-road'!$F25,Assumptions!CA$105:CA$128)</f>
        <v>0</v>
      </c>
      <c r="AE25" s="39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9">
        <f>SUMIFS(Assumptions!CC$105:CC$128,Assumptions!$BB$105:$BB$128,'non-road'!$F25,Assumptions!$BC$105:$BC$128,'non-road'!$D25)/SUMIF(Assumptions!$BB$105:$BB$128,'non-road'!$F25,Assumptions!CC$105:CC$128)</f>
        <v>0</v>
      </c>
      <c r="AG25" s="39">
        <f>SUMIFS(Assumptions!CD$105:CD$128,Assumptions!$BB$105:$BB$128,'non-road'!$F25,Assumptions!$BC$105:$BC$128,'non-road'!$D25)/SUMIF(Assumptions!$BB$105:$BB$128,'non-road'!$F25,Assumptions!CD$105:CD$128)</f>
        <v>0</v>
      </c>
      <c r="AH25" s="39">
        <f>SUMIFS(Assumptions!CE$105:CE$128,Assumptions!$BB$105:$BB$128,'non-road'!$F25,Assumptions!$BC$105:$BC$128,'non-road'!$D25)/SUMIF(Assumptions!$BB$105:$BB$128,'non-road'!$F25,Assumptions!CE$105:CE$128)</f>
        <v>0</v>
      </c>
      <c r="AI25" s="39">
        <f>SUMIFS(Assumptions!CF$105:CF$128,Assumptions!$BB$105:$BB$128,'non-road'!$F25,Assumptions!$BC$105:$BC$128,'non-road'!$D25)/SUMIF(Assumptions!$BB$105:$BB$128,'non-road'!$F25,Assumptions!CF$105:CF$128)</f>
        <v>0</v>
      </c>
      <c r="AJ25" s="39">
        <f>SUMIFS(Assumptions!CG$105:CG$128,Assumptions!$BB$105:$BB$128,'non-road'!$F25,Assumptions!$BC$105:$BC$128,'non-road'!$D25)/SUMIF(Assumptions!$BB$105:$BB$128,'non-road'!$F25,Assumptions!CG$105:CG$128)</f>
        <v>0</v>
      </c>
      <c r="AK25" s="39">
        <f>SUMIFS(Assumptions!CH$105:CH$128,Assumptions!$BB$105:$BB$128,'non-road'!$F25,Assumptions!$BC$105:$BC$128,'non-road'!$D25)/SUMIF(Assumptions!$BB$105:$BB$128,'non-road'!$F25,Assumptions!CH$105:CH$128)</f>
        <v>0</v>
      </c>
      <c r="AL25" s="39">
        <f>SUMIFS(Assumptions!CI$105:CI$128,Assumptions!$BB$105:$BB$128,'non-road'!$F25,Assumptions!$BC$105:$BC$128,'non-road'!$D25)/SUMIF(Assumptions!$BB$105:$BB$128,'non-road'!$F25,Assumptions!CI$105:CI$128)</f>
        <v>0</v>
      </c>
      <c r="AM25" s="39">
        <f>SUMIFS(Assumptions!CJ$105:CJ$128,Assumptions!$BB$105:$BB$128,'non-road'!$F25,Assumptions!$BC$105:$BC$128,'non-road'!$D25)/SUMIF(Assumptions!$BB$105:$BB$128,'non-road'!$F25,Assumptions!CJ$105:CJ$128)</f>
        <v>0</v>
      </c>
      <c r="AN25" s="39">
        <f>SUMIFS(Assumptions!CK$105:CK$128,Assumptions!$BB$105:$BB$128,'non-road'!$F25,Assumptions!$BC$105:$BC$128,'non-road'!$D25)/SUMIF(Assumptions!$BB$105:$BB$128,'non-road'!$F25,Assumptions!CK$105:CK$128)</f>
        <v>1</v>
      </c>
      <c r="AO25" s="39" t="e">
        <f>SUMIFS(Assumptions!CL$105:CL$128,Assumptions!$BB$105:$BB$128,'non-road'!$F25,Assumptions!$BC$105:$BC$128,'non-road'!$D25)/SUMIF(Assumptions!$BB$105:$BB$128,'non-road'!$F25,Assumptions!CL$105:CL$128)</f>
        <v>#DIV/0!</v>
      </c>
      <c r="AP25" s="39" t="e">
        <f>SUMIFS(Assumptions!CM$105:CM$128,Assumptions!$BB$105:$BB$128,'non-road'!$F25,Assumptions!$BC$105:$BC$128,'non-road'!$D25)/SUMIF(Assumptions!$BB$105:$BB$128,'non-road'!$F25,Assumptions!CM$105:CM$128)</f>
        <v>#DIV/0!</v>
      </c>
      <c r="AQ25" s="39" t="e">
        <f>SUMIFS(Assumptions!CN$105:CN$128,Assumptions!$BB$105:$BB$128,'non-road'!$F25,Assumptions!$BC$105:$BC$128,'non-road'!$D25)/SUMIF(Assumptions!$BB$105:$BB$128,'non-road'!$F25,Assumptions!CN$105:CN$128)</f>
        <v>#DIV/0!</v>
      </c>
      <c r="AR25" s="39" t="e">
        <f>SUMIFS(Assumptions!CO$105:CO$128,Assumptions!$BB$105:$BB$128,'non-road'!$F25,Assumptions!$BC$105:$BC$128,'non-road'!$D25)/SUMIF(Assumptions!$BB$105:$BB$128,'non-road'!$F25,Assumptions!CO$105:CO$128)</f>
        <v>#DIV/0!</v>
      </c>
      <c r="AS25" s="39" t="e">
        <f>SUMIFS(Assumptions!CP$105:CP$128,Assumptions!$BB$105:$BB$128,'non-road'!$F25,Assumptions!$BC$105:$BC$128,'non-road'!$D25)/SUMIF(Assumptions!$BB$105:$BB$128,'non-road'!$F25,Assumptions!CP$105:CP$128)</f>
        <v>#DIV/0!</v>
      </c>
      <c r="AT25" s="39" t="e">
        <f>SUMIFS(Assumptions!CQ$105:CQ$128,Assumptions!$BB$105:$BB$128,'non-road'!$F25,Assumptions!$BC$105:$BC$128,'non-road'!$D25)/SUMIF(Assumptions!$BB$105:$BB$128,'non-road'!$F25,Assumptions!CQ$105:CQ$128)</f>
        <v>#DIV/0!</v>
      </c>
      <c r="AU25" s="39" t="e">
        <f>SUMIFS(Assumptions!CR$105:CR$128,Assumptions!$BB$105:$BB$128,'non-road'!$F25,Assumptions!$BC$105:$BC$128,'non-road'!$D25)/SUMIF(Assumptions!$BB$105:$BB$128,'non-road'!$F25,Assumptions!CR$105:CR$128)</f>
        <v>#DIV/0!</v>
      </c>
      <c r="AV25" s="39" t="e">
        <f>SUMIFS(Assumptions!CS$105:CS$128,Assumptions!$BB$105:$BB$128,'non-road'!$F25,Assumptions!$BC$105:$BC$128,'non-road'!$D25)/SUMIF(Assumptions!$BB$105:$BB$128,'non-road'!$F25,Assumptions!CS$105:CS$128)</f>
        <v>#DIV/0!</v>
      </c>
      <c r="AW25" s="39" t="e">
        <f>SUMIFS(Assumptions!CT$105:CT$128,Assumptions!$BB$105:$BB$128,'non-road'!$F25,Assumptions!$BC$105:$BC$128,'non-road'!$D25)/SUMIF(Assumptions!$BB$105:$BB$128,'non-road'!$F25,Assumptions!CT$105:CT$128)</f>
        <v>#DIV/0!</v>
      </c>
      <c r="AX25" s="39" t="e">
        <f>SUMIFS(Assumptions!CU$105:CU$128,Assumptions!$BB$105:$BB$128,'non-road'!$F25,Assumptions!$BC$105:$BC$128,'non-road'!$D25)/SUMIF(Assumptions!$BB$105:$BB$128,'non-road'!$F25,Assumptions!CU$105:CU$128)</f>
        <v>#DIV/0!</v>
      </c>
      <c r="AY25" s="39" t="e">
        <f>SUMIFS(Assumptions!CV$105:CV$128,Assumptions!$BB$105:$BB$128,'non-road'!$F25,Assumptions!$BC$105:$BC$128,'non-road'!$D25)/SUMIF(Assumptions!$BB$105:$BB$128,'non-road'!$F25,Assumptions!CV$105:CV$128)</f>
        <v>#DIV/0!</v>
      </c>
      <c r="AZ25" s="39" t="e">
        <f>SUMIFS(Assumptions!CW$105:CW$128,Assumptions!$BB$105:$BB$128,'non-road'!$F25,Assumptions!$BC$105:$BC$128,'non-road'!$D25)/SUMIF(Assumptions!$BB$105:$BB$128,'non-road'!$F25,Assumptions!CW$105:CW$128)</f>
        <v>#DIV/0!</v>
      </c>
      <c r="BD25" s="38" t="str">
        <f t="shared" si="55"/>
        <v>\I:</v>
      </c>
      <c r="BE25" s="39">
        <f>VLOOKUP($F25,Assumptions!$E$152:$BC$157,COLUMN()-COLUMN($BC$4),FALSE)</f>
        <v>1</v>
      </c>
      <c r="BF25" s="39">
        <f>VLOOKUP($F25,Assumptions!$E$152:$BC$157,COLUMN()-COLUMN($BC$4),FALSE)</f>
        <v>1</v>
      </c>
      <c r="BG25" s="39">
        <f>VLOOKUP($F25,Assumptions!$E$152:$BC$157,COLUMN()-COLUMN($BC$4),FALSE)</f>
        <v>1</v>
      </c>
      <c r="BH25" s="39">
        <f>VLOOKUP($F25,Assumptions!$E$152:$BC$157,COLUMN()-COLUMN($BC$4),FALSE)</f>
        <v>1</v>
      </c>
      <c r="BI25" s="39">
        <f>VLOOKUP($F25,Assumptions!$E$152:$BC$157,COLUMN()-COLUMN($BC$4),FALSE)</f>
        <v>1</v>
      </c>
      <c r="BJ25" s="39">
        <f>VLOOKUP($F25,Assumptions!$E$152:$BC$157,COLUMN()-COLUMN($BC$4),FALSE)</f>
        <v>1</v>
      </c>
      <c r="BK25" s="39">
        <f>VLOOKUP($F25,Assumptions!$E$152:$BC$157,COLUMN()-COLUMN($BC$4),FALSE)</f>
        <v>1</v>
      </c>
      <c r="BL25" s="39">
        <f>VLOOKUP($F25,Assumptions!$E$152:$BC$157,COLUMN()-COLUMN($BC$4),FALSE)</f>
        <v>1</v>
      </c>
      <c r="BM25" s="39">
        <f>VLOOKUP($F25,Assumptions!$E$152:$BC$157,COLUMN()-COLUMN($BC$4),FALSE)</f>
        <v>1</v>
      </c>
      <c r="BN25" s="39">
        <f>VLOOKUP($F25,Assumptions!$E$152:$BC$157,COLUMN()-COLUMN($BC$4),FALSE)</f>
        <v>1</v>
      </c>
      <c r="BO25" s="39">
        <f>VLOOKUP($F25,Assumptions!$E$152:$BC$157,COLUMN()-COLUMN($BC$4),FALSE)</f>
        <v>1</v>
      </c>
      <c r="BP25" s="39">
        <f>VLOOKUP($F25,Assumptions!$E$152:$BC$157,COLUMN()-COLUMN($BC$4),FALSE)</f>
        <v>1</v>
      </c>
      <c r="BQ25" s="39">
        <f>VLOOKUP($F25,Assumptions!$E$152:$BC$157,COLUMN()-COLUMN($BC$4),FALSE)</f>
        <v>1</v>
      </c>
      <c r="BR25" s="39">
        <f>VLOOKUP($F25,Assumptions!$E$152:$BC$157,COLUMN()-COLUMN($BC$4),FALSE)</f>
        <v>1</v>
      </c>
      <c r="BS25" s="39">
        <f>VLOOKUP($F25,Assumptions!$E$152:$BC$157,COLUMN()-COLUMN($BC$4),FALSE)</f>
        <v>1</v>
      </c>
      <c r="BT25" s="39">
        <f>VLOOKUP($F25,Assumptions!$E$152:$BC$157,COLUMN()-COLUMN($BC$4),FALSE)</f>
        <v>1</v>
      </c>
      <c r="BU25" s="39">
        <f>VLOOKUP($F25,Assumptions!$E$152:$BC$157,COLUMN()-COLUMN($BC$4),FALSE)</f>
        <v>1</v>
      </c>
      <c r="BV25" s="39">
        <f>VLOOKUP($F25,Assumptions!$E$152:$BC$157,COLUMN()-COLUMN($BC$4),FALSE)</f>
        <v>1</v>
      </c>
      <c r="BW25" s="39">
        <f>VLOOKUP($F25,Assumptions!$E$152:$BC$157,COLUMN()-COLUMN($BC$4),FALSE)</f>
        <v>1</v>
      </c>
      <c r="BX25" s="39">
        <f>VLOOKUP($F25,Assumptions!$E$152:$BC$157,COLUMN()-COLUMN($BC$4),FALSE)</f>
        <v>1</v>
      </c>
      <c r="BY25" s="39">
        <f>VLOOKUP($F25,Assumptions!$E$152:$BC$157,COLUMN()-COLUMN($BC$4),FALSE)</f>
        <v>1</v>
      </c>
      <c r="BZ25" s="39">
        <f>VLOOKUP($F25,Assumptions!$E$152:$BC$157,COLUMN()-COLUMN($BC$4),FALSE)</f>
        <v>1</v>
      </c>
      <c r="CA25" s="39">
        <f>VLOOKUP($F25,Assumptions!$E$152:$BC$157,COLUMN()-COLUMN($BC$4),FALSE)</f>
        <v>1</v>
      </c>
      <c r="CB25" s="39">
        <f>VLOOKUP($F25,Assumptions!$E$152:$BC$157,COLUMN()-COLUMN($BC$4),FALSE)</f>
        <v>1</v>
      </c>
      <c r="CC25" s="39">
        <f>VLOOKUP($F25,Assumptions!$E$152:$BC$157,COLUMN()-COLUMN($BC$4),FALSE)</f>
        <v>1</v>
      </c>
      <c r="CD25" s="39">
        <f>VLOOKUP($F25,Assumptions!$E$152:$BC$157,COLUMN()-COLUMN($BC$4),FALSE)</f>
        <v>1</v>
      </c>
      <c r="CE25" s="39">
        <f>VLOOKUP($F25,Assumptions!$E$152:$BC$157,COLUMN()-COLUMN($BC$4),FALSE)</f>
        <v>1</v>
      </c>
      <c r="CF25" s="39">
        <f>VLOOKUP($F25,Assumptions!$E$152:$BC$157,COLUMN()-COLUMN($BC$4),FALSE)</f>
        <v>1</v>
      </c>
      <c r="CG25" s="39">
        <f>VLOOKUP($F25,Assumptions!$E$152:$BC$157,COLUMN()-COLUMN($BC$4),FALSE)</f>
        <v>1</v>
      </c>
      <c r="CH25" s="39">
        <f>VLOOKUP($F25,Assumptions!$E$152:$BC$157,COLUMN()-COLUMN($BC$4),FALSE)</f>
        <v>1</v>
      </c>
      <c r="CI25" s="39">
        <f>VLOOKUP($F25,Assumptions!$E$152:$BC$157,COLUMN()-COLUMN($BC$4),FALSE)</f>
        <v>1</v>
      </c>
      <c r="CJ25" s="39">
        <f>VLOOKUP($F25,Assumptions!$E$152:$BC$157,COLUMN()-COLUMN($BC$4),FALSE)</f>
        <v>1</v>
      </c>
      <c r="CK25" s="39">
        <f>VLOOKUP($F25,Assumptions!$E$152:$BC$157,COLUMN()-COLUMN($BC$4),FALSE)</f>
        <v>1</v>
      </c>
      <c r="CL25" s="39">
        <f>VLOOKUP($F25,Assumptions!$E$152:$BC$157,COLUMN()-COLUMN($BC$4),FALSE)</f>
        <v>1</v>
      </c>
      <c r="CM25" s="39">
        <f>VLOOKUP($F25,Assumptions!$E$152:$BC$157,COLUMN()-COLUMN($BC$4),FALSE)</f>
        <v>1</v>
      </c>
      <c r="CN25" s="39">
        <f>VLOOKUP($F25,Assumptions!$E$152:$BC$157,COLUMN()-COLUMN($BC$4),FALSE)</f>
        <v>1</v>
      </c>
      <c r="CO25" s="39">
        <f>VLOOKUP($F25,Assumptions!$E$152:$BC$157,COLUMN()-COLUMN($BC$4),FALSE)</f>
        <v>1</v>
      </c>
      <c r="CP25" s="39">
        <f>VLOOKUP($F25,Assumptions!$E$152:$BC$157,COLUMN()-COLUMN($BC$4),FALSE)</f>
        <v>1</v>
      </c>
      <c r="CQ25" s="39">
        <f>VLOOKUP($F25,Assumptions!$E$152:$BC$157,COLUMN()-COLUMN($BC$4),FALSE)</f>
        <v>1</v>
      </c>
      <c r="CR25" s="39">
        <f>VLOOKUP($F25,Assumptions!$E$152:$BC$157,COLUMN()-COLUMN($BC$4),FALSE)</f>
        <v>1</v>
      </c>
      <c r="CS25" s="39">
        <f>VLOOKUP($F25,Assumptions!$E$152:$BC$157,COLUMN()-COLUMN($BC$4),FALSE)</f>
        <v>1</v>
      </c>
      <c r="CT25" s="39">
        <f>VLOOKUP($F25,Assumptions!$E$152:$BC$157,COLUMN()-COLUMN($BC$4),FALSE)</f>
        <v>1</v>
      </c>
      <c r="CU25" s="39">
        <f>VLOOKUP($F25,Assumptions!$E$152:$BC$157,COLUMN()-COLUMN($BC$4),FALSE)</f>
        <v>1</v>
      </c>
      <c r="CV25" s="39">
        <f>VLOOKUP($F25,Assumptions!$E$152:$BC$157,COLUMN()-COLUMN($BC$4),FALSE)</f>
        <v>1</v>
      </c>
      <c r="CW25" s="39">
        <f>VLOOKUP($F25,Assumptions!$E$152:$BC$157,COLUMN()-COLUMN($BC$4),FALSE)</f>
        <v>1</v>
      </c>
      <c r="CX25" s="39">
        <f>VLOOKUP($F25,Assumptions!$E$152:$BC$157,COLUMN()-COLUMN($BC$4),FALSE)</f>
        <v>1</v>
      </c>
      <c r="CY25" s="38"/>
      <c r="EV25" s="38"/>
      <c r="EW25" s="38" t="str">
        <f t="shared" si="48"/>
        <v>\I:</v>
      </c>
      <c r="EX25" s="38" t="str">
        <f t="shared" si="68"/>
        <v/>
      </c>
      <c r="EY25" s="38" t="s">
        <v>133</v>
      </c>
      <c r="EZ25" s="38" t="s">
        <v>85</v>
      </c>
      <c r="FA25" s="38" t="s">
        <v>440</v>
      </c>
    </row>
    <row r="26" spans="1:157">
      <c r="C26" s="38" t="str">
        <f t="shared" si="54"/>
        <v/>
      </c>
      <c r="D26" s="38" t="s">
        <v>72</v>
      </c>
      <c r="E26" s="38" t="s">
        <v>445</v>
      </c>
      <c r="F26" s="38" t="s">
        <v>62</v>
      </c>
      <c r="G26" s="39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9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9">
        <f>SUMIFS(Assumptions!BF$105:BF$128,Assumptions!$BB$105:$BB$128,'non-road'!$F26,Assumptions!$BC$105:$BC$128,'non-road'!$D26)/SUMIF(Assumptions!$BB$105:$BB$128,'non-road'!$F26,Assumptions!BF$105:BF$128)</f>
        <v>1</v>
      </c>
      <c r="J26" s="39">
        <f>SUMIFS(Assumptions!BG$105:BG$128,Assumptions!$BB$105:$BB$128,'non-road'!$F26,Assumptions!$BC$105:$BC$128,'non-road'!$D26)/SUMIF(Assumptions!$BB$105:$BB$128,'non-road'!$F26,Assumptions!BG$105:BG$128)</f>
        <v>1</v>
      </c>
      <c r="K26" s="39">
        <f>SUMIFS(Assumptions!BH$105:BH$128,Assumptions!$BB$105:$BB$128,'non-road'!$F26,Assumptions!$BC$105:$BC$128,'non-road'!$D26)/SUMIF(Assumptions!$BB$105:$BB$128,'non-road'!$F26,Assumptions!BH$105:BH$128)</f>
        <v>1</v>
      </c>
      <c r="L26" s="39">
        <f>SUMIFS(Assumptions!BI$105:BI$128,Assumptions!$BB$105:$BB$128,'non-road'!$F26,Assumptions!$BC$105:$BC$128,'non-road'!$D26)/SUMIF(Assumptions!$BB$105:$BB$128,'non-road'!$F26,Assumptions!BI$105:BI$128)</f>
        <v>1</v>
      </c>
      <c r="M26" s="39">
        <f>SUMIFS(Assumptions!BJ$105:BJ$128,Assumptions!$BB$105:$BB$128,'non-road'!$F26,Assumptions!$BC$105:$BC$128,'non-road'!$D26)/SUMIF(Assumptions!$BB$105:$BB$128,'non-road'!$F26,Assumptions!BJ$105:BJ$128)</f>
        <v>1</v>
      </c>
      <c r="N26" s="39">
        <f>SUMIFS(Assumptions!BK$105:BK$128,Assumptions!$BB$105:$BB$128,'non-road'!$F26,Assumptions!$BC$105:$BC$128,'non-road'!$D26)/SUMIF(Assumptions!$BB$105:$BB$128,'non-road'!$F26,Assumptions!BK$105:BK$128)</f>
        <v>1</v>
      </c>
      <c r="O26" s="39">
        <f>SUMIFS(Assumptions!BL$105:BL$128,Assumptions!$BB$105:$BB$128,'non-road'!$F26,Assumptions!$BC$105:$BC$128,'non-road'!$D26)/SUMIF(Assumptions!$BB$105:$BB$128,'non-road'!$F26,Assumptions!BL$105:BL$128)</f>
        <v>1</v>
      </c>
      <c r="P26" s="39">
        <f>SUMIFS(Assumptions!BM$105:BM$128,Assumptions!$BB$105:$BB$128,'non-road'!$F26,Assumptions!$BC$105:$BC$128,'non-road'!$D26)/SUMIF(Assumptions!$BB$105:$BB$128,'non-road'!$F26,Assumptions!BM$105:BM$128)</f>
        <v>1</v>
      </c>
      <c r="Q26" s="39">
        <f>SUMIFS(Assumptions!BN$105:BN$128,Assumptions!$BB$105:$BB$128,'non-road'!$F26,Assumptions!$BC$105:$BC$128,'non-road'!$D26)/SUMIF(Assumptions!$BB$105:$BB$128,'non-road'!$F26,Assumptions!BN$105:BN$128)</f>
        <v>1</v>
      </c>
      <c r="R26" s="39">
        <f>SUMIFS(Assumptions!BO$105:BO$128,Assumptions!$BB$105:$BB$128,'non-road'!$F26,Assumptions!$BC$105:$BC$128,'non-road'!$D26)/SUMIF(Assumptions!$BB$105:$BB$128,'non-road'!$F26,Assumptions!BO$105:BO$128)</f>
        <v>1</v>
      </c>
      <c r="S26" s="39">
        <f>SUMIFS(Assumptions!BP$105:BP$128,Assumptions!$BB$105:$BB$128,'non-road'!$F26,Assumptions!$BC$105:$BC$128,'non-road'!$D26)/SUMIF(Assumptions!$BB$105:$BB$128,'non-road'!$F26,Assumptions!BP$105:BP$128)</f>
        <v>1</v>
      </c>
      <c r="T26" s="39">
        <f>SUMIFS(Assumptions!BQ$105:BQ$128,Assumptions!$BB$105:$BB$128,'non-road'!$F26,Assumptions!$BC$105:$BC$128,'non-road'!$D26)/SUMIF(Assumptions!$BB$105:$BB$128,'non-road'!$F26,Assumptions!BQ$105:BQ$128)</f>
        <v>1</v>
      </c>
      <c r="U26" s="39">
        <f>SUMIFS(Assumptions!BR$105:BR$128,Assumptions!$BB$105:$BB$128,'non-road'!$F26,Assumptions!$BC$105:$BC$128,'non-road'!$D26)/SUMIF(Assumptions!$BB$105:$BB$128,'non-road'!$F26,Assumptions!BR$105:BR$128)</f>
        <v>1</v>
      </c>
      <c r="V26" s="39">
        <f>SUMIFS(Assumptions!BS$105:BS$128,Assumptions!$BB$105:$BB$128,'non-road'!$F26,Assumptions!$BC$105:$BC$128,'non-road'!$D26)/SUMIF(Assumptions!$BB$105:$BB$128,'non-road'!$F26,Assumptions!BS$105:BS$128)</f>
        <v>1</v>
      </c>
      <c r="W26" s="39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9">
        <f>SUMIFS(Assumptions!BU$105:BU$128,Assumptions!$BB$105:$BB$128,'non-road'!$F26,Assumptions!$BC$105:$BC$128,'non-road'!$D26)/SUMIF(Assumptions!$BB$105:$BB$128,'non-road'!$F26,Assumptions!BU$105:BU$128)</f>
        <v>1</v>
      </c>
      <c r="Y26" s="39">
        <f>SUMIFS(Assumptions!BV$105:BV$128,Assumptions!$BB$105:$BB$128,'non-road'!$F26,Assumptions!$BC$105:$BC$128,'non-road'!$D26)/SUMIF(Assumptions!$BB$105:$BB$128,'non-road'!$F26,Assumptions!BV$105:BV$128)</f>
        <v>1</v>
      </c>
      <c r="Z26" s="39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9">
        <f>SUMIFS(Assumptions!BX$105:BX$128,Assumptions!$BB$105:$BB$128,'non-road'!$F26,Assumptions!$BC$105:$BC$128,'non-road'!$D26)/SUMIF(Assumptions!$BB$105:$BB$128,'non-road'!$F26,Assumptions!BX$105:BX$128)</f>
        <v>1</v>
      </c>
      <c r="AB26" s="39">
        <f>SUMIFS(Assumptions!BY$105:BY$128,Assumptions!$BB$105:$BB$128,'non-road'!$F26,Assumptions!$BC$105:$BC$128,'non-road'!$D26)/SUMIF(Assumptions!$BB$105:$BB$128,'non-road'!$F26,Assumptions!BY$105:BY$128)</f>
        <v>1</v>
      </c>
      <c r="AC26" s="39">
        <f>SUMIFS(Assumptions!BZ$105:BZ$128,Assumptions!$BB$105:$BB$128,'non-road'!$F26,Assumptions!$BC$105:$BC$128,'non-road'!$D26)/SUMIF(Assumptions!$BB$105:$BB$128,'non-road'!$F26,Assumptions!BZ$105:BZ$128)</f>
        <v>1</v>
      </c>
      <c r="AD26" s="39">
        <f>SUMIFS(Assumptions!CA$105:CA$128,Assumptions!$BB$105:$BB$128,'non-road'!$F26,Assumptions!$BC$105:$BC$128,'non-road'!$D26)/SUMIF(Assumptions!$BB$105:$BB$128,'non-road'!$F26,Assumptions!CA$105:CA$128)</f>
        <v>1</v>
      </c>
      <c r="AE26" s="39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9">
        <f>SUMIFS(Assumptions!CC$105:CC$128,Assumptions!$BB$105:$BB$128,'non-road'!$F26,Assumptions!$BC$105:$BC$128,'non-road'!$D26)/SUMIF(Assumptions!$BB$105:$BB$128,'non-road'!$F26,Assumptions!CC$105:CC$128)</f>
        <v>1</v>
      </c>
      <c r="AG26" s="39">
        <f>SUMIFS(Assumptions!CD$105:CD$128,Assumptions!$BB$105:$BB$128,'non-road'!$F26,Assumptions!$BC$105:$BC$128,'non-road'!$D26)/SUMIF(Assumptions!$BB$105:$BB$128,'non-road'!$F26,Assumptions!CD$105:CD$128)</f>
        <v>1</v>
      </c>
      <c r="AH26" s="39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9">
        <f>SUMIFS(Assumptions!CF$105:CF$128,Assumptions!$BB$105:$BB$128,'non-road'!$F26,Assumptions!$BC$105:$BC$128,'non-road'!$D26)/SUMIF(Assumptions!$BB$105:$BB$128,'non-road'!$F26,Assumptions!CF$105:CF$128)</f>
        <v>1</v>
      </c>
      <c r="AJ26" s="39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9">
        <f>SUMIFS(Assumptions!CH$105:CH$128,Assumptions!$BB$105:$BB$128,'non-road'!$F26,Assumptions!$BC$105:$BC$128,'non-road'!$D26)/SUMIF(Assumptions!$BB$105:$BB$128,'non-road'!$F26,Assumptions!CH$105:CH$128)</f>
        <v>1</v>
      </c>
      <c r="AL26" s="39">
        <f>SUMIFS(Assumptions!CI$105:CI$128,Assumptions!$BB$105:$BB$128,'non-road'!$F26,Assumptions!$BC$105:$BC$128,'non-road'!$D26)/SUMIF(Assumptions!$BB$105:$BB$128,'non-road'!$F26,Assumptions!CI$105:CI$128)</f>
        <v>1</v>
      </c>
      <c r="AM26" s="39">
        <f>SUMIFS(Assumptions!CJ$105:CJ$128,Assumptions!$BB$105:$BB$128,'non-road'!$F26,Assumptions!$BC$105:$BC$128,'non-road'!$D26)/SUMIF(Assumptions!$BB$105:$BB$128,'non-road'!$F26,Assumptions!CJ$105:CJ$128)</f>
        <v>1</v>
      </c>
      <c r="AN26" s="39">
        <f>SUMIFS(Assumptions!CK$105:CK$128,Assumptions!$BB$105:$BB$128,'non-road'!$F26,Assumptions!$BC$105:$BC$128,'non-road'!$D26)/SUMIF(Assumptions!$BB$105:$BB$128,'non-road'!$F26,Assumptions!CK$105:CK$128)</f>
        <v>0</v>
      </c>
      <c r="AO26" s="39" t="e">
        <f>SUMIFS(Assumptions!CL$105:CL$128,Assumptions!$BB$105:$BB$128,'non-road'!$F26,Assumptions!$BC$105:$BC$128,'non-road'!$D26)/SUMIF(Assumptions!$BB$105:$BB$128,'non-road'!$F26,Assumptions!CL$105:CL$128)</f>
        <v>#DIV/0!</v>
      </c>
      <c r="AP26" s="39" t="e">
        <f>SUMIFS(Assumptions!CM$105:CM$128,Assumptions!$BB$105:$BB$128,'non-road'!$F26,Assumptions!$BC$105:$BC$128,'non-road'!$D26)/SUMIF(Assumptions!$BB$105:$BB$128,'non-road'!$F26,Assumptions!CM$105:CM$128)</f>
        <v>#DIV/0!</v>
      </c>
      <c r="AQ26" s="39" t="e">
        <f>SUMIFS(Assumptions!CN$105:CN$128,Assumptions!$BB$105:$BB$128,'non-road'!$F26,Assumptions!$BC$105:$BC$128,'non-road'!$D26)/SUMIF(Assumptions!$BB$105:$BB$128,'non-road'!$F26,Assumptions!CN$105:CN$128)</f>
        <v>#DIV/0!</v>
      </c>
      <c r="AR26" s="39" t="e">
        <f>SUMIFS(Assumptions!CO$105:CO$128,Assumptions!$BB$105:$BB$128,'non-road'!$F26,Assumptions!$BC$105:$BC$128,'non-road'!$D26)/SUMIF(Assumptions!$BB$105:$BB$128,'non-road'!$F26,Assumptions!CO$105:CO$128)</f>
        <v>#DIV/0!</v>
      </c>
      <c r="AS26" s="39" t="e">
        <f>SUMIFS(Assumptions!CP$105:CP$128,Assumptions!$BB$105:$BB$128,'non-road'!$F26,Assumptions!$BC$105:$BC$128,'non-road'!$D26)/SUMIF(Assumptions!$BB$105:$BB$128,'non-road'!$F26,Assumptions!CP$105:CP$128)</f>
        <v>#DIV/0!</v>
      </c>
      <c r="AT26" s="39" t="e">
        <f>SUMIFS(Assumptions!CQ$105:CQ$128,Assumptions!$BB$105:$BB$128,'non-road'!$F26,Assumptions!$BC$105:$BC$128,'non-road'!$D26)/SUMIF(Assumptions!$BB$105:$BB$128,'non-road'!$F26,Assumptions!CQ$105:CQ$128)</f>
        <v>#DIV/0!</v>
      </c>
      <c r="AU26" s="39" t="e">
        <f>SUMIFS(Assumptions!CR$105:CR$128,Assumptions!$BB$105:$BB$128,'non-road'!$F26,Assumptions!$BC$105:$BC$128,'non-road'!$D26)/SUMIF(Assumptions!$BB$105:$BB$128,'non-road'!$F26,Assumptions!CR$105:CR$128)</f>
        <v>#DIV/0!</v>
      </c>
      <c r="AV26" s="39" t="e">
        <f>SUMIFS(Assumptions!CS$105:CS$128,Assumptions!$BB$105:$BB$128,'non-road'!$F26,Assumptions!$BC$105:$BC$128,'non-road'!$D26)/SUMIF(Assumptions!$BB$105:$BB$128,'non-road'!$F26,Assumptions!CS$105:CS$128)</f>
        <v>#DIV/0!</v>
      </c>
      <c r="AW26" s="39" t="e">
        <f>SUMIFS(Assumptions!CT$105:CT$128,Assumptions!$BB$105:$BB$128,'non-road'!$F26,Assumptions!$BC$105:$BC$128,'non-road'!$D26)/SUMIF(Assumptions!$BB$105:$BB$128,'non-road'!$F26,Assumptions!CT$105:CT$128)</f>
        <v>#DIV/0!</v>
      </c>
      <c r="AX26" s="39" t="e">
        <f>SUMIFS(Assumptions!CU$105:CU$128,Assumptions!$BB$105:$BB$128,'non-road'!$F26,Assumptions!$BC$105:$BC$128,'non-road'!$D26)/SUMIF(Assumptions!$BB$105:$BB$128,'non-road'!$F26,Assumptions!CU$105:CU$128)</f>
        <v>#DIV/0!</v>
      </c>
      <c r="AY26" s="39" t="e">
        <f>SUMIFS(Assumptions!CV$105:CV$128,Assumptions!$BB$105:$BB$128,'non-road'!$F26,Assumptions!$BC$105:$BC$128,'non-road'!$D26)/SUMIF(Assumptions!$BB$105:$BB$128,'non-road'!$F26,Assumptions!CV$105:CV$128)</f>
        <v>#DIV/0!</v>
      </c>
      <c r="AZ26" s="39" t="e">
        <f>SUMIFS(Assumptions!CW$105:CW$128,Assumptions!$BB$105:$BB$128,'non-road'!$F26,Assumptions!$BC$105:$BC$128,'non-road'!$D26)/SUMIF(Assumptions!$BB$105:$BB$128,'non-road'!$F26,Assumptions!CW$105:CW$128)</f>
        <v>#DIV/0!</v>
      </c>
      <c r="BD26" s="38" t="str">
        <f t="shared" si="55"/>
        <v>\I:</v>
      </c>
      <c r="BE26" s="39">
        <f>VLOOKUP($F26,Assumptions!$E$152:$BC$157,COLUMN()-COLUMN($BC$4),FALSE)</f>
        <v>1</v>
      </c>
      <c r="BF26" s="39">
        <f>VLOOKUP($F26,Assumptions!$E$152:$BC$157,COLUMN()-COLUMN($BC$4),FALSE)</f>
        <v>1</v>
      </c>
      <c r="BG26" s="39">
        <f>VLOOKUP($F26,Assumptions!$E$152:$BC$157,COLUMN()-COLUMN($BC$4),FALSE)</f>
        <v>1</v>
      </c>
      <c r="BH26" s="39">
        <f>VLOOKUP($F26,Assumptions!$E$152:$BC$157,COLUMN()-COLUMN($BC$4),FALSE)</f>
        <v>1</v>
      </c>
      <c r="BI26" s="39">
        <f>VLOOKUP($F26,Assumptions!$E$152:$BC$157,COLUMN()-COLUMN($BC$4),FALSE)</f>
        <v>1</v>
      </c>
      <c r="BJ26" s="39">
        <f>VLOOKUP($F26,Assumptions!$E$152:$BC$157,COLUMN()-COLUMN($BC$4),FALSE)</f>
        <v>1</v>
      </c>
      <c r="BK26" s="39">
        <f>VLOOKUP($F26,Assumptions!$E$152:$BC$157,COLUMN()-COLUMN($BC$4),FALSE)</f>
        <v>1</v>
      </c>
      <c r="BL26" s="39">
        <f>VLOOKUP($F26,Assumptions!$E$152:$BC$157,COLUMN()-COLUMN($BC$4),FALSE)</f>
        <v>1</v>
      </c>
      <c r="BM26" s="39">
        <f>VLOOKUP($F26,Assumptions!$E$152:$BC$157,COLUMN()-COLUMN($BC$4),FALSE)</f>
        <v>1</v>
      </c>
      <c r="BN26" s="39">
        <f>VLOOKUP($F26,Assumptions!$E$152:$BC$157,COLUMN()-COLUMN($BC$4),FALSE)</f>
        <v>1</v>
      </c>
      <c r="BO26" s="39">
        <f>VLOOKUP($F26,Assumptions!$E$152:$BC$157,COLUMN()-COLUMN($BC$4),FALSE)</f>
        <v>1</v>
      </c>
      <c r="BP26" s="39">
        <f>VLOOKUP($F26,Assumptions!$E$152:$BC$157,COLUMN()-COLUMN($BC$4),FALSE)</f>
        <v>1</v>
      </c>
      <c r="BQ26" s="39">
        <f>VLOOKUP($F26,Assumptions!$E$152:$BC$157,COLUMN()-COLUMN($BC$4),FALSE)</f>
        <v>1</v>
      </c>
      <c r="BR26" s="39">
        <f>VLOOKUP($F26,Assumptions!$E$152:$BC$157,COLUMN()-COLUMN($BC$4),FALSE)</f>
        <v>1</v>
      </c>
      <c r="BS26" s="39">
        <f>VLOOKUP($F26,Assumptions!$E$152:$BC$157,COLUMN()-COLUMN($BC$4),FALSE)</f>
        <v>1</v>
      </c>
      <c r="BT26" s="39">
        <f>VLOOKUP($F26,Assumptions!$E$152:$BC$157,COLUMN()-COLUMN($BC$4),FALSE)</f>
        <v>1</v>
      </c>
      <c r="BU26" s="39">
        <f>VLOOKUP($F26,Assumptions!$E$152:$BC$157,COLUMN()-COLUMN($BC$4),FALSE)</f>
        <v>1</v>
      </c>
      <c r="BV26" s="39">
        <f>VLOOKUP($F26,Assumptions!$E$152:$BC$157,COLUMN()-COLUMN($BC$4),FALSE)</f>
        <v>1</v>
      </c>
      <c r="BW26" s="39">
        <f>VLOOKUP($F26,Assumptions!$E$152:$BC$157,COLUMN()-COLUMN($BC$4),FALSE)</f>
        <v>1</v>
      </c>
      <c r="BX26" s="39">
        <f>VLOOKUP($F26,Assumptions!$E$152:$BC$157,COLUMN()-COLUMN($BC$4),FALSE)</f>
        <v>1</v>
      </c>
      <c r="BY26" s="39">
        <f>VLOOKUP($F26,Assumptions!$E$152:$BC$157,COLUMN()-COLUMN($BC$4),FALSE)</f>
        <v>1</v>
      </c>
      <c r="BZ26" s="39">
        <f>VLOOKUP($F26,Assumptions!$E$152:$BC$157,COLUMN()-COLUMN($BC$4),FALSE)</f>
        <v>1</v>
      </c>
      <c r="CA26" s="39">
        <f>VLOOKUP($F26,Assumptions!$E$152:$BC$157,COLUMN()-COLUMN($BC$4),FALSE)</f>
        <v>1</v>
      </c>
      <c r="CB26" s="39">
        <f>VLOOKUP($F26,Assumptions!$E$152:$BC$157,COLUMN()-COLUMN($BC$4),FALSE)</f>
        <v>1</v>
      </c>
      <c r="CC26" s="39">
        <f>VLOOKUP($F26,Assumptions!$E$152:$BC$157,COLUMN()-COLUMN($BC$4),FALSE)</f>
        <v>1</v>
      </c>
      <c r="CD26" s="39">
        <f>VLOOKUP($F26,Assumptions!$E$152:$BC$157,COLUMN()-COLUMN($BC$4),FALSE)</f>
        <v>1</v>
      </c>
      <c r="CE26" s="39">
        <f>VLOOKUP($F26,Assumptions!$E$152:$BC$157,COLUMN()-COLUMN($BC$4),FALSE)</f>
        <v>1</v>
      </c>
      <c r="CF26" s="39">
        <f>VLOOKUP($F26,Assumptions!$E$152:$BC$157,COLUMN()-COLUMN($BC$4),FALSE)</f>
        <v>1</v>
      </c>
      <c r="CG26" s="39">
        <f>VLOOKUP($F26,Assumptions!$E$152:$BC$157,COLUMN()-COLUMN($BC$4),FALSE)</f>
        <v>1</v>
      </c>
      <c r="CH26" s="39">
        <f>VLOOKUP($F26,Assumptions!$E$152:$BC$157,COLUMN()-COLUMN($BC$4),FALSE)</f>
        <v>1</v>
      </c>
      <c r="CI26" s="39">
        <f>VLOOKUP($F26,Assumptions!$E$152:$BC$157,COLUMN()-COLUMN($BC$4),FALSE)</f>
        <v>1</v>
      </c>
      <c r="CJ26" s="39">
        <f>VLOOKUP($F26,Assumptions!$E$152:$BC$157,COLUMN()-COLUMN($BC$4),FALSE)</f>
        <v>1</v>
      </c>
      <c r="CK26" s="39">
        <f>VLOOKUP($F26,Assumptions!$E$152:$BC$157,COLUMN()-COLUMN($BC$4),FALSE)</f>
        <v>1</v>
      </c>
      <c r="CL26" s="39">
        <f>VLOOKUP($F26,Assumptions!$E$152:$BC$157,COLUMN()-COLUMN($BC$4),FALSE)</f>
        <v>1</v>
      </c>
      <c r="CM26" s="39">
        <f>VLOOKUP($F26,Assumptions!$E$152:$BC$157,COLUMN()-COLUMN($BC$4),FALSE)</f>
        <v>1</v>
      </c>
      <c r="CN26" s="39">
        <f>VLOOKUP($F26,Assumptions!$E$152:$BC$157,COLUMN()-COLUMN($BC$4),FALSE)</f>
        <v>1</v>
      </c>
      <c r="CO26" s="39">
        <f>VLOOKUP($F26,Assumptions!$E$152:$BC$157,COLUMN()-COLUMN($BC$4),FALSE)</f>
        <v>1</v>
      </c>
      <c r="CP26" s="39">
        <f>VLOOKUP($F26,Assumptions!$E$152:$BC$157,COLUMN()-COLUMN($BC$4),FALSE)</f>
        <v>1</v>
      </c>
      <c r="CQ26" s="39">
        <f>VLOOKUP($F26,Assumptions!$E$152:$BC$157,COLUMN()-COLUMN($BC$4),FALSE)</f>
        <v>1</v>
      </c>
      <c r="CR26" s="39">
        <f>VLOOKUP($F26,Assumptions!$E$152:$BC$157,COLUMN()-COLUMN($BC$4),FALSE)</f>
        <v>1</v>
      </c>
      <c r="CS26" s="39">
        <f>VLOOKUP($F26,Assumptions!$E$152:$BC$157,COLUMN()-COLUMN($BC$4),FALSE)</f>
        <v>1</v>
      </c>
      <c r="CT26" s="39">
        <f>VLOOKUP($F26,Assumptions!$E$152:$BC$157,COLUMN()-COLUMN($BC$4),FALSE)</f>
        <v>1</v>
      </c>
      <c r="CU26" s="39">
        <f>VLOOKUP($F26,Assumptions!$E$152:$BC$157,COLUMN()-COLUMN($BC$4),FALSE)</f>
        <v>1</v>
      </c>
      <c r="CV26" s="39">
        <f>VLOOKUP($F26,Assumptions!$E$152:$BC$157,COLUMN()-COLUMN($BC$4),FALSE)</f>
        <v>1</v>
      </c>
      <c r="CW26" s="39">
        <f>VLOOKUP($F26,Assumptions!$E$152:$BC$157,COLUMN()-COLUMN($BC$4),FALSE)</f>
        <v>1</v>
      </c>
      <c r="CX26" s="39">
        <f>VLOOKUP($F26,Assumptions!$E$152:$BC$157,COLUMN()-COLUMN($BC$4),FALSE)</f>
        <v>1</v>
      </c>
      <c r="CY26" s="38"/>
      <c r="EV26" s="38"/>
      <c r="EW26" s="38" t="str">
        <f t="shared" si="48"/>
        <v>DMD</v>
      </c>
      <c r="EX26" s="38" t="str">
        <f t="shared" si="68"/>
        <v>TWD_Generic</v>
      </c>
      <c r="EY26" s="38" t="s">
        <v>450</v>
      </c>
      <c r="EZ26" s="38" t="s">
        <v>85</v>
      </c>
      <c r="FA26" s="38" t="s">
        <v>440</v>
      </c>
    </row>
    <row r="27" spans="1:157">
      <c r="C27" s="38" t="str">
        <f>IF(F56&lt;&gt;F26,F56&amp;"_Generic","")</f>
        <v>TWD_Generic</v>
      </c>
      <c r="D27" t="s">
        <v>133</v>
      </c>
      <c r="BD27" s="38" t="str">
        <f t="shared" si="55"/>
        <v>TWD_Generic</v>
      </c>
      <c r="BE27" s="39">
        <f>VLOOKUP($F56,Assumptions!$E$152:$BC$157,COLUMN()-COLUMN($BC$4),FALSE)</f>
        <v>1</v>
      </c>
      <c r="BF27" s="39">
        <f>VLOOKUP($F56,Assumptions!$E$152:$BC$157,COLUMN()-COLUMN($BC$4),FALSE)</f>
        <v>1</v>
      </c>
      <c r="BG27" s="39">
        <f>VLOOKUP($F56,Assumptions!$E$152:$BC$157,COLUMN()-COLUMN($BC$4),FALSE)</f>
        <v>1</v>
      </c>
      <c r="BH27" s="39">
        <f>VLOOKUP($F56,Assumptions!$E$152:$BC$157,COLUMN()-COLUMN($BC$4),FALSE)</f>
        <v>1</v>
      </c>
      <c r="BI27" s="39">
        <f>VLOOKUP($F56,Assumptions!$E$152:$BC$157,COLUMN()-COLUMN($BC$4),FALSE)</f>
        <v>1</v>
      </c>
      <c r="BJ27" s="39">
        <f>VLOOKUP($F56,Assumptions!$E$152:$BC$157,COLUMN()-COLUMN($BC$4),FALSE)</f>
        <v>1</v>
      </c>
      <c r="BK27" s="39">
        <f>VLOOKUP($F56,Assumptions!$E$152:$BC$157,COLUMN()-COLUMN($BC$4),FALSE)</f>
        <v>1</v>
      </c>
      <c r="BL27" s="39">
        <f>VLOOKUP($F56,Assumptions!$E$152:$BC$157,COLUMN()-COLUMN($BC$4),FALSE)</f>
        <v>1</v>
      </c>
      <c r="BM27" s="39">
        <f>VLOOKUP($F56,Assumptions!$E$152:$BC$157,COLUMN()-COLUMN($BC$4),FALSE)</f>
        <v>1</v>
      </c>
      <c r="BN27" s="39">
        <f>VLOOKUP($F56,Assumptions!$E$152:$BC$157,COLUMN()-COLUMN($BC$4),FALSE)</f>
        <v>1</v>
      </c>
      <c r="BO27" s="39">
        <f>VLOOKUP($F56,Assumptions!$E$152:$BC$157,COLUMN()-COLUMN($BC$4),FALSE)</f>
        <v>1</v>
      </c>
      <c r="BP27" s="39">
        <f>VLOOKUP($F56,Assumptions!$E$152:$BC$157,COLUMN()-COLUMN($BC$4),FALSE)</f>
        <v>1</v>
      </c>
      <c r="BQ27" s="39">
        <f>VLOOKUP($F56,Assumptions!$E$152:$BC$157,COLUMN()-COLUMN($BC$4),FALSE)</f>
        <v>1</v>
      </c>
      <c r="BR27" s="39">
        <f>VLOOKUP($F56,Assumptions!$E$152:$BC$157,COLUMN()-COLUMN($BC$4),FALSE)</f>
        <v>1</v>
      </c>
      <c r="BS27" s="39">
        <f>VLOOKUP($F56,Assumptions!$E$152:$BC$157,COLUMN()-COLUMN($BC$4),FALSE)</f>
        <v>1</v>
      </c>
      <c r="BT27" s="39">
        <f>VLOOKUP($F56,Assumptions!$E$152:$BC$157,COLUMN()-COLUMN($BC$4),FALSE)</f>
        <v>1</v>
      </c>
      <c r="BU27" s="39">
        <f>VLOOKUP($F56,Assumptions!$E$152:$BC$157,COLUMN()-COLUMN($BC$4),FALSE)</f>
        <v>1</v>
      </c>
      <c r="BV27" s="39">
        <f>VLOOKUP($F56,Assumptions!$E$152:$BC$157,COLUMN()-COLUMN($BC$4),FALSE)</f>
        <v>1</v>
      </c>
      <c r="BW27" s="39">
        <f>VLOOKUP($F56,Assumptions!$E$152:$BC$157,COLUMN()-COLUMN($BC$4),FALSE)</f>
        <v>1</v>
      </c>
      <c r="BX27" s="39">
        <f>VLOOKUP($F56,Assumptions!$E$152:$BC$157,COLUMN()-COLUMN($BC$4),FALSE)</f>
        <v>1</v>
      </c>
      <c r="BY27" s="39">
        <f>VLOOKUP($F56,Assumptions!$E$152:$BC$157,COLUMN()-COLUMN($BC$4),FALSE)</f>
        <v>1</v>
      </c>
      <c r="BZ27" s="39">
        <f>VLOOKUP($F56,Assumptions!$E$152:$BC$157,COLUMN()-COLUMN($BC$4),FALSE)</f>
        <v>1</v>
      </c>
      <c r="CA27" s="39">
        <f>VLOOKUP($F56,Assumptions!$E$152:$BC$157,COLUMN()-COLUMN($BC$4),FALSE)</f>
        <v>1</v>
      </c>
      <c r="CB27" s="39">
        <f>VLOOKUP($F56,Assumptions!$E$152:$BC$157,COLUMN()-COLUMN($BC$4),FALSE)</f>
        <v>1</v>
      </c>
      <c r="CC27" s="39">
        <f>VLOOKUP($F56,Assumptions!$E$152:$BC$157,COLUMN()-COLUMN($BC$4),FALSE)</f>
        <v>1</v>
      </c>
      <c r="CD27" s="39">
        <f>VLOOKUP($F56,Assumptions!$E$152:$BC$157,COLUMN()-COLUMN($BC$4),FALSE)</f>
        <v>1</v>
      </c>
      <c r="CE27" s="39">
        <f>VLOOKUP($F56,Assumptions!$E$152:$BC$157,COLUMN()-COLUMN($BC$4),FALSE)</f>
        <v>1</v>
      </c>
      <c r="CF27" s="39">
        <f>VLOOKUP($F56,Assumptions!$E$152:$BC$157,COLUMN()-COLUMN($BC$4),FALSE)</f>
        <v>1</v>
      </c>
      <c r="CG27" s="39">
        <f>VLOOKUP($F56,Assumptions!$E$152:$BC$157,COLUMN()-COLUMN($BC$4),FALSE)</f>
        <v>1</v>
      </c>
      <c r="CH27" s="39">
        <f>VLOOKUP($F56,Assumptions!$E$152:$BC$157,COLUMN()-COLUMN($BC$4),FALSE)</f>
        <v>1</v>
      </c>
      <c r="CI27" s="39">
        <f>VLOOKUP($F56,Assumptions!$E$152:$BC$157,COLUMN()-COLUMN($BC$4),FALSE)</f>
        <v>1</v>
      </c>
      <c r="CJ27" s="39">
        <f>VLOOKUP($F56,Assumptions!$E$152:$BC$157,COLUMN()-COLUMN($BC$4),FALSE)</f>
        <v>1</v>
      </c>
      <c r="CK27" s="39">
        <f>VLOOKUP($F56,Assumptions!$E$152:$BC$157,COLUMN()-COLUMN($BC$4),FALSE)</f>
        <v>1</v>
      </c>
      <c r="CL27" s="39">
        <f>VLOOKUP($F56,Assumptions!$E$152:$BC$157,COLUMN()-COLUMN($BC$4),FALSE)</f>
        <v>1</v>
      </c>
      <c r="CM27" s="39">
        <f>VLOOKUP($F56,Assumptions!$E$152:$BC$157,COLUMN()-COLUMN($BC$4),FALSE)</f>
        <v>1</v>
      </c>
      <c r="CN27" s="39">
        <f>VLOOKUP($F56,Assumptions!$E$152:$BC$157,COLUMN()-COLUMN($BC$4),FALSE)</f>
        <v>1</v>
      </c>
      <c r="CO27" s="39">
        <f>VLOOKUP($F56,Assumptions!$E$152:$BC$157,COLUMN()-COLUMN($BC$4),FALSE)</f>
        <v>1</v>
      </c>
      <c r="CP27" s="39">
        <f>VLOOKUP($F56,Assumptions!$E$152:$BC$157,COLUMN()-COLUMN($BC$4),FALSE)</f>
        <v>1</v>
      </c>
      <c r="CQ27" s="39">
        <f>VLOOKUP($F56,Assumptions!$E$152:$BC$157,COLUMN()-COLUMN($BC$4),FALSE)</f>
        <v>1</v>
      </c>
      <c r="CR27" s="39">
        <f>VLOOKUP($F56,Assumptions!$E$152:$BC$157,COLUMN()-COLUMN($BC$4),FALSE)</f>
        <v>1</v>
      </c>
      <c r="CS27" s="39">
        <f>VLOOKUP($F56,Assumptions!$E$152:$BC$157,COLUMN()-COLUMN($BC$4),FALSE)</f>
        <v>1</v>
      </c>
      <c r="CT27" s="39">
        <f>VLOOKUP($F56,Assumptions!$E$152:$BC$157,COLUMN()-COLUMN($BC$4),FALSE)</f>
        <v>1</v>
      </c>
      <c r="CU27" s="39">
        <f>VLOOKUP($F56,Assumptions!$E$152:$BC$157,COLUMN()-COLUMN($BC$4),FALSE)</f>
        <v>1</v>
      </c>
      <c r="CV27" s="39">
        <f>VLOOKUP($F56,Assumptions!$E$152:$BC$157,COLUMN()-COLUMN($BC$4),FALSE)</f>
        <v>1</v>
      </c>
      <c r="CW27" s="39">
        <f>VLOOKUP($F56,Assumptions!$E$152:$BC$157,COLUMN()-COLUMN($BC$4),FALSE)</f>
        <v>1</v>
      </c>
      <c r="CX27" s="39">
        <f>VLOOKUP($F56,Assumptions!$E$152:$BC$157,COLUMN()-COLUMN($BC$4),FALSE)</f>
        <v>1</v>
      </c>
      <c r="CY27" s="38"/>
      <c r="DA27" t="s">
        <v>159</v>
      </c>
      <c r="EV27" s="38"/>
      <c r="EW27" s="38" t="str">
        <f t="shared" si="48"/>
        <v>\I:</v>
      </c>
      <c r="EX27" s="38" t="str">
        <f t="shared" si="68"/>
        <v/>
      </c>
      <c r="EY27" s="38" t="s">
        <v>133</v>
      </c>
      <c r="EZ27" s="38" t="s">
        <v>85</v>
      </c>
      <c r="FA27" s="38" t="s">
        <v>440</v>
      </c>
    </row>
    <row r="28" spans="1:157">
      <c r="C28" s="38" t="str">
        <f>IF(F57&lt;&gt;F56,F57&amp;"_Generic","")</f>
        <v/>
      </c>
      <c r="D28" t="s">
        <v>133</v>
      </c>
      <c r="BD28" s="38" t="str">
        <f t="shared" si="55"/>
        <v>\I:</v>
      </c>
      <c r="BE28" s="39">
        <f>VLOOKUP($F57,Assumptions!$E$152:$BC$157,COLUMN()-COLUMN($BC$4),FALSE)</f>
        <v>1</v>
      </c>
      <c r="BF28" s="39">
        <f>VLOOKUP($F57,Assumptions!$E$152:$BC$157,COLUMN()-COLUMN($BC$4),FALSE)</f>
        <v>1</v>
      </c>
      <c r="BG28" s="39">
        <f>VLOOKUP($F57,Assumptions!$E$152:$BC$157,COLUMN()-COLUMN($BC$4),FALSE)</f>
        <v>1</v>
      </c>
      <c r="BH28" s="39">
        <f>VLOOKUP($F57,Assumptions!$E$152:$BC$157,COLUMN()-COLUMN($BC$4),FALSE)</f>
        <v>1</v>
      </c>
      <c r="BI28" s="39">
        <f>VLOOKUP($F57,Assumptions!$E$152:$BC$157,COLUMN()-COLUMN($BC$4),FALSE)</f>
        <v>1</v>
      </c>
      <c r="BJ28" s="39">
        <f>VLOOKUP($F57,Assumptions!$E$152:$BC$157,COLUMN()-COLUMN($BC$4),FALSE)</f>
        <v>1</v>
      </c>
      <c r="BK28" s="39">
        <f>VLOOKUP($F57,Assumptions!$E$152:$BC$157,COLUMN()-COLUMN($BC$4),FALSE)</f>
        <v>1</v>
      </c>
      <c r="BL28" s="39">
        <f>VLOOKUP($F57,Assumptions!$E$152:$BC$157,COLUMN()-COLUMN($BC$4),FALSE)</f>
        <v>1</v>
      </c>
      <c r="BM28" s="39">
        <f>VLOOKUP($F57,Assumptions!$E$152:$BC$157,COLUMN()-COLUMN($BC$4),FALSE)</f>
        <v>1</v>
      </c>
      <c r="BN28" s="39">
        <f>VLOOKUP($F57,Assumptions!$E$152:$BC$157,COLUMN()-COLUMN($BC$4),FALSE)</f>
        <v>1</v>
      </c>
      <c r="BO28" s="39">
        <f>VLOOKUP($F57,Assumptions!$E$152:$BC$157,COLUMN()-COLUMN($BC$4),FALSE)</f>
        <v>1</v>
      </c>
      <c r="BP28" s="39">
        <f>VLOOKUP($F57,Assumptions!$E$152:$BC$157,COLUMN()-COLUMN($BC$4),FALSE)</f>
        <v>1</v>
      </c>
      <c r="BQ28" s="39">
        <f>VLOOKUP($F57,Assumptions!$E$152:$BC$157,COLUMN()-COLUMN($BC$4),FALSE)</f>
        <v>1</v>
      </c>
      <c r="BR28" s="39">
        <f>VLOOKUP($F57,Assumptions!$E$152:$BC$157,COLUMN()-COLUMN($BC$4),FALSE)</f>
        <v>1</v>
      </c>
      <c r="BS28" s="39">
        <f>VLOOKUP($F57,Assumptions!$E$152:$BC$157,COLUMN()-COLUMN($BC$4),FALSE)</f>
        <v>1</v>
      </c>
      <c r="BT28" s="39">
        <f>VLOOKUP($F57,Assumptions!$E$152:$BC$157,COLUMN()-COLUMN($BC$4),FALSE)</f>
        <v>1</v>
      </c>
      <c r="BU28" s="39">
        <f>VLOOKUP($F57,Assumptions!$E$152:$BC$157,COLUMN()-COLUMN($BC$4),FALSE)</f>
        <v>1</v>
      </c>
      <c r="BV28" s="39">
        <f>VLOOKUP($F57,Assumptions!$E$152:$BC$157,COLUMN()-COLUMN($BC$4),FALSE)</f>
        <v>1</v>
      </c>
      <c r="BW28" s="39">
        <f>VLOOKUP($F57,Assumptions!$E$152:$BC$157,COLUMN()-COLUMN($BC$4),FALSE)</f>
        <v>1</v>
      </c>
      <c r="BX28" s="39">
        <f>VLOOKUP($F57,Assumptions!$E$152:$BC$157,COLUMN()-COLUMN($BC$4),FALSE)</f>
        <v>1</v>
      </c>
      <c r="BY28" s="39">
        <f>VLOOKUP($F57,Assumptions!$E$152:$BC$157,COLUMN()-COLUMN($BC$4),FALSE)</f>
        <v>1</v>
      </c>
      <c r="BZ28" s="39">
        <f>VLOOKUP($F57,Assumptions!$E$152:$BC$157,COLUMN()-COLUMN($BC$4),FALSE)</f>
        <v>1</v>
      </c>
      <c r="CA28" s="39">
        <f>VLOOKUP($F57,Assumptions!$E$152:$BC$157,COLUMN()-COLUMN($BC$4),FALSE)</f>
        <v>1</v>
      </c>
      <c r="CB28" s="39">
        <f>VLOOKUP($F57,Assumptions!$E$152:$BC$157,COLUMN()-COLUMN($BC$4),FALSE)</f>
        <v>1</v>
      </c>
      <c r="CC28" s="39">
        <f>VLOOKUP($F57,Assumptions!$E$152:$BC$157,COLUMN()-COLUMN($BC$4),FALSE)</f>
        <v>1</v>
      </c>
      <c r="CD28" s="39">
        <f>VLOOKUP($F57,Assumptions!$E$152:$BC$157,COLUMN()-COLUMN($BC$4),FALSE)</f>
        <v>1</v>
      </c>
      <c r="CE28" s="39">
        <f>VLOOKUP($F57,Assumptions!$E$152:$BC$157,COLUMN()-COLUMN($BC$4),FALSE)</f>
        <v>1</v>
      </c>
      <c r="CF28" s="39">
        <f>VLOOKUP($F57,Assumptions!$E$152:$BC$157,COLUMN()-COLUMN($BC$4),FALSE)</f>
        <v>1</v>
      </c>
      <c r="CG28" s="39">
        <f>VLOOKUP($F57,Assumptions!$E$152:$BC$157,COLUMN()-COLUMN($BC$4),FALSE)</f>
        <v>1</v>
      </c>
      <c r="CH28" s="39">
        <f>VLOOKUP($F57,Assumptions!$E$152:$BC$157,COLUMN()-COLUMN($BC$4),FALSE)</f>
        <v>1</v>
      </c>
      <c r="CI28" s="39">
        <f>VLOOKUP($F57,Assumptions!$E$152:$BC$157,COLUMN()-COLUMN($BC$4),FALSE)</f>
        <v>1</v>
      </c>
      <c r="CJ28" s="39">
        <f>VLOOKUP($F57,Assumptions!$E$152:$BC$157,COLUMN()-COLUMN($BC$4),FALSE)</f>
        <v>1</v>
      </c>
      <c r="CK28" s="39">
        <f>VLOOKUP($F57,Assumptions!$E$152:$BC$157,COLUMN()-COLUMN($BC$4),FALSE)</f>
        <v>1</v>
      </c>
      <c r="CL28" s="39">
        <f>VLOOKUP($F57,Assumptions!$E$152:$BC$157,COLUMN()-COLUMN($BC$4),FALSE)</f>
        <v>1</v>
      </c>
      <c r="CM28" s="39">
        <f>VLOOKUP($F57,Assumptions!$E$152:$BC$157,COLUMN()-COLUMN($BC$4),FALSE)</f>
        <v>1</v>
      </c>
      <c r="CN28" s="39">
        <f>VLOOKUP($F57,Assumptions!$E$152:$BC$157,COLUMN()-COLUMN($BC$4),FALSE)</f>
        <v>1</v>
      </c>
      <c r="CO28" s="39">
        <f>VLOOKUP($F57,Assumptions!$E$152:$BC$157,COLUMN()-COLUMN($BC$4),FALSE)</f>
        <v>1</v>
      </c>
      <c r="CP28" s="39">
        <f>VLOOKUP($F57,Assumptions!$E$152:$BC$157,COLUMN()-COLUMN($BC$4),FALSE)</f>
        <v>1</v>
      </c>
      <c r="CQ28" s="39">
        <f>VLOOKUP($F57,Assumptions!$E$152:$BC$157,COLUMN()-COLUMN($BC$4),FALSE)</f>
        <v>1</v>
      </c>
      <c r="CR28" s="39">
        <f>VLOOKUP($F57,Assumptions!$E$152:$BC$157,COLUMN()-COLUMN($BC$4),FALSE)</f>
        <v>1</v>
      </c>
      <c r="CS28" s="39">
        <f>VLOOKUP($F57,Assumptions!$E$152:$BC$157,COLUMN()-COLUMN($BC$4),FALSE)</f>
        <v>1</v>
      </c>
      <c r="CT28" s="39">
        <f>VLOOKUP($F57,Assumptions!$E$152:$BC$157,COLUMN()-COLUMN($BC$4),FALSE)</f>
        <v>1</v>
      </c>
      <c r="CU28" s="39">
        <f>VLOOKUP($F57,Assumptions!$E$152:$BC$157,COLUMN()-COLUMN($BC$4),FALSE)</f>
        <v>1</v>
      </c>
      <c r="CV28" s="39">
        <f>VLOOKUP($F57,Assumptions!$E$152:$BC$157,COLUMN()-COLUMN($BC$4),FALSE)</f>
        <v>1</v>
      </c>
      <c r="CW28" s="39">
        <f>VLOOKUP($F57,Assumptions!$E$152:$BC$157,COLUMN()-COLUMN($BC$4),FALSE)</f>
        <v>1</v>
      </c>
      <c r="CX28" s="39">
        <f>VLOOKUP($F57,Assumptions!$E$152:$BC$157,COLUMN()-COLUMN($BC$4),FALSE)</f>
        <v>1</v>
      </c>
      <c r="CY28" s="38"/>
      <c r="DA28" t="s">
        <v>160</v>
      </c>
      <c r="DB28" t="s">
        <v>161</v>
      </c>
      <c r="DC28" t="s">
        <v>162</v>
      </c>
      <c r="DD28" t="s">
        <v>163</v>
      </c>
      <c r="EV28" s="38"/>
      <c r="EW28" s="38" t="str">
        <f t="shared" si="48"/>
        <v>\I:</v>
      </c>
      <c r="EX28" s="38" t="str">
        <f t="shared" si="68"/>
        <v/>
      </c>
      <c r="EY28" s="38" t="s">
        <v>133</v>
      </c>
      <c r="EZ28" s="38" t="s">
        <v>85</v>
      </c>
      <c r="FA28" s="38" t="s">
        <v>440</v>
      </c>
    </row>
    <row r="29" spans="1:157">
      <c r="C29" s="38" t="str">
        <f>IF(F29&lt;&gt;F57,F29&amp;"_Generic","")</f>
        <v/>
      </c>
      <c r="D29" s="38" t="s">
        <v>60</v>
      </c>
      <c r="E29" s="38"/>
      <c r="F29" s="38" t="s">
        <v>87</v>
      </c>
      <c r="G29" s="39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9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9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9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9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9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9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9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9">
        <f>SUMIFS(Assumptions!BL$105:BL$128,Assumptions!$BB$105:$BB$128,'non-road'!$F29,Assumptions!$BC$105:$BC$128,'non-road'!$D29)/SUMIF(Assumptions!$BB$105:$BB$128,'non-road'!$F29,Assumptions!BL$105:BL$128)</f>
        <v>1</v>
      </c>
      <c r="P29" s="39">
        <f>SUMIFS(Assumptions!BM$105:BM$128,Assumptions!$BB$105:$BB$128,'non-road'!$F29,Assumptions!$BC$105:$BC$128,'non-road'!$D29)/SUMIF(Assumptions!$BB$105:$BB$128,'non-road'!$F29,Assumptions!BM$105:BM$128)</f>
        <v>1</v>
      </c>
      <c r="Q29" s="39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9">
        <f>SUMIFS(Assumptions!BO$105:BO$128,Assumptions!$BB$105:$BB$128,'non-road'!$F29,Assumptions!$BC$105:$BC$128,'non-road'!$D29)/SUMIF(Assumptions!$BB$105:$BB$128,'non-road'!$F29,Assumptions!BO$105:BO$128)</f>
        <v>1</v>
      </c>
      <c r="S29" s="39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9">
        <f>SUMIFS(Assumptions!BQ$105:BQ$128,Assumptions!$BB$105:$BB$128,'non-road'!$F29,Assumptions!$BC$105:$BC$128,'non-road'!$D29)/SUMIF(Assumptions!$BB$105:$BB$128,'non-road'!$F29,Assumptions!BQ$105:BQ$128)</f>
        <v>1</v>
      </c>
      <c r="U29" s="39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9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9">
        <f>SUMIFS(Assumptions!BT$105:BT$128,Assumptions!$BB$105:$BB$128,'non-road'!$F29,Assumptions!$BC$105:$BC$128,'non-road'!$D29)/SUMIF(Assumptions!$BB$105:$BB$128,'non-road'!$F29,Assumptions!BT$105:BT$128)</f>
        <v>1</v>
      </c>
      <c r="X29" s="39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9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9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9" t="e">
        <f>SUMIFS(Assumptions!BX$105:BX$128,Assumptions!$BB$105:$BB$128,'non-road'!$F29,Assumptions!$BC$105:$BC$128,'non-road'!$D29)/SUMIF(Assumptions!$BB$105:$BB$128,'non-road'!$F29,Assumptions!BX$105:BX$128)</f>
        <v>#DIV/0!</v>
      </c>
      <c r="AB29" s="39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9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9">
        <f>SUMIFS(Assumptions!CA$105:CA$128,Assumptions!$BB$105:$BB$128,'non-road'!$F29,Assumptions!$BC$105:$BC$128,'non-road'!$D29)/SUMIF(Assumptions!$BB$105:$BB$128,'non-road'!$F29,Assumptions!CA$105:CA$128)</f>
        <v>1</v>
      </c>
      <c r="AE29" s="39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9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9" t="e">
        <f>SUMIFS(Assumptions!CD$105:CD$128,Assumptions!$BB$105:$BB$128,'non-road'!$F29,Assumptions!$BC$105:$BC$128,'non-road'!$D29)/SUMIF(Assumptions!$BB$105:$BB$128,'non-road'!$F29,Assumptions!CD$105:CD$128)</f>
        <v>#DIV/0!</v>
      </c>
      <c r="AH29" s="39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9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9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9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9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9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9">
        <f>SUMIFS(Assumptions!CK$105:CK$128,Assumptions!$BB$105:$BB$128,'non-road'!$F29,Assumptions!$BC$105:$BC$128,'non-road'!$D29)/SUMIF(Assumptions!$BB$105:$BB$128,'non-road'!$F29,Assumptions!CK$105:CK$128)</f>
        <v>1</v>
      </c>
      <c r="AO29" s="39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9" t="e">
        <f>SUMIFS(Assumptions!CM$105:CM$128,Assumptions!$BB$105:$BB$128,'non-road'!$F29,Assumptions!$BC$105:$BC$128,'non-road'!$D29)/SUMIF(Assumptions!$BB$105:$BB$128,'non-road'!$F29,Assumptions!CM$105:CM$128)</f>
        <v>#DIV/0!</v>
      </c>
      <c r="AQ29" s="39" t="e">
        <f>SUMIFS(Assumptions!CN$105:CN$128,Assumptions!$BB$105:$BB$128,'non-road'!$F29,Assumptions!$BC$105:$BC$128,'non-road'!$D29)/SUMIF(Assumptions!$BB$105:$BB$128,'non-road'!$F29,Assumptions!CN$105:CN$128)</f>
        <v>#DIV/0!</v>
      </c>
      <c r="AR29" s="39" t="e">
        <f>SUMIFS(Assumptions!CO$105:CO$128,Assumptions!$BB$105:$BB$128,'non-road'!$F29,Assumptions!$BC$105:$BC$128,'non-road'!$D29)/SUMIF(Assumptions!$BB$105:$BB$128,'non-road'!$F29,Assumptions!CO$105:CO$128)</f>
        <v>#DIV/0!</v>
      </c>
      <c r="AS29" s="39" t="e">
        <f>SUMIFS(Assumptions!CP$105:CP$128,Assumptions!$BB$105:$BB$128,'non-road'!$F29,Assumptions!$BC$105:$BC$128,'non-road'!$D29)/SUMIF(Assumptions!$BB$105:$BB$128,'non-road'!$F29,Assumptions!CP$105:CP$128)</f>
        <v>#DIV/0!</v>
      </c>
      <c r="AT29" s="39" t="e">
        <f>SUMIFS(Assumptions!CQ$105:CQ$128,Assumptions!$BB$105:$BB$128,'non-road'!$F29,Assumptions!$BC$105:$BC$128,'non-road'!$D29)/SUMIF(Assumptions!$BB$105:$BB$128,'non-road'!$F29,Assumptions!CQ$105:CQ$128)</f>
        <v>#DIV/0!</v>
      </c>
      <c r="AU29" s="39" t="e">
        <f>SUMIFS(Assumptions!CR$105:CR$128,Assumptions!$BB$105:$BB$128,'non-road'!$F29,Assumptions!$BC$105:$BC$128,'non-road'!$D29)/SUMIF(Assumptions!$BB$105:$BB$128,'non-road'!$F29,Assumptions!CR$105:CR$128)</f>
        <v>#DIV/0!</v>
      </c>
      <c r="AV29" s="39" t="e">
        <f>SUMIFS(Assumptions!CS$105:CS$128,Assumptions!$BB$105:$BB$128,'non-road'!$F29,Assumptions!$BC$105:$BC$128,'non-road'!$D29)/SUMIF(Assumptions!$BB$105:$BB$128,'non-road'!$F29,Assumptions!CS$105:CS$128)</f>
        <v>#DIV/0!</v>
      </c>
      <c r="AW29" s="39" t="e">
        <f>SUMIFS(Assumptions!CT$105:CT$128,Assumptions!$BB$105:$BB$128,'non-road'!$F29,Assumptions!$BC$105:$BC$128,'non-road'!$D29)/SUMIF(Assumptions!$BB$105:$BB$128,'non-road'!$F29,Assumptions!CT$105:CT$128)</f>
        <v>#DIV/0!</v>
      </c>
      <c r="AX29" s="39" t="e">
        <f>SUMIFS(Assumptions!CU$105:CU$128,Assumptions!$BB$105:$BB$128,'non-road'!$F29,Assumptions!$BC$105:$BC$128,'non-road'!$D29)/SUMIF(Assumptions!$BB$105:$BB$128,'non-road'!$F29,Assumptions!CU$105:CU$128)</f>
        <v>#DIV/0!</v>
      </c>
      <c r="AY29" s="39" t="e">
        <f>SUMIFS(Assumptions!CV$105:CV$128,Assumptions!$BB$105:$BB$128,'non-road'!$F29,Assumptions!$BC$105:$BC$128,'non-road'!$D29)/SUMIF(Assumptions!$BB$105:$BB$128,'non-road'!$F29,Assumptions!CV$105:CV$128)</f>
        <v>#DIV/0!</v>
      </c>
      <c r="AZ29" s="39" t="e">
        <f>SUMIFS(Assumptions!CW$105:CW$128,Assumptions!$BB$105:$BB$128,'non-road'!$F29,Assumptions!$BC$105:$BC$128,'non-road'!$D29)/SUMIF(Assumptions!$BB$105:$BB$128,'non-road'!$F29,Assumptions!CW$105:CW$128)</f>
        <v>#DIV/0!</v>
      </c>
      <c r="BD29" s="38" t="str">
        <f t="shared" si="55"/>
        <v>\I:</v>
      </c>
      <c r="BE29" s="39">
        <f>VLOOKUP($F29,Assumptions!$E$152:$BC$157,COLUMN()-COLUMN($BC$4),FALSE)</f>
        <v>1</v>
      </c>
      <c r="BF29" s="39">
        <f>VLOOKUP($F29,Assumptions!$E$152:$BC$157,COLUMN()-COLUMN($BC$4),FALSE)</f>
        <v>1</v>
      </c>
      <c r="BG29" s="39">
        <f>VLOOKUP($F29,Assumptions!$E$152:$BC$157,COLUMN()-COLUMN($BC$4),FALSE)</f>
        <v>1</v>
      </c>
      <c r="BH29" s="39">
        <f>VLOOKUP($F29,Assumptions!$E$152:$BC$157,COLUMN()-COLUMN($BC$4),FALSE)</f>
        <v>1</v>
      </c>
      <c r="BI29" s="39">
        <f>VLOOKUP($F29,Assumptions!$E$152:$BC$157,COLUMN()-COLUMN($BC$4),FALSE)</f>
        <v>1</v>
      </c>
      <c r="BJ29" s="39">
        <f>VLOOKUP($F29,Assumptions!$E$152:$BC$157,COLUMN()-COLUMN($BC$4),FALSE)</f>
        <v>1</v>
      </c>
      <c r="BK29" s="39">
        <f>VLOOKUP($F29,Assumptions!$E$152:$BC$157,COLUMN()-COLUMN($BC$4),FALSE)</f>
        <v>1</v>
      </c>
      <c r="BL29" s="39">
        <f>VLOOKUP($F29,Assumptions!$E$152:$BC$157,COLUMN()-COLUMN($BC$4),FALSE)</f>
        <v>1</v>
      </c>
      <c r="BM29" s="39">
        <f>VLOOKUP($F29,Assumptions!$E$152:$BC$157,COLUMN()-COLUMN($BC$4),FALSE)</f>
        <v>1</v>
      </c>
      <c r="BN29" s="39">
        <f>VLOOKUP($F29,Assumptions!$E$152:$BC$157,COLUMN()-COLUMN($BC$4),FALSE)</f>
        <v>1</v>
      </c>
      <c r="BO29" s="39">
        <f>VLOOKUP($F29,Assumptions!$E$152:$BC$157,COLUMN()-COLUMN($BC$4),FALSE)</f>
        <v>1</v>
      </c>
      <c r="BP29" s="39">
        <f>VLOOKUP($F29,Assumptions!$E$152:$BC$157,COLUMN()-COLUMN($BC$4),FALSE)</f>
        <v>1</v>
      </c>
      <c r="BQ29" s="39">
        <f>VLOOKUP($F29,Assumptions!$E$152:$BC$157,COLUMN()-COLUMN($BC$4),FALSE)</f>
        <v>1</v>
      </c>
      <c r="BR29" s="39">
        <f>VLOOKUP($F29,Assumptions!$E$152:$BC$157,COLUMN()-COLUMN($BC$4),FALSE)</f>
        <v>1</v>
      </c>
      <c r="BS29" s="39">
        <f>VLOOKUP($F29,Assumptions!$E$152:$BC$157,COLUMN()-COLUMN($BC$4),FALSE)</f>
        <v>1</v>
      </c>
      <c r="BT29" s="39">
        <f>VLOOKUP($F29,Assumptions!$E$152:$BC$157,COLUMN()-COLUMN($BC$4),FALSE)</f>
        <v>1</v>
      </c>
      <c r="BU29" s="39">
        <f>VLOOKUP($F29,Assumptions!$E$152:$BC$157,COLUMN()-COLUMN($BC$4),FALSE)</f>
        <v>1</v>
      </c>
      <c r="BV29" s="39">
        <f>VLOOKUP($F29,Assumptions!$E$152:$BC$157,COLUMN()-COLUMN($BC$4),FALSE)</f>
        <v>1</v>
      </c>
      <c r="BW29" s="39">
        <f>VLOOKUP($F29,Assumptions!$E$152:$BC$157,COLUMN()-COLUMN($BC$4),FALSE)</f>
        <v>1</v>
      </c>
      <c r="BX29" s="39">
        <f>VLOOKUP($F29,Assumptions!$E$152:$BC$157,COLUMN()-COLUMN($BC$4),FALSE)</f>
        <v>1</v>
      </c>
      <c r="BY29" s="39">
        <f>VLOOKUP($F29,Assumptions!$E$152:$BC$157,COLUMN()-COLUMN($BC$4),FALSE)</f>
        <v>1</v>
      </c>
      <c r="BZ29" s="39">
        <f>VLOOKUP($F29,Assumptions!$E$152:$BC$157,COLUMN()-COLUMN($BC$4),FALSE)</f>
        <v>1</v>
      </c>
      <c r="CA29" s="39">
        <f>VLOOKUP($F29,Assumptions!$E$152:$BC$157,COLUMN()-COLUMN($BC$4),FALSE)</f>
        <v>1</v>
      </c>
      <c r="CB29" s="39">
        <f>VLOOKUP($F29,Assumptions!$E$152:$BC$157,COLUMN()-COLUMN($BC$4),FALSE)</f>
        <v>1</v>
      </c>
      <c r="CC29" s="39">
        <f>VLOOKUP($F29,Assumptions!$E$152:$BC$157,COLUMN()-COLUMN($BC$4),FALSE)</f>
        <v>1</v>
      </c>
      <c r="CD29" s="39">
        <f>VLOOKUP($F29,Assumptions!$E$152:$BC$157,COLUMN()-COLUMN($BC$4),FALSE)</f>
        <v>1</v>
      </c>
      <c r="CE29" s="39">
        <f>VLOOKUP($F29,Assumptions!$E$152:$BC$157,COLUMN()-COLUMN($BC$4),FALSE)</f>
        <v>1</v>
      </c>
      <c r="CF29" s="39">
        <f>VLOOKUP($F29,Assumptions!$E$152:$BC$157,COLUMN()-COLUMN($BC$4),FALSE)</f>
        <v>1</v>
      </c>
      <c r="CG29" s="39">
        <f>VLOOKUP($F29,Assumptions!$E$152:$BC$157,COLUMN()-COLUMN($BC$4),FALSE)</f>
        <v>1</v>
      </c>
      <c r="CH29" s="39">
        <f>VLOOKUP($F29,Assumptions!$E$152:$BC$157,COLUMN()-COLUMN($BC$4),FALSE)</f>
        <v>1</v>
      </c>
      <c r="CI29" s="39">
        <f>VLOOKUP($F29,Assumptions!$E$152:$BC$157,COLUMN()-COLUMN($BC$4),FALSE)</f>
        <v>1</v>
      </c>
      <c r="CJ29" s="39">
        <f>VLOOKUP($F29,Assumptions!$E$152:$BC$157,COLUMN()-COLUMN($BC$4),FALSE)</f>
        <v>1</v>
      </c>
      <c r="CK29" s="39">
        <f>VLOOKUP($F29,Assumptions!$E$152:$BC$157,COLUMN()-COLUMN($BC$4),FALSE)</f>
        <v>1</v>
      </c>
      <c r="CL29" s="39">
        <f>VLOOKUP($F29,Assumptions!$E$152:$BC$157,COLUMN()-COLUMN($BC$4),FALSE)</f>
        <v>1</v>
      </c>
      <c r="CM29" s="39">
        <f>VLOOKUP($F29,Assumptions!$E$152:$BC$157,COLUMN()-COLUMN($BC$4),FALSE)</f>
        <v>1</v>
      </c>
      <c r="CN29" s="39">
        <f>VLOOKUP($F29,Assumptions!$E$152:$BC$157,COLUMN()-COLUMN($BC$4),FALSE)</f>
        <v>1</v>
      </c>
      <c r="CO29" s="39">
        <f>VLOOKUP($F29,Assumptions!$E$152:$BC$157,COLUMN()-COLUMN($BC$4),FALSE)</f>
        <v>1</v>
      </c>
      <c r="CP29" s="39">
        <f>VLOOKUP($F29,Assumptions!$E$152:$BC$157,COLUMN()-COLUMN($BC$4),FALSE)</f>
        <v>1</v>
      </c>
      <c r="CQ29" s="39">
        <f>VLOOKUP($F29,Assumptions!$E$152:$BC$157,COLUMN()-COLUMN($BC$4),FALSE)</f>
        <v>1</v>
      </c>
      <c r="CR29" s="39">
        <f>VLOOKUP($F29,Assumptions!$E$152:$BC$157,COLUMN()-COLUMN($BC$4),FALSE)</f>
        <v>1</v>
      </c>
      <c r="CS29" s="39">
        <f>VLOOKUP($F29,Assumptions!$E$152:$BC$157,COLUMN()-COLUMN($BC$4),FALSE)</f>
        <v>1</v>
      </c>
      <c r="CT29" s="39">
        <f>VLOOKUP($F29,Assumptions!$E$152:$BC$157,COLUMN()-COLUMN($BC$4),FALSE)</f>
        <v>1</v>
      </c>
      <c r="CU29" s="39">
        <f>VLOOKUP($F29,Assumptions!$E$152:$BC$157,COLUMN()-COLUMN($BC$4),FALSE)</f>
        <v>1</v>
      </c>
      <c r="CV29" s="39">
        <f>VLOOKUP($F29,Assumptions!$E$152:$BC$157,COLUMN()-COLUMN($BC$4),FALSE)</f>
        <v>1</v>
      </c>
      <c r="CW29" s="39">
        <f>VLOOKUP($F29,Assumptions!$E$152:$BC$157,COLUMN()-COLUMN($BC$4),FALSE)</f>
        <v>1</v>
      </c>
      <c r="CX29" s="39">
        <f>VLOOKUP($F29,Assumptions!$E$152:$BC$157,COLUMN()-COLUMN($BC$4),FALSE)</f>
        <v>1</v>
      </c>
      <c r="CY29" s="38"/>
      <c r="DA29" t="s">
        <v>164</v>
      </c>
      <c r="DB29" t="str">
        <f>DA3</f>
        <v>TTF</v>
      </c>
      <c r="DD29" t="s">
        <v>85</v>
      </c>
      <c r="EV29" s="38"/>
      <c r="EW29" s="38" t="str">
        <f t="shared" si="48"/>
        <v>\I:</v>
      </c>
      <c r="EX29" s="38" t="str">
        <f t="shared" si="68"/>
        <v/>
      </c>
      <c r="EY29" s="38" t="s">
        <v>133</v>
      </c>
      <c r="EZ29" s="38" t="s">
        <v>85</v>
      </c>
      <c r="FA29" s="38" t="s">
        <v>440</v>
      </c>
    </row>
    <row r="30" spans="1:157">
      <c r="C30" s="38" t="str">
        <f t="shared" si="54"/>
        <v/>
      </c>
      <c r="D30" s="38" t="s">
        <v>66</v>
      </c>
      <c r="E30" s="38"/>
      <c r="F30" s="38" t="s">
        <v>87</v>
      </c>
      <c r="G30" s="39">
        <f>SUMIFS(Assumptions!BD$105:BD$128,Assumptions!$BB$105:$BB$128,'non-road'!$F30,Assumptions!$BC$105:$BC$128,'non-road'!$D30)/SUMIF(Assumptions!$BB$105:$BB$128,'non-road'!$F30,Assumptions!BD$105:BD$128)</f>
        <v>0</v>
      </c>
      <c r="H30" s="39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9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9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9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9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9">
        <f>SUMIFS(Assumptions!BJ$105:BJ$128,Assumptions!$BB$105:$BB$128,'non-road'!$F30,Assumptions!$BC$105:$BC$128,'non-road'!$D30)/SUMIF(Assumptions!$BB$105:$BB$128,'non-road'!$F30,Assumptions!BJ$105:BJ$128)</f>
        <v>0</v>
      </c>
      <c r="N30" s="39">
        <f>SUMIFS(Assumptions!BK$105:BK$128,Assumptions!$BB$105:$BB$128,'non-road'!$F30,Assumptions!$BC$105:$BC$128,'non-road'!$D30)/SUMIF(Assumptions!$BB$105:$BB$128,'non-road'!$F30,Assumptions!BK$105:BK$128)</f>
        <v>0</v>
      </c>
      <c r="O30" s="39">
        <f>SUMIFS(Assumptions!BL$105:BL$128,Assumptions!$BB$105:$BB$128,'non-road'!$F30,Assumptions!$BC$105:$BC$128,'non-road'!$D30)/SUMIF(Assumptions!$BB$105:$BB$128,'non-road'!$F30,Assumptions!BL$105:BL$128)</f>
        <v>0</v>
      </c>
      <c r="P30" s="39">
        <f>SUMIFS(Assumptions!BM$105:BM$128,Assumptions!$BB$105:$BB$128,'non-road'!$F30,Assumptions!$BC$105:$BC$128,'non-road'!$D30)/SUMIF(Assumptions!$BB$105:$BB$128,'non-road'!$F30,Assumptions!BM$105:BM$128)</f>
        <v>0</v>
      </c>
      <c r="Q30" s="39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9">
        <f>SUMIFS(Assumptions!BO$105:BO$128,Assumptions!$BB$105:$BB$128,'non-road'!$F30,Assumptions!$BC$105:$BC$128,'non-road'!$D30)/SUMIF(Assumptions!$BB$105:$BB$128,'non-road'!$F30,Assumptions!BO$105:BO$128)</f>
        <v>0</v>
      </c>
      <c r="S30" s="39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9">
        <f>SUMIFS(Assumptions!BQ$105:BQ$128,Assumptions!$BB$105:$BB$128,'non-road'!$F30,Assumptions!$BC$105:$BC$128,'non-road'!$D30)/SUMIF(Assumptions!$BB$105:$BB$128,'non-road'!$F30,Assumptions!BQ$105:BQ$128)</f>
        <v>0</v>
      </c>
      <c r="U30" s="39">
        <f>SUMIFS(Assumptions!BR$105:BR$128,Assumptions!$BB$105:$BB$128,'non-road'!$F30,Assumptions!$BC$105:$BC$128,'non-road'!$D30)/SUMIF(Assumptions!$BB$105:$BB$128,'non-road'!$F30,Assumptions!BR$105:BR$128)</f>
        <v>0</v>
      </c>
      <c r="V30" s="39">
        <f>SUMIFS(Assumptions!BS$105:BS$128,Assumptions!$BB$105:$BB$128,'non-road'!$F30,Assumptions!$BC$105:$BC$128,'non-road'!$D30)/SUMIF(Assumptions!$BB$105:$BB$128,'non-road'!$F30,Assumptions!BS$105:BS$128)</f>
        <v>0</v>
      </c>
      <c r="W30" s="39">
        <f>SUMIFS(Assumptions!BT$105:BT$128,Assumptions!$BB$105:$BB$128,'non-road'!$F30,Assumptions!$BC$105:$BC$128,'non-road'!$D30)/SUMIF(Assumptions!$BB$105:$BB$128,'non-road'!$F30,Assumptions!BT$105:BT$128)</f>
        <v>0</v>
      </c>
      <c r="X30" s="39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9">
        <f>SUMIFS(Assumptions!BV$105:BV$128,Assumptions!$BB$105:$BB$128,'non-road'!$F30,Assumptions!$BC$105:$BC$128,'non-road'!$D30)/SUMIF(Assumptions!$BB$105:$BB$128,'non-road'!$F30,Assumptions!BV$105:BV$128)</f>
        <v>0</v>
      </c>
      <c r="Z30" s="39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9" t="e">
        <f>SUMIFS(Assumptions!BX$105:BX$128,Assumptions!$BB$105:$BB$128,'non-road'!$F30,Assumptions!$BC$105:$BC$128,'non-road'!$D30)/SUMIF(Assumptions!$BB$105:$BB$128,'non-road'!$F30,Assumptions!BX$105:BX$128)</f>
        <v>#DIV/0!</v>
      </c>
      <c r="AB30" s="39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9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9">
        <f>SUMIFS(Assumptions!CA$105:CA$128,Assumptions!$BB$105:$BB$128,'non-road'!$F30,Assumptions!$BC$105:$BC$128,'non-road'!$D30)/SUMIF(Assumptions!$BB$105:$BB$128,'non-road'!$F30,Assumptions!CA$105:CA$128)</f>
        <v>0</v>
      </c>
      <c r="AE30" s="39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9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9" t="e">
        <f>SUMIFS(Assumptions!CD$105:CD$128,Assumptions!$BB$105:$BB$128,'non-road'!$F30,Assumptions!$BC$105:$BC$128,'non-road'!$D30)/SUMIF(Assumptions!$BB$105:$BB$128,'non-road'!$F30,Assumptions!CD$105:CD$128)</f>
        <v>#DIV/0!</v>
      </c>
      <c r="AH30" s="39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9">
        <f>SUMIFS(Assumptions!CF$105:CF$128,Assumptions!$BB$105:$BB$128,'non-road'!$F30,Assumptions!$BC$105:$BC$128,'non-road'!$D30)/SUMIF(Assumptions!$BB$105:$BB$128,'non-road'!$F30,Assumptions!CF$105:CF$128)</f>
        <v>0</v>
      </c>
      <c r="AJ30" s="39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9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9">
        <f>SUMIFS(Assumptions!CI$105:CI$128,Assumptions!$BB$105:$BB$128,'non-road'!$F30,Assumptions!$BC$105:$BC$128,'non-road'!$D30)/SUMIF(Assumptions!$BB$105:$BB$128,'non-road'!$F30,Assumptions!CI$105:CI$128)</f>
        <v>0</v>
      </c>
      <c r="AM30" s="39">
        <f>SUMIFS(Assumptions!CJ$105:CJ$128,Assumptions!$BB$105:$BB$128,'non-road'!$F30,Assumptions!$BC$105:$BC$128,'non-road'!$D30)/SUMIF(Assumptions!$BB$105:$BB$128,'non-road'!$F30,Assumptions!CJ$105:CJ$128)</f>
        <v>0</v>
      </c>
      <c r="AN30" s="39">
        <f>SUMIFS(Assumptions!CK$105:CK$128,Assumptions!$BB$105:$BB$128,'non-road'!$F30,Assumptions!$BC$105:$BC$128,'non-road'!$D30)/SUMIF(Assumptions!$BB$105:$BB$128,'non-road'!$F30,Assumptions!CK$105:CK$128)</f>
        <v>0</v>
      </c>
      <c r="AO30" s="39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9" t="e">
        <f>SUMIFS(Assumptions!CM$105:CM$128,Assumptions!$BB$105:$BB$128,'non-road'!$F30,Assumptions!$BC$105:$BC$128,'non-road'!$D30)/SUMIF(Assumptions!$BB$105:$BB$128,'non-road'!$F30,Assumptions!CM$105:CM$128)</f>
        <v>#DIV/0!</v>
      </c>
      <c r="AQ30" s="39" t="e">
        <f>SUMIFS(Assumptions!CN$105:CN$128,Assumptions!$BB$105:$BB$128,'non-road'!$F30,Assumptions!$BC$105:$BC$128,'non-road'!$D30)/SUMIF(Assumptions!$BB$105:$BB$128,'non-road'!$F30,Assumptions!CN$105:CN$128)</f>
        <v>#DIV/0!</v>
      </c>
      <c r="AR30" s="39" t="e">
        <f>SUMIFS(Assumptions!CO$105:CO$128,Assumptions!$BB$105:$BB$128,'non-road'!$F30,Assumptions!$BC$105:$BC$128,'non-road'!$D30)/SUMIF(Assumptions!$BB$105:$BB$128,'non-road'!$F30,Assumptions!CO$105:CO$128)</f>
        <v>#DIV/0!</v>
      </c>
      <c r="AS30" s="39" t="e">
        <f>SUMIFS(Assumptions!CP$105:CP$128,Assumptions!$BB$105:$BB$128,'non-road'!$F30,Assumptions!$BC$105:$BC$128,'non-road'!$D30)/SUMIF(Assumptions!$BB$105:$BB$128,'non-road'!$F30,Assumptions!CP$105:CP$128)</f>
        <v>#DIV/0!</v>
      </c>
      <c r="AT30" s="39" t="e">
        <f>SUMIFS(Assumptions!CQ$105:CQ$128,Assumptions!$BB$105:$BB$128,'non-road'!$F30,Assumptions!$BC$105:$BC$128,'non-road'!$D30)/SUMIF(Assumptions!$BB$105:$BB$128,'non-road'!$F30,Assumptions!CQ$105:CQ$128)</f>
        <v>#DIV/0!</v>
      </c>
      <c r="AU30" s="39" t="e">
        <f>SUMIFS(Assumptions!CR$105:CR$128,Assumptions!$BB$105:$BB$128,'non-road'!$F30,Assumptions!$BC$105:$BC$128,'non-road'!$D30)/SUMIF(Assumptions!$BB$105:$BB$128,'non-road'!$F30,Assumptions!CR$105:CR$128)</f>
        <v>#DIV/0!</v>
      </c>
      <c r="AV30" s="39" t="e">
        <f>SUMIFS(Assumptions!CS$105:CS$128,Assumptions!$BB$105:$BB$128,'non-road'!$F30,Assumptions!$BC$105:$BC$128,'non-road'!$D30)/SUMIF(Assumptions!$BB$105:$BB$128,'non-road'!$F30,Assumptions!CS$105:CS$128)</f>
        <v>#DIV/0!</v>
      </c>
      <c r="AW30" s="39" t="e">
        <f>SUMIFS(Assumptions!CT$105:CT$128,Assumptions!$BB$105:$BB$128,'non-road'!$F30,Assumptions!$BC$105:$BC$128,'non-road'!$D30)/SUMIF(Assumptions!$BB$105:$BB$128,'non-road'!$F30,Assumptions!CT$105:CT$128)</f>
        <v>#DIV/0!</v>
      </c>
      <c r="AX30" s="39" t="e">
        <f>SUMIFS(Assumptions!CU$105:CU$128,Assumptions!$BB$105:$BB$128,'non-road'!$F30,Assumptions!$BC$105:$BC$128,'non-road'!$D30)/SUMIF(Assumptions!$BB$105:$BB$128,'non-road'!$F30,Assumptions!CU$105:CU$128)</f>
        <v>#DIV/0!</v>
      </c>
      <c r="AY30" s="39" t="e">
        <f>SUMIFS(Assumptions!CV$105:CV$128,Assumptions!$BB$105:$BB$128,'non-road'!$F30,Assumptions!$BC$105:$BC$128,'non-road'!$D30)/SUMIF(Assumptions!$BB$105:$BB$128,'non-road'!$F30,Assumptions!CV$105:CV$128)</f>
        <v>#DIV/0!</v>
      </c>
      <c r="AZ30" s="39" t="e">
        <f>SUMIFS(Assumptions!CW$105:CW$128,Assumptions!$BB$105:$BB$128,'non-road'!$F30,Assumptions!$BC$105:$BC$128,'non-road'!$D30)/SUMIF(Assumptions!$BB$105:$BB$128,'non-road'!$F30,Assumptions!CW$105:CW$128)</f>
        <v>#DIV/0!</v>
      </c>
      <c r="BD30" s="38" t="str">
        <f t="shared" si="55"/>
        <v>\I:</v>
      </c>
      <c r="BE30" s="39">
        <f>VLOOKUP($F30,Assumptions!$E$152:$BC$157,COLUMN()-COLUMN($BC$4),FALSE)</f>
        <v>1</v>
      </c>
      <c r="BF30" s="39">
        <f>VLOOKUP($F30,Assumptions!$E$152:$BC$157,COLUMN()-COLUMN($BC$4),FALSE)</f>
        <v>1</v>
      </c>
      <c r="BG30" s="39">
        <f>VLOOKUP($F30,Assumptions!$E$152:$BC$157,COLUMN()-COLUMN($BC$4),FALSE)</f>
        <v>1</v>
      </c>
      <c r="BH30" s="39">
        <f>VLOOKUP($F30,Assumptions!$E$152:$BC$157,COLUMN()-COLUMN($BC$4),FALSE)</f>
        <v>1</v>
      </c>
      <c r="BI30" s="39">
        <f>VLOOKUP($F30,Assumptions!$E$152:$BC$157,COLUMN()-COLUMN($BC$4),FALSE)</f>
        <v>1</v>
      </c>
      <c r="BJ30" s="39">
        <f>VLOOKUP($F30,Assumptions!$E$152:$BC$157,COLUMN()-COLUMN($BC$4),FALSE)</f>
        <v>1</v>
      </c>
      <c r="BK30" s="39">
        <f>VLOOKUP($F30,Assumptions!$E$152:$BC$157,COLUMN()-COLUMN($BC$4),FALSE)</f>
        <v>1</v>
      </c>
      <c r="BL30" s="39">
        <f>VLOOKUP($F30,Assumptions!$E$152:$BC$157,COLUMN()-COLUMN($BC$4),FALSE)</f>
        <v>1</v>
      </c>
      <c r="BM30" s="39">
        <f>VLOOKUP($F30,Assumptions!$E$152:$BC$157,COLUMN()-COLUMN($BC$4),FALSE)</f>
        <v>1</v>
      </c>
      <c r="BN30" s="39">
        <f>VLOOKUP($F30,Assumptions!$E$152:$BC$157,COLUMN()-COLUMN($BC$4),FALSE)</f>
        <v>1</v>
      </c>
      <c r="BO30" s="39">
        <f>VLOOKUP($F30,Assumptions!$E$152:$BC$157,COLUMN()-COLUMN($BC$4),FALSE)</f>
        <v>1</v>
      </c>
      <c r="BP30" s="39">
        <f>VLOOKUP($F30,Assumptions!$E$152:$BC$157,COLUMN()-COLUMN($BC$4),FALSE)</f>
        <v>1</v>
      </c>
      <c r="BQ30" s="39">
        <f>VLOOKUP($F30,Assumptions!$E$152:$BC$157,COLUMN()-COLUMN($BC$4),FALSE)</f>
        <v>1</v>
      </c>
      <c r="BR30" s="39">
        <f>VLOOKUP($F30,Assumptions!$E$152:$BC$157,COLUMN()-COLUMN($BC$4),FALSE)</f>
        <v>1</v>
      </c>
      <c r="BS30" s="39">
        <f>VLOOKUP($F30,Assumptions!$E$152:$BC$157,COLUMN()-COLUMN($BC$4),FALSE)</f>
        <v>1</v>
      </c>
      <c r="BT30" s="39">
        <f>VLOOKUP($F30,Assumptions!$E$152:$BC$157,COLUMN()-COLUMN($BC$4),FALSE)</f>
        <v>1</v>
      </c>
      <c r="BU30" s="39">
        <f>VLOOKUP($F30,Assumptions!$E$152:$BC$157,COLUMN()-COLUMN($BC$4),FALSE)</f>
        <v>1</v>
      </c>
      <c r="BV30" s="39">
        <f>VLOOKUP($F30,Assumptions!$E$152:$BC$157,COLUMN()-COLUMN($BC$4),FALSE)</f>
        <v>1</v>
      </c>
      <c r="BW30" s="39">
        <f>VLOOKUP($F30,Assumptions!$E$152:$BC$157,COLUMN()-COLUMN($BC$4),FALSE)</f>
        <v>1</v>
      </c>
      <c r="BX30" s="39">
        <f>VLOOKUP($F30,Assumptions!$E$152:$BC$157,COLUMN()-COLUMN($BC$4),FALSE)</f>
        <v>1</v>
      </c>
      <c r="BY30" s="39">
        <f>VLOOKUP($F30,Assumptions!$E$152:$BC$157,COLUMN()-COLUMN($BC$4),FALSE)</f>
        <v>1</v>
      </c>
      <c r="BZ30" s="39">
        <f>VLOOKUP($F30,Assumptions!$E$152:$BC$157,COLUMN()-COLUMN($BC$4),FALSE)</f>
        <v>1</v>
      </c>
      <c r="CA30" s="39">
        <f>VLOOKUP($F30,Assumptions!$E$152:$BC$157,COLUMN()-COLUMN($BC$4),FALSE)</f>
        <v>1</v>
      </c>
      <c r="CB30" s="39">
        <f>VLOOKUP($F30,Assumptions!$E$152:$BC$157,COLUMN()-COLUMN($BC$4),FALSE)</f>
        <v>1</v>
      </c>
      <c r="CC30" s="39">
        <f>VLOOKUP($F30,Assumptions!$E$152:$BC$157,COLUMN()-COLUMN($BC$4),FALSE)</f>
        <v>1</v>
      </c>
      <c r="CD30" s="39">
        <f>VLOOKUP($F30,Assumptions!$E$152:$BC$157,COLUMN()-COLUMN($BC$4),FALSE)</f>
        <v>1</v>
      </c>
      <c r="CE30" s="39">
        <f>VLOOKUP($F30,Assumptions!$E$152:$BC$157,COLUMN()-COLUMN($BC$4),FALSE)</f>
        <v>1</v>
      </c>
      <c r="CF30" s="39">
        <f>VLOOKUP($F30,Assumptions!$E$152:$BC$157,COLUMN()-COLUMN($BC$4),FALSE)</f>
        <v>1</v>
      </c>
      <c r="CG30" s="39">
        <f>VLOOKUP($F30,Assumptions!$E$152:$BC$157,COLUMN()-COLUMN($BC$4),FALSE)</f>
        <v>1</v>
      </c>
      <c r="CH30" s="39">
        <f>VLOOKUP($F30,Assumptions!$E$152:$BC$157,COLUMN()-COLUMN($BC$4),FALSE)</f>
        <v>1</v>
      </c>
      <c r="CI30" s="39">
        <f>VLOOKUP($F30,Assumptions!$E$152:$BC$157,COLUMN()-COLUMN($BC$4),FALSE)</f>
        <v>1</v>
      </c>
      <c r="CJ30" s="39">
        <f>VLOOKUP($F30,Assumptions!$E$152:$BC$157,COLUMN()-COLUMN($BC$4),FALSE)</f>
        <v>1</v>
      </c>
      <c r="CK30" s="39">
        <f>VLOOKUP($F30,Assumptions!$E$152:$BC$157,COLUMN()-COLUMN($BC$4),FALSE)</f>
        <v>1</v>
      </c>
      <c r="CL30" s="39">
        <f>VLOOKUP($F30,Assumptions!$E$152:$BC$157,COLUMN()-COLUMN($BC$4),FALSE)</f>
        <v>1</v>
      </c>
      <c r="CM30" s="39">
        <f>VLOOKUP($F30,Assumptions!$E$152:$BC$157,COLUMN()-COLUMN($BC$4),FALSE)</f>
        <v>1</v>
      </c>
      <c r="CN30" s="39">
        <f>VLOOKUP($F30,Assumptions!$E$152:$BC$157,COLUMN()-COLUMN($BC$4),FALSE)</f>
        <v>1</v>
      </c>
      <c r="CO30" s="39">
        <f>VLOOKUP($F30,Assumptions!$E$152:$BC$157,COLUMN()-COLUMN($BC$4),FALSE)</f>
        <v>1</v>
      </c>
      <c r="CP30" s="39">
        <f>VLOOKUP($F30,Assumptions!$E$152:$BC$157,COLUMN()-COLUMN($BC$4),FALSE)</f>
        <v>1</v>
      </c>
      <c r="CQ30" s="39">
        <f>VLOOKUP($F30,Assumptions!$E$152:$BC$157,COLUMN()-COLUMN($BC$4),FALSE)</f>
        <v>1</v>
      </c>
      <c r="CR30" s="39">
        <f>VLOOKUP($F30,Assumptions!$E$152:$BC$157,COLUMN()-COLUMN($BC$4),FALSE)</f>
        <v>1</v>
      </c>
      <c r="CS30" s="39">
        <f>VLOOKUP($F30,Assumptions!$E$152:$BC$157,COLUMN()-COLUMN($BC$4),FALSE)</f>
        <v>1</v>
      </c>
      <c r="CT30" s="39">
        <f>VLOOKUP($F30,Assumptions!$E$152:$BC$157,COLUMN()-COLUMN($BC$4),FALSE)</f>
        <v>1</v>
      </c>
      <c r="CU30" s="39">
        <f>VLOOKUP($F30,Assumptions!$E$152:$BC$157,COLUMN()-COLUMN($BC$4),FALSE)</f>
        <v>1</v>
      </c>
      <c r="CV30" s="39">
        <f>VLOOKUP($F30,Assumptions!$E$152:$BC$157,COLUMN()-COLUMN($BC$4),FALSE)</f>
        <v>1</v>
      </c>
      <c r="CW30" s="39">
        <f>VLOOKUP($F30,Assumptions!$E$152:$BC$157,COLUMN()-COLUMN($BC$4),FALSE)</f>
        <v>1</v>
      </c>
      <c r="CX30" s="39">
        <f>VLOOKUP($F30,Assumptions!$E$152:$BC$157,COLUMN()-COLUMN($BC$4),FALSE)</f>
        <v>1</v>
      </c>
      <c r="CY30" s="38"/>
      <c r="DB30" t="str">
        <f t="shared" ref="DB30:DB34" si="69">DA4</f>
        <v>TTP</v>
      </c>
      <c r="DD30" t="s">
        <v>85</v>
      </c>
      <c r="EV30" s="38"/>
      <c r="EW30" s="38" t="str">
        <f t="shared" si="48"/>
        <v>\I:</v>
      </c>
      <c r="EX30" s="38" t="str">
        <f t="shared" si="68"/>
        <v/>
      </c>
      <c r="EY30" s="38" t="s">
        <v>133</v>
      </c>
      <c r="EZ30" s="38" t="s">
        <v>85</v>
      </c>
      <c r="FA30" s="38" t="s">
        <v>440</v>
      </c>
    </row>
    <row r="31" spans="1:157">
      <c r="C31" s="38" t="str">
        <f t="shared" si="54"/>
        <v/>
      </c>
      <c r="D31" s="38" t="s">
        <v>69</v>
      </c>
      <c r="E31" s="38"/>
      <c r="F31" s="38" t="s">
        <v>87</v>
      </c>
      <c r="G31" s="39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9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9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9">
        <f>SUMIFS(Assumptions!BG$105:BG$128,Assumptions!$BB$105:$BB$128,'non-road'!$F31,Assumptions!$BC$105:$BC$128,'non-road'!$D31)/SUMIF(Assumptions!$BB$105:$BB$128,'non-road'!$F31,Assumptions!BG$105:BG$128)</f>
        <v>0</v>
      </c>
      <c r="K31" s="39">
        <f>SUMIFS(Assumptions!BH$105:BH$128,Assumptions!$BB$105:$BB$128,'non-road'!$F31,Assumptions!$BC$105:$BC$128,'non-road'!$D31)/SUMIF(Assumptions!$BB$105:$BB$128,'non-road'!$F31,Assumptions!BH$105:BH$128)</f>
        <v>0</v>
      </c>
      <c r="L31" s="39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9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9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9">
        <f>SUMIFS(Assumptions!BL$105:BL$128,Assumptions!$BB$105:$BB$128,'non-road'!$F31,Assumptions!$BC$105:$BC$128,'non-road'!$D31)/SUMIF(Assumptions!$BB$105:$BB$128,'non-road'!$F31,Assumptions!BL$105:BL$128)</f>
        <v>0</v>
      </c>
      <c r="P31" s="39">
        <f>SUMIFS(Assumptions!BM$105:BM$128,Assumptions!$BB$105:$BB$128,'non-road'!$F31,Assumptions!$BC$105:$BC$128,'non-road'!$D31)/SUMIF(Assumptions!$BB$105:$BB$128,'non-road'!$F31,Assumptions!BM$105:BM$128)</f>
        <v>0</v>
      </c>
      <c r="Q31" s="39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9">
        <f>SUMIFS(Assumptions!BO$105:BO$128,Assumptions!$BB$105:$BB$128,'non-road'!$F31,Assumptions!$BC$105:$BC$128,'non-road'!$D31)/SUMIF(Assumptions!$BB$105:$BB$128,'non-road'!$F31,Assumptions!BO$105:BO$128)</f>
        <v>0</v>
      </c>
      <c r="S31" s="39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9">
        <f>SUMIFS(Assumptions!BQ$105:BQ$128,Assumptions!$BB$105:$BB$128,'non-road'!$F31,Assumptions!$BC$105:$BC$128,'non-road'!$D31)/SUMIF(Assumptions!$BB$105:$BB$128,'non-road'!$F31,Assumptions!BQ$105:BQ$128)</f>
        <v>0</v>
      </c>
      <c r="U31" s="39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9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9">
        <f>SUMIFS(Assumptions!BT$105:BT$128,Assumptions!$BB$105:$BB$128,'non-road'!$F31,Assumptions!$BC$105:$BC$128,'non-road'!$D31)/SUMIF(Assumptions!$BB$105:$BB$128,'non-road'!$F31,Assumptions!BT$105:BT$128)</f>
        <v>0</v>
      </c>
      <c r="X31" s="39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9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9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9" t="e">
        <f>SUMIFS(Assumptions!BX$105:BX$128,Assumptions!$BB$105:$BB$128,'non-road'!$F31,Assumptions!$BC$105:$BC$128,'non-road'!$D31)/SUMIF(Assumptions!$BB$105:$BB$128,'non-road'!$F31,Assumptions!BX$105:BX$128)</f>
        <v>#DIV/0!</v>
      </c>
      <c r="AB31" s="39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9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9">
        <f>SUMIFS(Assumptions!CA$105:CA$128,Assumptions!$BB$105:$BB$128,'non-road'!$F31,Assumptions!$BC$105:$BC$128,'non-road'!$D31)/SUMIF(Assumptions!$BB$105:$BB$128,'non-road'!$F31,Assumptions!CA$105:CA$128)</f>
        <v>0</v>
      </c>
      <c r="AE31" s="39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9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9" t="e">
        <f>SUMIFS(Assumptions!CD$105:CD$128,Assumptions!$BB$105:$BB$128,'non-road'!$F31,Assumptions!$BC$105:$BC$128,'non-road'!$D31)/SUMIF(Assumptions!$BB$105:$BB$128,'non-road'!$F31,Assumptions!CD$105:CD$128)</f>
        <v>#DIV/0!</v>
      </c>
      <c r="AH31" s="39">
        <f>SUMIFS(Assumptions!CE$105:CE$128,Assumptions!$BB$105:$BB$128,'non-road'!$F31,Assumptions!$BC$105:$BC$128,'non-road'!$D31)/SUMIF(Assumptions!$BB$105:$BB$128,'non-road'!$F31,Assumptions!CE$105:CE$128)</f>
        <v>0</v>
      </c>
      <c r="AI31" s="39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9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9">
        <f>SUMIFS(Assumptions!CH$105:CH$128,Assumptions!$BB$105:$BB$128,'non-road'!$F31,Assumptions!$BC$105:$BC$128,'non-road'!$D31)/SUMIF(Assumptions!$BB$105:$BB$128,'non-road'!$F31,Assumptions!CH$105:CH$128)</f>
        <v>0</v>
      </c>
      <c r="AL31" s="39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9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9">
        <f>SUMIFS(Assumptions!CK$105:CK$128,Assumptions!$BB$105:$BB$128,'non-road'!$F31,Assumptions!$BC$105:$BC$128,'non-road'!$D31)/SUMIF(Assumptions!$BB$105:$BB$128,'non-road'!$F31,Assumptions!CK$105:CK$128)</f>
        <v>0</v>
      </c>
      <c r="AO31" s="39">
        <f>SUMIFS(Assumptions!CL$105:CL$128,Assumptions!$BB$105:$BB$128,'non-road'!$F31,Assumptions!$BC$105:$BC$128,'non-road'!$D31)/SUMIF(Assumptions!$BB$105:$BB$128,'non-road'!$F31,Assumptions!CL$105:CL$128)</f>
        <v>0</v>
      </c>
      <c r="AP31" s="39" t="e">
        <f>SUMIFS(Assumptions!CM$105:CM$128,Assumptions!$BB$105:$BB$128,'non-road'!$F31,Assumptions!$BC$105:$BC$128,'non-road'!$D31)/SUMIF(Assumptions!$BB$105:$BB$128,'non-road'!$F31,Assumptions!CM$105:CM$128)</f>
        <v>#DIV/0!</v>
      </c>
      <c r="AQ31" s="39" t="e">
        <f>SUMIFS(Assumptions!CN$105:CN$128,Assumptions!$BB$105:$BB$128,'non-road'!$F31,Assumptions!$BC$105:$BC$128,'non-road'!$D31)/SUMIF(Assumptions!$BB$105:$BB$128,'non-road'!$F31,Assumptions!CN$105:CN$128)</f>
        <v>#DIV/0!</v>
      </c>
      <c r="AR31" s="39" t="e">
        <f>SUMIFS(Assumptions!CO$105:CO$128,Assumptions!$BB$105:$BB$128,'non-road'!$F31,Assumptions!$BC$105:$BC$128,'non-road'!$D31)/SUMIF(Assumptions!$BB$105:$BB$128,'non-road'!$F31,Assumptions!CO$105:CO$128)</f>
        <v>#DIV/0!</v>
      </c>
      <c r="AS31" s="39" t="e">
        <f>SUMIFS(Assumptions!CP$105:CP$128,Assumptions!$BB$105:$BB$128,'non-road'!$F31,Assumptions!$BC$105:$BC$128,'non-road'!$D31)/SUMIF(Assumptions!$BB$105:$BB$128,'non-road'!$F31,Assumptions!CP$105:CP$128)</f>
        <v>#DIV/0!</v>
      </c>
      <c r="AT31" s="39" t="e">
        <f>SUMIFS(Assumptions!CQ$105:CQ$128,Assumptions!$BB$105:$BB$128,'non-road'!$F31,Assumptions!$BC$105:$BC$128,'non-road'!$D31)/SUMIF(Assumptions!$BB$105:$BB$128,'non-road'!$F31,Assumptions!CQ$105:CQ$128)</f>
        <v>#DIV/0!</v>
      </c>
      <c r="AU31" s="39" t="e">
        <f>SUMIFS(Assumptions!CR$105:CR$128,Assumptions!$BB$105:$BB$128,'non-road'!$F31,Assumptions!$BC$105:$BC$128,'non-road'!$D31)/SUMIF(Assumptions!$BB$105:$BB$128,'non-road'!$F31,Assumptions!CR$105:CR$128)</f>
        <v>#DIV/0!</v>
      </c>
      <c r="AV31" s="39" t="e">
        <f>SUMIFS(Assumptions!CS$105:CS$128,Assumptions!$BB$105:$BB$128,'non-road'!$F31,Assumptions!$BC$105:$BC$128,'non-road'!$D31)/SUMIF(Assumptions!$BB$105:$BB$128,'non-road'!$F31,Assumptions!CS$105:CS$128)</f>
        <v>#DIV/0!</v>
      </c>
      <c r="AW31" s="39" t="e">
        <f>SUMIFS(Assumptions!CT$105:CT$128,Assumptions!$BB$105:$BB$128,'non-road'!$F31,Assumptions!$BC$105:$BC$128,'non-road'!$D31)/SUMIF(Assumptions!$BB$105:$BB$128,'non-road'!$F31,Assumptions!CT$105:CT$128)</f>
        <v>#DIV/0!</v>
      </c>
      <c r="AX31" s="39" t="e">
        <f>SUMIFS(Assumptions!CU$105:CU$128,Assumptions!$BB$105:$BB$128,'non-road'!$F31,Assumptions!$BC$105:$BC$128,'non-road'!$D31)/SUMIF(Assumptions!$BB$105:$BB$128,'non-road'!$F31,Assumptions!CU$105:CU$128)</f>
        <v>#DIV/0!</v>
      </c>
      <c r="AY31" s="39" t="e">
        <f>SUMIFS(Assumptions!CV$105:CV$128,Assumptions!$BB$105:$BB$128,'non-road'!$F31,Assumptions!$BC$105:$BC$128,'non-road'!$D31)/SUMIF(Assumptions!$BB$105:$BB$128,'non-road'!$F31,Assumptions!CV$105:CV$128)</f>
        <v>#DIV/0!</v>
      </c>
      <c r="AZ31" s="39" t="e">
        <f>SUMIFS(Assumptions!CW$105:CW$128,Assumptions!$BB$105:$BB$128,'non-road'!$F31,Assumptions!$BC$105:$BC$128,'non-road'!$D31)/SUMIF(Assumptions!$BB$105:$BB$128,'non-road'!$F31,Assumptions!CW$105:CW$128)</f>
        <v>#DIV/0!</v>
      </c>
      <c r="BD31" s="38" t="str">
        <f t="shared" si="55"/>
        <v>\I:</v>
      </c>
      <c r="BE31" s="39">
        <f>VLOOKUP($F31,Assumptions!$E$152:$BC$157,COLUMN()-COLUMN($BC$4),FALSE)</f>
        <v>1</v>
      </c>
      <c r="BF31" s="39">
        <f>VLOOKUP($F31,Assumptions!$E$152:$BC$157,COLUMN()-COLUMN($BC$4),FALSE)</f>
        <v>1</v>
      </c>
      <c r="BG31" s="39">
        <f>VLOOKUP($F31,Assumptions!$E$152:$BC$157,COLUMN()-COLUMN($BC$4),FALSE)</f>
        <v>1</v>
      </c>
      <c r="BH31" s="39">
        <f>VLOOKUP($F31,Assumptions!$E$152:$BC$157,COLUMN()-COLUMN($BC$4),FALSE)</f>
        <v>1</v>
      </c>
      <c r="BI31" s="39">
        <f>VLOOKUP($F31,Assumptions!$E$152:$BC$157,COLUMN()-COLUMN($BC$4),FALSE)</f>
        <v>1</v>
      </c>
      <c r="BJ31" s="39">
        <f>VLOOKUP($F31,Assumptions!$E$152:$BC$157,COLUMN()-COLUMN($BC$4),FALSE)</f>
        <v>1</v>
      </c>
      <c r="BK31" s="39">
        <f>VLOOKUP($F31,Assumptions!$E$152:$BC$157,COLUMN()-COLUMN($BC$4),FALSE)</f>
        <v>1</v>
      </c>
      <c r="BL31" s="39">
        <f>VLOOKUP($F31,Assumptions!$E$152:$BC$157,COLUMN()-COLUMN($BC$4),FALSE)</f>
        <v>1</v>
      </c>
      <c r="BM31" s="39">
        <f>VLOOKUP($F31,Assumptions!$E$152:$BC$157,COLUMN()-COLUMN($BC$4),FALSE)</f>
        <v>1</v>
      </c>
      <c r="BN31" s="39">
        <f>VLOOKUP($F31,Assumptions!$E$152:$BC$157,COLUMN()-COLUMN($BC$4),FALSE)</f>
        <v>1</v>
      </c>
      <c r="BO31" s="39">
        <f>VLOOKUP($F31,Assumptions!$E$152:$BC$157,COLUMN()-COLUMN($BC$4),FALSE)</f>
        <v>1</v>
      </c>
      <c r="BP31" s="39">
        <f>VLOOKUP($F31,Assumptions!$E$152:$BC$157,COLUMN()-COLUMN($BC$4),FALSE)</f>
        <v>1</v>
      </c>
      <c r="BQ31" s="39">
        <f>VLOOKUP($F31,Assumptions!$E$152:$BC$157,COLUMN()-COLUMN($BC$4),FALSE)</f>
        <v>1</v>
      </c>
      <c r="BR31" s="39">
        <f>VLOOKUP($F31,Assumptions!$E$152:$BC$157,COLUMN()-COLUMN($BC$4),FALSE)</f>
        <v>1</v>
      </c>
      <c r="BS31" s="39">
        <f>VLOOKUP($F31,Assumptions!$E$152:$BC$157,COLUMN()-COLUMN($BC$4),FALSE)</f>
        <v>1</v>
      </c>
      <c r="BT31" s="39">
        <f>VLOOKUP($F31,Assumptions!$E$152:$BC$157,COLUMN()-COLUMN($BC$4),FALSE)</f>
        <v>1</v>
      </c>
      <c r="BU31" s="39">
        <f>VLOOKUP($F31,Assumptions!$E$152:$BC$157,COLUMN()-COLUMN($BC$4),FALSE)</f>
        <v>1</v>
      </c>
      <c r="BV31" s="39">
        <f>VLOOKUP($F31,Assumptions!$E$152:$BC$157,COLUMN()-COLUMN($BC$4),FALSE)</f>
        <v>1</v>
      </c>
      <c r="BW31" s="39">
        <f>VLOOKUP($F31,Assumptions!$E$152:$BC$157,COLUMN()-COLUMN($BC$4),FALSE)</f>
        <v>1</v>
      </c>
      <c r="BX31" s="39">
        <f>VLOOKUP($F31,Assumptions!$E$152:$BC$157,COLUMN()-COLUMN($BC$4),FALSE)</f>
        <v>1</v>
      </c>
      <c r="BY31" s="39">
        <f>VLOOKUP($F31,Assumptions!$E$152:$BC$157,COLUMN()-COLUMN($BC$4),FALSE)</f>
        <v>1</v>
      </c>
      <c r="BZ31" s="39">
        <f>VLOOKUP($F31,Assumptions!$E$152:$BC$157,COLUMN()-COLUMN($BC$4),FALSE)</f>
        <v>1</v>
      </c>
      <c r="CA31" s="39">
        <f>VLOOKUP($F31,Assumptions!$E$152:$BC$157,COLUMN()-COLUMN($BC$4),FALSE)</f>
        <v>1</v>
      </c>
      <c r="CB31" s="39">
        <f>VLOOKUP($F31,Assumptions!$E$152:$BC$157,COLUMN()-COLUMN($BC$4),FALSE)</f>
        <v>1</v>
      </c>
      <c r="CC31" s="39">
        <f>VLOOKUP($F31,Assumptions!$E$152:$BC$157,COLUMN()-COLUMN($BC$4),FALSE)</f>
        <v>1</v>
      </c>
      <c r="CD31" s="39">
        <f>VLOOKUP($F31,Assumptions!$E$152:$BC$157,COLUMN()-COLUMN($BC$4),FALSE)</f>
        <v>1</v>
      </c>
      <c r="CE31" s="39">
        <f>VLOOKUP($F31,Assumptions!$E$152:$BC$157,COLUMN()-COLUMN($BC$4),FALSE)</f>
        <v>1</v>
      </c>
      <c r="CF31" s="39">
        <f>VLOOKUP($F31,Assumptions!$E$152:$BC$157,COLUMN()-COLUMN($BC$4),FALSE)</f>
        <v>1</v>
      </c>
      <c r="CG31" s="39">
        <f>VLOOKUP($F31,Assumptions!$E$152:$BC$157,COLUMN()-COLUMN($BC$4),FALSE)</f>
        <v>1</v>
      </c>
      <c r="CH31" s="39">
        <f>VLOOKUP($F31,Assumptions!$E$152:$BC$157,COLUMN()-COLUMN($BC$4),FALSE)</f>
        <v>1</v>
      </c>
      <c r="CI31" s="39">
        <f>VLOOKUP($F31,Assumptions!$E$152:$BC$157,COLUMN()-COLUMN($BC$4),FALSE)</f>
        <v>1</v>
      </c>
      <c r="CJ31" s="39">
        <f>VLOOKUP($F31,Assumptions!$E$152:$BC$157,COLUMN()-COLUMN($BC$4),FALSE)</f>
        <v>1</v>
      </c>
      <c r="CK31" s="39">
        <f>VLOOKUP($F31,Assumptions!$E$152:$BC$157,COLUMN()-COLUMN($BC$4),FALSE)</f>
        <v>1</v>
      </c>
      <c r="CL31" s="39">
        <f>VLOOKUP($F31,Assumptions!$E$152:$BC$157,COLUMN()-COLUMN($BC$4),FALSE)</f>
        <v>1</v>
      </c>
      <c r="CM31" s="39">
        <f>VLOOKUP($F31,Assumptions!$E$152:$BC$157,COLUMN()-COLUMN($BC$4),FALSE)</f>
        <v>1</v>
      </c>
      <c r="CN31" s="39">
        <f>VLOOKUP($F31,Assumptions!$E$152:$BC$157,COLUMN()-COLUMN($BC$4),FALSE)</f>
        <v>1</v>
      </c>
      <c r="CO31" s="39">
        <f>VLOOKUP($F31,Assumptions!$E$152:$BC$157,COLUMN()-COLUMN($BC$4),FALSE)</f>
        <v>1</v>
      </c>
      <c r="CP31" s="39">
        <f>VLOOKUP($F31,Assumptions!$E$152:$BC$157,COLUMN()-COLUMN($BC$4),FALSE)</f>
        <v>1</v>
      </c>
      <c r="CQ31" s="39">
        <f>VLOOKUP($F31,Assumptions!$E$152:$BC$157,COLUMN()-COLUMN($BC$4),FALSE)</f>
        <v>1</v>
      </c>
      <c r="CR31" s="39">
        <f>VLOOKUP($F31,Assumptions!$E$152:$BC$157,COLUMN()-COLUMN($BC$4),FALSE)</f>
        <v>1</v>
      </c>
      <c r="CS31" s="39">
        <f>VLOOKUP($F31,Assumptions!$E$152:$BC$157,COLUMN()-COLUMN($BC$4),FALSE)</f>
        <v>1</v>
      </c>
      <c r="CT31" s="39">
        <f>VLOOKUP($F31,Assumptions!$E$152:$BC$157,COLUMN()-COLUMN($BC$4),FALSE)</f>
        <v>1</v>
      </c>
      <c r="CU31" s="39">
        <f>VLOOKUP($F31,Assumptions!$E$152:$BC$157,COLUMN()-COLUMN($BC$4),FALSE)</f>
        <v>1</v>
      </c>
      <c r="CV31" s="39">
        <f>VLOOKUP($F31,Assumptions!$E$152:$BC$157,COLUMN()-COLUMN($BC$4),FALSE)</f>
        <v>1</v>
      </c>
      <c r="CW31" s="39">
        <f>VLOOKUP($F31,Assumptions!$E$152:$BC$157,COLUMN()-COLUMN($BC$4),FALSE)</f>
        <v>1</v>
      </c>
      <c r="CX31" s="39">
        <f>VLOOKUP($F31,Assumptions!$E$152:$BC$157,COLUMN()-COLUMN($BC$4),FALSE)</f>
        <v>1</v>
      </c>
      <c r="CY31" s="38"/>
      <c r="DB31" t="str">
        <f t="shared" si="69"/>
        <v>TAI</v>
      </c>
      <c r="DD31" t="s">
        <v>85</v>
      </c>
      <c r="EV31" s="38"/>
      <c r="EW31" s="38" t="str">
        <f t="shared" si="48"/>
        <v>\I:</v>
      </c>
      <c r="EX31" s="38" t="str">
        <f t="shared" si="68"/>
        <v/>
      </c>
      <c r="EY31" s="38" t="s">
        <v>133</v>
      </c>
      <c r="EZ31" s="38" t="s">
        <v>85</v>
      </c>
      <c r="FA31" s="38" t="s">
        <v>440</v>
      </c>
    </row>
    <row r="32" spans="1:157">
      <c r="C32" s="38" t="str">
        <f t="shared" si="54"/>
        <v/>
      </c>
      <c r="D32" s="38" t="s">
        <v>72</v>
      </c>
      <c r="E32" s="38"/>
      <c r="F32" s="38" t="s">
        <v>87</v>
      </c>
      <c r="G32" s="39">
        <f>SUMIFS(Assumptions!BD$105:BD$128,Assumptions!$BB$105:$BB$128,'non-road'!$F32,Assumptions!$BC$105:$BC$128,'non-road'!$D32)/SUMIF(Assumptions!$BB$105:$BB$128,'non-road'!$F32,Assumptions!BD$105:BD$128)</f>
        <v>0</v>
      </c>
      <c r="H32" s="39">
        <f>SUMIFS(Assumptions!BE$105:BE$128,Assumptions!$BB$105:$BB$128,'non-road'!$F32,Assumptions!$BC$105:$BC$128,'non-road'!$D32)/SUMIF(Assumptions!$BB$105:$BB$128,'non-road'!$F32,Assumptions!BE$105:BE$128)</f>
        <v>0</v>
      </c>
      <c r="I32" s="39">
        <f>SUMIFS(Assumptions!BF$105:BF$128,Assumptions!$BB$105:$BB$128,'non-road'!$F32,Assumptions!$BC$105:$BC$128,'non-road'!$D32)/SUMIF(Assumptions!$BB$105:$BB$128,'non-road'!$F32,Assumptions!BF$105:BF$128)</f>
        <v>0</v>
      </c>
      <c r="J32" s="39">
        <f>SUMIFS(Assumptions!BG$105:BG$128,Assumptions!$BB$105:$BB$128,'non-road'!$F32,Assumptions!$BC$105:$BC$128,'non-road'!$D32)/SUMIF(Assumptions!$BB$105:$BB$128,'non-road'!$F32,Assumptions!BG$105:BG$128)</f>
        <v>0</v>
      </c>
      <c r="K32" s="39">
        <f>SUMIFS(Assumptions!BH$105:BH$128,Assumptions!$BB$105:$BB$128,'non-road'!$F32,Assumptions!$BC$105:$BC$128,'non-road'!$D32)/SUMIF(Assumptions!$BB$105:$BB$128,'non-road'!$F32,Assumptions!BH$105:BH$128)</f>
        <v>0</v>
      </c>
      <c r="L32" s="39">
        <f>SUMIFS(Assumptions!BI$105:BI$128,Assumptions!$BB$105:$BB$128,'non-road'!$F32,Assumptions!$BC$105:$BC$128,'non-road'!$D32)/SUMIF(Assumptions!$BB$105:$BB$128,'non-road'!$F32,Assumptions!BI$105:BI$128)</f>
        <v>0</v>
      </c>
      <c r="M32" s="39">
        <f>SUMIFS(Assumptions!BJ$105:BJ$128,Assumptions!$BB$105:$BB$128,'non-road'!$F32,Assumptions!$BC$105:$BC$128,'non-road'!$D32)/SUMIF(Assumptions!$BB$105:$BB$128,'non-road'!$F32,Assumptions!BJ$105:BJ$128)</f>
        <v>0</v>
      </c>
      <c r="N32" s="39">
        <f>SUMIFS(Assumptions!BK$105:BK$128,Assumptions!$BB$105:$BB$128,'non-road'!$F32,Assumptions!$BC$105:$BC$128,'non-road'!$D32)/SUMIF(Assumptions!$BB$105:$BB$128,'non-road'!$F32,Assumptions!BK$105:BK$128)</f>
        <v>0</v>
      </c>
      <c r="O32" s="39">
        <f>SUMIFS(Assumptions!BL$105:BL$128,Assumptions!$BB$105:$BB$128,'non-road'!$F32,Assumptions!$BC$105:$BC$128,'non-road'!$D32)/SUMIF(Assumptions!$BB$105:$BB$128,'non-road'!$F32,Assumptions!BL$105:BL$128)</f>
        <v>0</v>
      </c>
      <c r="P32" s="39">
        <f>SUMIFS(Assumptions!BM$105:BM$128,Assumptions!$BB$105:$BB$128,'non-road'!$F32,Assumptions!$BC$105:$BC$128,'non-road'!$D32)/SUMIF(Assumptions!$BB$105:$BB$128,'non-road'!$F32,Assumptions!BM$105:BM$128)</f>
        <v>0</v>
      </c>
      <c r="Q32" s="39">
        <f>SUMIFS(Assumptions!BN$105:BN$128,Assumptions!$BB$105:$BB$128,'non-road'!$F32,Assumptions!$BC$105:$BC$128,'non-road'!$D32)/SUMIF(Assumptions!$BB$105:$BB$128,'non-road'!$F32,Assumptions!BN$105:BN$128)</f>
        <v>0</v>
      </c>
      <c r="R32" s="39">
        <f>SUMIFS(Assumptions!BO$105:BO$128,Assumptions!$BB$105:$BB$128,'non-road'!$F32,Assumptions!$BC$105:$BC$128,'non-road'!$D32)/SUMIF(Assumptions!$BB$105:$BB$128,'non-road'!$F32,Assumptions!BO$105:BO$128)</f>
        <v>0</v>
      </c>
      <c r="S32" s="39">
        <f>SUMIFS(Assumptions!BP$105:BP$128,Assumptions!$BB$105:$BB$128,'non-road'!$F32,Assumptions!$BC$105:$BC$128,'non-road'!$D32)/SUMIF(Assumptions!$BB$105:$BB$128,'non-road'!$F32,Assumptions!BP$105:BP$128)</f>
        <v>0</v>
      </c>
      <c r="T32" s="39">
        <f>SUMIFS(Assumptions!BQ$105:BQ$128,Assumptions!$BB$105:$BB$128,'non-road'!$F32,Assumptions!$BC$105:$BC$128,'non-road'!$D32)/SUMIF(Assumptions!$BB$105:$BB$128,'non-road'!$F32,Assumptions!BQ$105:BQ$128)</f>
        <v>0</v>
      </c>
      <c r="U32" s="39">
        <f>SUMIFS(Assumptions!BR$105:BR$128,Assumptions!$BB$105:$BB$128,'non-road'!$F32,Assumptions!$BC$105:$BC$128,'non-road'!$D32)/SUMIF(Assumptions!$BB$105:$BB$128,'non-road'!$F32,Assumptions!BR$105:BR$128)</f>
        <v>0</v>
      </c>
      <c r="V32" s="39">
        <f>SUMIFS(Assumptions!BS$105:BS$128,Assumptions!$BB$105:$BB$128,'non-road'!$F32,Assumptions!$BC$105:$BC$128,'non-road'!$D32)/SUMIF(Assumptions!$BB$105:$BB$128,'non-road'!$F32,Assumptions!BS$105:BS$128)</f>
        <v>0</v>
      </c>
      <c r="W32" s="39">
        <f>SUMIFS(Assumptions!BT$105:BT$128,Assumptions!$BB$105:$BB$128,'non-road'!$F32,Assumptions!$BC$105:$BC$128,'non-road'!$D32)/SUMIF(Assumptions!$BB$105:$BB$128,'non-road'!$F32,Assumptions!BT$105:BT$128)</f>
        <v>0</v>
      </c>
      <c r="X32" s="39">
        <f>SUMIFS(Assumptions!BU$105:BU$128,Assumptions!$BB$105:$BB$128,'non-road'!$F32,Assumptions!$BC$105:$BC$128,'non-road'!$D32)/SUMIF(Assumptions!$BB$105:$BB$128,'non-road'!$F32,Assumptions!BU$105:BU$128)</f>
        <v>0</v>
      </c>
      <c r="Y32" s="39">
        <f>SUMIFS(Assumptions!BV$105:BV$128,Assumptions!$BB$105:$BB$128,'non-road'!$F32,Assumptions!$BC$105:$BC$128,'non-road'!$D32)/SUMIF(Assumptions!$BB$105:$BB$128,'non-road'!$F32,Assumptions!BV$105:BV$128)</f>
        <v>0</v>
      </c>
      <c r="Z32" s="39">
        <f>SUMIFS(Assumptions!BW$105:BW$128,Assumptions!$BB$105:$BB$128,'non-road'!$F32,Assumptions!$BC$105:$BC$128,'non-road'!$D32)/SUMIF(Assumptions!$BB$105:$BB$128,'non-road'!$F32,Assumptions!BW$105:BW$128)</f>
        <v>0</v>
      </c>
      <c r="AA32" s="39" t="e">
        <f>SUMIFS(Assumptions!BX$105:BX$128,Assumptions!$BB$105:$BB$128,'non-road'!$F32,Assumptions!$BC$105:$BC$128,'non-road'!$D32)/SUMIF(Assumptions!$BB$105:$BB$128,'non-road'!$F32,Assumptions!BX$105:BX$128)</f>
        <v>#DIV/0!</v>
      </c>
      <c r="AB32" s="39">
        <f>SUMIFS(Assumptions!BY$105:BY$128,Assumptions!$BB$105:$BB$128,'non-road'!$F32,Assumptions!$BC$105:$BC$128,'non-road'!$D32)/SUMIF(Assumptions!$BB$105:$BB$128,'non-road'!$F32,Assumptions!BY$105:BY$128)</f>
        <v>0</v>
      </c>
      <c r="AC32" s="39">
        <f>SUMIFS(Assumptions!BZ$105:BZ$128,Assumptions!$BB$105:$BB$128,'non-road'!$F32,Assumptions!$BC$105:$BC$128,'non-road'!$D32)/SUMIF(Assumptions!$BB$105:$BB$128,'non-road'!$F32,Assumptions!BZ$105:BZ$128)</f>
        <v>0</v>
      </c>
      <c r="AD32" s="39">
        <f>SUMIFS(Assumptions!CA$105:CA$128,Assumptions!$BB$105:$BB$128,'non-road'!$F32,Assumptions!$BC$105:$BC$128,'non-road'!$D32)/SUMIF(Assumptions!$BB$105:$BB$128,'non-road'!$F32,Assumptions!CA$105:CA$128)</f>
        <v>0</v>
      </c>
      <c r="AE32" s="39">
        <f>SUMIFS(Assumptions!CB$105:CB$128,Assumptions!$BB$105:$BB$128,'non-road'!$F32,Assumptions!$BC$105:$BC$128,'non-road'!$D32)/SUMIF(Assumptions!$BB$105:$BB$128,'non-road'!$F32,Assumptions!CB$105:CB$128)</f>
        <v>0</v>
      </c>
      <c r="AF32" s="39">
        <f>SUMIFS(Assumptions!CC$105:CC$128,Assumptions!$BB$105:$BB$128,'non-road'!$F32,Assumptions!$BC$105:$BC$128,'non-road'!$D32)/SUMIF(Assumptions!$BB$105:$BB$128,'non-road'!$F32,Assumptions!CC$105:CC$128)</f>
        <v>0</v>
      </c>
      <c r="AG32" s="39" t="e">
        <f>SUMIFS(Assumptions!CD$105:CD$128,Assumptions!$BB$105:$BB$128,'non-road'!$F32,Assumptions!$BC$105:$BC$128,'non-road'!$D32)/SUMIF(Assumptions!$BB$105:$BB$128,'non-road'!$F32,Assumptions!CD$105:CD$128)</f>
        <v>#DIV/0!</v>
      </c>
      <c r="AH32" s="39">
        <f>SUMIFS(Assumptions!CE$105:CE$128,Assumptions!$BB$105:$BB$128,'non-road'!$F32,Assumptions!$BC$105:$BC$128,'non-road'!$D32)/SUMIF(Assumptions!$BB$105:$BB$128,'non-road'!$F32,Assumptions!CE$105:CE$128)</f>
        <v>0</v>
      </c>
      <c r="AI32" s="39">
        <f>SUMIFS(Assumptions!CF$105:CF$128,Assumptions!$BB$105:$BB$128,'non-road'!$F32,Assumptions!$BC$105:$BC$128,'non-road'!$D32)/SUMIF(Assumptions!$BB$105:$BB$128,'non-road'!$F32,Assumptions!CF$105:CF$128)</f>
        <v>0</v>
      </c>
      <c r="AJ32" s="39">
        <f>SUMIFS(Assumptions!CG$105:CG$128,Assumptions!$BB$105:$BB$128,'non-road'!$F32,Assumptions!$BC$105:$BC$128,'non-road'!$D32)/SUMIF(Assumptions!$BB$105:$BB$128,'non-road'!$F32,Assumptions!CG$105:CG$128)</f>
        <v>0</v>
      </c>
      <c r="AK32" s="39">
        <f>SUMIFS(Assumptions!CH$105:CH$128,Assumptions!$BB$105:$BB$128,'non-road'!$F32,Assumptions!$BC$105:$BC$128,'non-road'!$D32)/SUMIF(Assumptions!$BB$105:$BB$128,'non-road'!$F32,Assumptions!CH$105:CH$128)</f>
        <v>0</v>
      </c>
      <c r="AL32" s="39">
        <f>SUMIFS(Assumptions!CI$105:CI$128,Assumptions!$BB$105:$BB$128,'non-road'!$F32,Assumptions!$BC$105:$BC$128,'non-road'!$D32)/SUMIF(Assumptions!$BB$105:$BB$128,'non-road'!$F32,Assumptions!CI$105:CI$128)</f>
        <v>0</v>
      </c>
      <c r="AM32" s="39">
        <f>SUMIFS(Assumptions!CJ$105:CJ$128,Assumptions!$BB$105:$BB$128,'non-road'!$F32,Assumptions!$BC$105:$BC$128,'non-road'!$D32)/SUMIF(Assumptions!$BB$105:$BB$128,'non-road'!$F32,Assumptions!CJ$105:CJ$128)</f>
        <v>0</v>
      </c>
      <c r="AN32" s="39">
        <f>SUMIFS(Assumptions!CK$105:CK$128,Assumptions!$BB$105:$BB$128,'non-road'!$F32,Assumptions!$BC$105:$BC$128,'non-road'!$D32)/SUMIF(Assumptions!$BB$105:$BB$128,'non-road'!$F32,Assumptions!CK$105:CK$128)</f>
        <v>0</v>
      </c>
      <c r="AO32" s="39">
        <f>SUMIFS(Assumptions!CL$105:CL$128,Assumptions!$BB$105:$BB$128,'non-road'!$F32,Assumptions!$BC$105:$BC$128,'non-road'!$D32)/SUMIF(Assumptions!$BB$105:$BB$128,'non-road'!$F32,Assumptions!CL$105:CL$128)</f>
        <v>0</v>
      </c>
      <c r="AP32" s="39" t="e">
        <f>SUMIFS(Assumptions!CM$105:CM$128,Assumptions!$BB$105:$BB$128,'non-road'!$F32,Assumptions!$BC$105:$BC$128,'non-road'!$D32)/SUMIF(Assumptions!$BB$105:$BB$128,'non-road'!$F32,Assumptions!CM$105:CM$128)</f>
        <v>#DIV/0!</v>
      </c>
      <c r="AQ32" s="39" t="e">
        <f>SUMIFS(Assumptions!CN$105:CN$128,Assumptions!$BB$105:$BB$128,'non-road'!$F32,Assumptions!$BC$105:$BC$128,'non-road'!$D32)/SUMIF(Assumptions!$BB$105:$BB$128,'non-road'!$F32,Assumptions!CN$105:CN$128)</f>
        <v>#DIV/0!</v>
      </c>
      <c r="AR32" s="39" t="e">
        <f>SUMIFS(Assumptions!CO$105:CO$128,Assumptions!$BB$105:$BB$128,'non-road'!$F32,Assumptions!$BC$105:$BC$128,'non-road'!$D32)/SUMIF(Assumptions!$BB$105:$BB$128,'non-road'!$F32,Assumptions!CO$105:CO$128)</f>
        <v>#DIV/0!</v>
      </c>
      <c r="AS32" s="39" t="e">
        <f>SUMIFS(Assumptions!CP$105:CP$128,Assumptions!$BB$105:$BB$128,'non-road'!$F32,Assumptions!$BC$105:$BC$128,'non-road'!$D32)/SUMIF(Assumptions!$BB$105:$BB$128,'non-road'!$F32,Assumptions!CP$105:CP$128)</f>
        <v>#DIV/0!</v>
      </c>
      <c r="AT32" s="39" t="e">
        <f>SUMIFS(Assumptions!CQ$105:CQ$128,Assumptions!$BB$105:$BB$128,'non-road'!$F32,Assumptions!$BC$105:$BC$128,'non-road'!$D32)/SUMIF(Assumptions!$BB$105:$BB$128,'non-road'!$F32,Assumptions!CQ$105:CQ$128)</f>
        <v>#DIV/0!</v>
      </c>
      <c r="AU32" s="39" t="e">
        <f>SUMIFS(Assumptions!CR$105:CR$128,Assumptions!$BB$105:$BB$128,'non-road'!$F32,Assumptions!$BC$105:$BC$128,'non-road'!$D32)/SUMIF(Assumptions!$BB$105:$BB$128,'non-road'!$F32,Assumptions!CR$105:CR$128)</f>
        <v>#DIV/0!</v>
      </c>
      <c r="AV32" s="39" t="e">
        <f>SUMIFS(Assumptions!CS$105:CS$128,Assumptions!$BB$105:$BB$128,'non-road'!$F32,Assumptions!$BC$105:$BC$128,'non-road'!$D32)/SUMIF(Assumptions!$BB$105:$BB$128,'non-road'!$F32,Assumptions!CS$105:CS$128)</f>
        <v>#DIV/0!</v>
      </c>
      <c r="AW32" s="39" t="e">
        <f>SUMIFS(Assumptions!CT$105:CT$128,Assumptions!$BB$105:$BB$128,'non-road'!$F32,Assumptions!$BC$105:$BC$128,'non-road'!$D32)/SUMIF(Assumptions!$BB$105:$BB$128,'non-road'!$F32,Assumptions!CT$105:CT$128)</f>
        <v>#DIV/0!</v>
      </c>
      <c r="AX32" s="39" t="e">
        <f>SUMIFS(Assumptions!CU$105:CU$128,Assumptions!$BB$105:$BB$128,'non-road'!$F32,Assumptions!$BC$105:$BC$128,'non-road'!$D32)/SUMIF(Assumptions!$BB$105:$BB$128,'non-road'!$F32,Assumptions!CU$105:CU$128)</f>
        <v>#DIV/0!</v>
      </c>
      <c r="AY32" s="39" t="e">
        <f>SUMIFS(Assumptions!CV$105:CV$128,Assumptions!$BB$105:$BB$128,'non-road'!$F32,Assumptions!$BC$105:$BC$128,'non-road'!$D32)/SUMIF(Assumptions!$BB$105:$BB$128,'non-road'!$F32,Assumptions!CV$105:CV$128)</f>
        <v>#DIV/0!</v>
      </c>
      <c r="AZ32" s="39" t="e">
        <f>SUMIFS(Assumptions!CW$105:CW$128,Assumptions!$BB$105:$BB$128,'non-road'!$F32,Assumptions!$BC$105:$BC$128,'non-road'!$D32)/SUMIF(Assumptions!$BB$105:$BB$128,'non-road'!$F32,Assumptions!CW$105:CW$128)</f>
        <v>#DIV/0!</v>
      </c>
      <c r="BD32" s="38" t="str">
        <f t="shared" si="55"/>
        <v>\I:</v>
      </c>
      <c r="BE32" s="39">
        <f>VLOOKUP($F32,Assumptions!$E$152:$BC$157,COLUMN()-COLUMN($BC$4),FALSE)</f>
        <v>1</v>
      </c>
      <c r="BF32" s="39">
        <f>VLOOKUP($F32,Assumptions!$E$152:$BC$157,COLUMN()-COLUMN($BC$4),FALSE)</f>
        <v>1</v>
      </c>
      <c r="BG32" s="39">
        <f>VLOOKUP($F32,Assumptions!$E$152:$BC$157,COLUMN()-COLUMN($BC$4),FALSE)</f>
        <v>1</v>
      </c>
      <c r="BH32" s="39">
        <f>VLOOKUP($F32,Assumptions!$E$152:$BC$157,COLUMN()-COLUMN($BC$4),FALSE)</f>
        <v>1</v>
      </c>
      <c r="BI32" s="39">
        <f>VLOOKUP($F32,Assumptions!$E$152:$BC$157,COLUMN()-COLUMN($BC$4),FALSE)</f>
        <v>1</v>
      </c>
      <c r="BJ32" s="39">
        <f>VLOOKUP($F32,Assumptions!$E$152:$BC$157,COLUMN()-COLUMN($BC$4),FALSE)</f>
        <v>1</v>
      </c>
      <c r="BK32" s="39">
        <f>VLOOKUP($F32,Assumptions!$E$152:$BC$157,COLUMN()-COLUMN($BC$4),FALSE)</f>
        <v>1</v>
      </c>
      <c r="BL32" s="39">
        <f>VLOOKUP($F32,Assumptions!$E$152:$BC$157,COLUMN()-COLUMN($BC$4),FALSE)</f>
        <v>1</v>
      </c>
      <c r="BM32" s="39">
        <f>VLOOKUP($F32,Assumptions!$E$152:$BC$157,COLUMN()-COLUMN($BC$4),FALSE)</f>
        <v>1</v>
      </c>
      <c r="BN32" s="39">
        <f>VLOOKUP($F32,Assumptions!$E$152:$BC$157,COLUMN()-COLUMN($BC$4),FALSE)</f>
        <v>1</v>
      </c>
      <c r="BO32" s="39">
        <f>VLOOKUP($F32,Assumptions!$E$152:$BC$157,COLUMN()-COLUMN($BC$4),FALSE)</f>
        <v>1</v>
      </c>
      <c r="BP32" s="39">
        <f>VLOOKUP($F32,Assumptions!$E$152:$BC$157,COLUMN()-COLUMN($BC$4),FALSE)</f>
        <v>1</v>
      </c>
      <c r="BQ32" s="39">
        <f>VLOOKUP($F32,Assumptions!$E$152:$BC$157,COLUMN()-COLUMN($BC$4),FALSE)</f>
        <v>1</v>
      </c>
      <c r="BR32" s="39">
        <f>VLOOKUP($F32,Assumptions!$E$152:$BC$157,COLUMN()-COLUMN($BC$4),FALSE)</f>
        <v>1</v>
      </c>
      <c r="BS32" s="39">
        <f>VLOOKUP($F32,Assumptions!$E$152:$BC$157,COLUMN()-COLUMN($BC$4),FALSE)</f>
        <v>1</v>
      </c>
      <c r="BT32" s="39">
        <f>VLOOKUP($F32,Assumptions!$E$152:$BC$157,COLUMN()-COLUMN($BC$4),FALSE)</f>
        <v>1</v>
      </c>
      <c r="BU32" s="39">
        <f>VLOOKUP($F32,Assumptions!$E$152:$BC$157,COLUMN()-COLUMN($BC$4),FALSE)</f>
        <v>1</v>
      </c>
      <c r="BV32" s="39">
        <f>VLOOKUP($F32,Assumptions!$E$152:$BC$157,COLUMN()-COLUMN($BC$4),FALSE)</f>
        <v>1</v>
      </c>
      <c r="BW32" s="39">
        <f>VLOOKUP($F32,Assumptions!$E$152:$BC$157,COLUMN()-COLUMN($BC$4),FALSE)</f>
        <v>1</v>
      </c>
      <c r="BX32" s="39">
        <f>VLOOKUP($F32,Assumptions!$E$152:$BC$157,COLUMN()-COLUMN($BC$4),FALSE)</f>
        <v>1</v>
      </c>
      <c r="BY32" s="39">
        <f>VLOOKUP($F32,Assumptions!$E$152:$BC$157,COLUMN()-COLUMN($BC$4),FALSE)</f>
        <v>1</v>
      </c>
      <c r="BZ32" s="39">
        <f>VLOOKUP($F32,Assumptions!$E$152:$BC$157,COLUMN()-COLUMN($BC$4),FALSE)</f>
        <v>1</v>
      </c>
      <c r="CA32" s="39">
        <f>VLOOKUP($F32,Assumptions!$E$152:$BC$157,COLUMN()-COLUMN($BC$4),FALSE)</f>
        <v>1</v>
      </c>
      <c r="CB32" s="39">
        <f>VLOOKUP($F32,Assumptions!$E$152:$BC$157,COLUMN()-COLUMN($BC$4),FALSE)</f>
        <v>1</v>
      </c>
      <c r="CC32" s="39">
        <f>VLOOKUP($F32,Assumptions!$E$152:$BC$157,COLUMN()-COLUMN($BC$4),FALSE)</f>
        <v>1</v>
      </c>
      <c r="CD32" s="39">
        <f>VLOOKUP($F32,Assumptions!$E$152:$BC$157,COLUMN()-COLUMN($BC$4),FALSE)</f>
        <v>1</v>
      </c>
      <c r="CE32" s="39">
        <f>VLOOKUP($F32,Assumptions!$E$152:$BC$157,COLUMN()-COLUMN($BC$4),FALSE)</f>
        <v>1</v>
      </c>
      <c r="CF32" s="39">
        <f>VLOOKUP($F32,Assumptions!$E$152:$BC$157,COLUMN()-COLUMN($BC$4),FALSE)</f>
        <v>1</v>
      </c>
      <c r="CG32" s="39">
        <f>VLOOKUP($F32,Assumptions!$E$152:$BC$157,COLUMN()-COLUMN($BC$4),FALSE)</f>
        <v>1</v>
      </c>
      <c r="CH32" s="39">
        <f>VLOOKUP($F32,Assumptions!$E$152:$BC$157,COLUMN()-COLUMN($BC$4),FALSE)</f>
        <v>1</v>
      </c>
      <c r="CI32" s="39">
        <f>VLOOKUP($F32,Assumptions!$E$152:$BC$157,COLUMN()-COLUMN($BC$4),FALSE)</f>
        <v>1</v>
      </c>
      <c r="CJ32" s="39">
        <f>VLOOKUP($F32,Assumptions!$E$152:$BC$157,COLUMN()-COLUMN($BC$4),FALSE)</f>
        <v>1</v>
      </c>
      <c r="CK32" s="39">
        <f>VLOOKUP($F32,Assumptions!$E$152:$BC$157,COLUMN()-COLUMN($BC$4),FALSE)</f>
        <v>1</v>
      </c>
      <c r="CL32" s="39">
        <f>VLOOKUP($F32,Assumptions!$E$152:$BC$157,COLUMN()-COLUMN($BC$4),FALSE)</f>
        <v>1</v>
      </c>
      <c r="CM32" s="39">
        <f>VLOOKUP($F32,Assumptions!$E$152:$BC$157,COLUMN()-COLUMN($BC$4),FALSE)</f>
        <v>1</v>
      </c>
      <c r="CN32" s="39">
        <f>VLOOKUP($F32,Assumptions!$E$152:$BC$157,COLUMN()-COLUMN($BC$4),FALSE)</f>
        <v>1</v>
      </c>
      <c r="CO32" s="39">
        <f>VLOOKUP($F32,Assumptions!$E$152:$BC$157,COLUMN()-COLUMN($BC$4),FALSE)</f>
        <v>1</v>
      </c>
      <c r="CP32" s="39">
        <f>VLOOKUP($F32,Assumptions!$E$152:$BC$157,COLUMN()-COLUMN($BC$4),FALSE)</f>
        <v>1</v>
      </c>
      <c r="CQ32" s="39">
        <f>VLOOKUP($F32,Assumptions!$E$152:$BC$157,COLUMN()-COLUMN($BC$4),FALSE)</f>
        <v>1</v>
      </c>
      <c r="CR32" s="39">
        <f>VLOOKUP($F32,Assumptions!$E$152:$BC$157,COLUMN()-COLUMN($BC$4),FALSE)</f>
        <v>1</v>
      </c>
      <c r="CS32" s="39">
        <f>VLOOKUP($F32,Assumptions!$E$152:$BC$157,COLUMN()-COLUMN($BC$4),FALSE)</f>
        <v>1</v>
      </c>
      <c r="CT32" s="39">
        <f>VLOOKUP($F32,Assumptions!$E$152:$BC$157,COLUMN()-COLUMN($BC$4),FALSE)</f>
        <v>1</v>
      </c>
      <c r="CU32" s="39">
        <f>VLOOKUP($F32,Assumptions!$E$152:$BC$157,COLUMN()-COLUMN($BC$4),FALSE)</f>
        <v>1</v>
      </c>
      <c r="CV32" s="39">
        <f>VLOOKUP($F32,Assumptions!$E$152:$BC$157,COLUMN()-COLUMN($BC$4),FALSE)</f>
        <v>1</v>
      </c>
      <c r="CW32" s="39">
        <f>VLOOKUP($F32,Assumptions!$E$152:$BC$157,COLUMN()-COLUMN($BC$4),FALSE)</f>
        <v>1</v>
      </c>
      <c r="CX32" s="39">
        <f>VLOOKUP($F32,Assumptions!$E$152:$BC$157,COLUMN()-COLUMN($BC$4),FALSE)</f>
        <v>1</v>
      </c>
      <c r="CY32" s="38"/>
      <c r="CZ32" s="38"/>
      <c r="DA32" s="38"/>
      <c r="DB32" t="str">
        <f t="shared" si="69"/>
        <v>TAD</v>
      </c>
      <c r="DC32" s="38"/>
      <c r="DD32" t="s">
        <v>85</v>
      </c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 t="str">
        <f t="shared" si="48"/>
        <v>\I:</v>
      </c>
      <c r="EX32" s="38" t="str">
        <f t="shared" si="68"/>
        <v/>
      </c>
      <c r="EY32" s="38" t="s">
        <v>133</v>
      </c>
      <c r="EZ32" s="38" t="s">
        <v>85</v>
      </c>
      <c r="FA32" s="38" t="s">
        <v>440</v>
      </c>
    </row>
    <row r="33" spans="3:157">
      <c r="C33" s="38" t="str">
        <f t="shared" si="54"/>
        <v/>
      </c>
      <c r="D33" s="38" t="s">
        <v>74</v>
      </c>
      <c r="E33" s="38"/>
      <c r="F33" s="38" t="s">
        <v>87</v>
      </c>
      <c r="G33" s="39">
        <f>SUMIFS(Assumptions!BD$105:BD$128,Assumptions!$BB$105:$BB$128,'non-road'!$F33,Assumptions!$BC$105:$BC$128,'non-road'!$D33)/SUMIF(Assumptions!$BB$105:$BB$128,'non-road'!$F33,Assumptions!BD$105:BD$128)</f>
        <v>0</v>
      </c>
      <c r="H33" s="39">
        <f>SUMIFS(Assumptions!BE$105:BE$128,Assumptions!$BB$105:$BB$128,'non-road'!$F33,Assumptions!$BC$105:$BC$128,'non-road'!$D33)/SUMIF(Assumptions!$BB$105:$BB$128,'non-road'!$F33,Assumptions!BE$105:BE$128)</f>
        <v>0</v>
      </c>
      <c r="I33" s="39">
        <f>SUMIFS(Assumptions!BF$105:BF$128,Assumptions!$BB$105:$BB$128,'non-road'!$F33,Assumptions!$BC$105:$BC$128,'non-road'!$D33)/SUMIF(Assumptions!$BB$105:$BB$128,'non-road'!$F33,Assumptions!BF$105:BF$128)</f>
        <v>0</v>
      </c>
      <c r="J33" s="39">
        <f>SUMIFS(Assumptions!BG$105:BG$128,Assumptions!$BB$105:$BB$128,'non-road'!$F33,Assumptions!$BC$105:$BC$128,'non-road'!$D33)/SUMIF(Assumptions!$BB$105:$BB$128,'non-road'!$F33,Assumptions!BG$105:BG$128)</f>
        <v>0</v>
      </c>
      <c r="K33" s="39">
        <f>SUMIFS(Assumptions!BH$105:BH$128,Assumptions!$BB$105:$BB$128,'non-road'!$F33,Assumptions!$BC$105:$BC$128,'non-road'!$D33)/SUMIF(Assumptions!$BB$105:$BB$128,'non-road'!$F33,Assumptions!BH$105:BH$128)</f>
        <v>0</v>
      </c>
      <c r="L33" s="39">
        <f>SUMIFS(Assumptions!BI$105:BI$128,Assumptions!$BB$105:$BB$128,'non-road'!$F33,Assumptions!$BC$105:$BC$128,'non-road'!$D33)/SUMIF(Assumptions!$BB$105:$BB$128,'non-road'!$F33,Assumptions!BI$105:BI$128)</f>
        <v>0</v>
      </c>
      <c r="M33" s="39">
        <f>SUMIFS(Assumptions!BJ$105:BJ$128,Assumptions!$BB$105:$BB$128,'non-road'!$F33,Assumptions!$BC$105:$BC$128,'non-road'!$D33)/SUMIF(Assumptions!$BB$105:$BB$128,'non-road'!$F33,Assumptions!BJ$105:BJ$128)</f>
        <v>0</v>
      </c>
      <c r="N33" s="39">
        <f>SUMIFS(Assumptions!BK$105:BK$128,Assumptions!$BB$105:$BB$128,'non-road'!$F33,Assumptions!$BC$105:$BC$128,'non-road'!$D33)/SUMIF(Assumptions!$BB$105:$BB$128,'non-road'!$F33,Assumptions!BK$105:BK$128)</f>
        <v>0</v>
      </c>
      <c r="O33" s="39">
        <f>SUMIFS(Assumptions!BL$105:BL$128,Assumptions!$BB$105:$BB$128,'non-road'!$F33,Assumptions!$BC$105:$BC$128,'non-road'!$D33)/SUMIF(Assumptions!$BB$105:$BB$128,'non-road'!$F33,Assumptions!BL$105:BL$128)</f>
        <v>0</v>
      </c>
      <c r="P33" s="39">
        <f>SUMIFS(Assumptions!BM$105:BM$128,Assumptions!$BB$105:$BB$128,'non-road'!$F33,Assumptions!$BC$105:$BC$128,'non-road'!$D33)/SUMIF(Assumptions!$BB$105:$BB$128,'non-road'!$F33,Assumptions!BM$105:BM$128)</f>
        <v>0</v>
      </c>
      <c r="Q33" s="39">
        <f>SUMIFS(Assumptions!BN$105:BN$128,Assumptions!$BB$105:$BB$128,'non-road'!$F33,Assumptions!$BC$105:$BC$128,'non-road'!$D33)/SUMIF(Assumptions!$BB$105:$BB$128,'non-road'!$F33,Assumptions!BN$105:BN$128)</f>
        <v>0</v>
      </c>
      <c r="R33" s="39">
        <f>SUMIFS(Assumptions!BO$105:BO$128,Assumptions!$BB$105:$BB$128,'non-road'!$F33,Assumptions!$BC$105:$BC$128,'non-road'!$D33)/SUMIF(Assumptions!$BB$105:$BB$128,'non-road'!$F33,Assumptions!BO$105:BO$128)</f>
        <v>0</v>
      </c>
      <c r="S33" s="39">
        <f>SUMIFS(Assumptions!BP$105:BP$128,Assumptions!$BB$105:$BB$128,'non-road'!$F33,Assumptions!$BC$105:$BC$128,'non-road'!$D33)/SUMIF(Assumptions!$BB$105:$BB$128,'non-road'!$F33,Assumptions!BP$105:BP$128)</f>
        <v>0</v>
      </c>
      <c r="T33" s="39">
        <f>SUMIFS(Assumptions!BQ$105:BQ$128,Assumptions!$BB$105:$BB$128,'non-road'!$F33,Assumptions!$BC$105:$BC$128,'non-road'!$D33)/SUMIF(Assumptions!$BB$105:$BB$128,'non-road'!$F33,Assumptions!BQ$105:BQ$128)</f>
        <v>0</v>
      </c>
      <c r="U33" s="39">
        <f>SUMIFS(Assumptions!BR$105:BR$128,Assumptions!$BB$105:$BB$128,'non-road'!$F33,Assumptions!$BC$105:$BC$128,'non-road'!$D33)/SUMIF(Assumptions!$BB$105:$BB$128,'non-road'!$F33,Assumptions!BR$105:BR$128)</f>
        <v>0</v>
      </c>
      <c r="V33" s="39">
        <f>SUMIFS(Assumptions!BS$105:BS$128,Assumptions!$BB$105:$BB$128,'non-road'!$F33,Assumptions!$BC$105:$BC$128,'non-road'!$D33)/SUMIF(Assumptions!$BB$105:$BB$128,'non-road'!$F33,Assumptions!BS$105:BS$128)</f>
        <v>0</v>
      </c>
      <c r="W33" s="39">
        <f>SUMIFS(Assumptions!BT$105:BT$128,Assumptions!$BB$105:$BB$128,'non-road'!$F33,Assumptions!$BC$105:$BC$128,'non-road'!$D33)/SUMIF(Assumptions!$BB$105:$BB$128,'non-road'!$F33,Assumptions!BT$105:BT$128)</f>
        <v>0</v>
      </c>
      <c r="X33" s="39">
        <f>SUMIFS(Assumptions!BU$105:BU$128,Assumptions!$BB$105:$BB$128,'non-road'!$F33,Assumptions!$BC$105:$BC$128,'non-road'!$D33)/SUMIF(Assumptions!$BB$105:$BB$128,'non-road'!$F33,Assumptions!BU$105:BU$128)</f>
        <v>0</v>
      </c>
      <c r="Y33" s="39">
        <f>SUMIFS(Assumptions!BV$105:BV$128,Assumptions!$BB$105:$BB$128,'non-road'!$F33,Assumptions!$BC$105:$BC$128,'non-road'!$D33)/SUMIF(Assumptions!$BB$105:$BB$128,'non-road'!$F33,Assumptions!BV$105:BV$128)</f>
        <v>0</v>
      </c>
      <c r="Z33" s="39">
        <f>SUMIFS(Assumptions!BW$105:BW$128,Assumptions!$BB$105:$BB$128,'non-road'!$F33,Assumptions!$BC$105:$BC$128,'non-road'!$D33)/SUMIF(Assumptions!$BB$105:$BB$128,'non-road'!$F33,Assumptions!BW$105:BW$128)</f>
        <v>0</v>
      </c>
      <c r="AA33" s="39" t="e">
        <f>SUMIFS(Assumptions!BX$105:BX$128,Assumptions!$BB$105:$BB$128,'non-road'!$F33,Assumptions!$BC$105:$BC$128,'non-road'!$D33)/SUMIF(Assumptions!$BB$105:$BB$128,'non-road'!$F33,Assumptions!BX$105:BX$128)</f>
        <v>#DIV/0!</v>
      </c>
      <c r="AB33" s="39">
        <f>SUMIFS(Assumptions!BY$105:BY$128,Assumptions!$BB$105:$BB$128,'non-road'!$F33,Assumptions!$BC$105:$BC$128,'non-road'!$D33)/SUMIF(Assumptions!$BB$105:$BB$128,'non-road'!$F33,Assumptions!BY$105:BY$128)</f>
        <v>0</v>
      </c>
      <c r="AC33" s="39">
        <f>SUMIFS(Assumptions!BZ$105:BZ$128,Assumptions!$BB$105:$BB$128,'non-road'!$F33,Assumptions!$BC$105:$BC$128,'non-road'!$D33)/SUMIF(Assumptions!$BB$105:$BB$128,'non-road'!$F33,Assumptions!BZ$105:BZ$128)</f>
        <v>0</v>
      </c>
      <c r="AD33" s="39">
        <f>SUMIFS(Assumptions!CA$105:CA$128,Assumptions!$BB$105:$BB$128,'non-road'!$F33,Assumptions!$BC$105:$BC$128,'non-road'!$D33)/SUMIF(Assumptions!$BB$105:$BB$128,'non-road'!$F33,Assumptions!CA$105:CA$128)</f>
        <v>0</v>
      </c>
      <c r="AE33" s="39">
        <f>SUMIFS(Assumptions!CB$105:CB$128,Assumptions!$BB$105:$BB$128,'non-road'!$F33,Assumptions!$BC$105:$BC$128,'non-road'!$D33)/SUMIF(Assumptions!$BB$105:$BB$128,'non-road'!$F33,Assumptions!CB$105:CB$128)</f>
        <v>0</v>
      </c>
      <c r="AF33" s="39">
        <f>SUMIFS(Assumptions!CC$105:CC$128,Assumptions!$BB$105:$BB$128,'non-road'!$F33,Assumptions!$BC$105:$BC$128,'non-road'!$D33)/SUMIF(Assumptions!$BB$105:$BB$128,'non-road'!$F33,Assumptions!CC$105:CC$128)</f>
        <v>0</v>
      </c>
      <c r="AG33" s="39" t="e">
        <f>SUMIFS(Assumptions!CD$105:CD$128,Assumptions!$BB$105:$BB$128,'non-road'!$F33,Assumptions!$BC$105:$BC$128,'non-road'!$D33)/SUMIF(Assumptions!$BB$105:$BB$128,'non-road'!$F33,Assumptions!CD$105:CD$128)</f>
        <v>#DIV/0!</v>
      </c>
      <c r="AH33" s="39">
        <f>SUMIFS(Assumptions!CE$105:CE$128,Assumptions!$BB$105:$BB$128,'non-road'!$F33,Assumptions!$BC$105:$BC$128,'non-road'!$D33)/SUMIF(Assumptions!$BB$105:$BB$128,'non-road'!$F33,Assumptions!CE$105:CE$128)</f>
        <v>0</v>
      </c>
      <c r="AI33" s="39">
        <f>SUMIFS(Assumptions!CF$105:CF$128,Assumptions!$BB$105:$BB$128,'non-road'!$F33,Assumptions!$BC$105:$BC$128,'non-road'!$D33)/SUMIF(Assumptions!$BB$105:$BB$128,'non-road'!$F33,Assumptions!CF$105:CF$128)</f>
        <v>0</v>
      </c>
      <c r="AJ33" s="39">
        <f>SUMIFS(Assumptions!CG$105:CG$128,Assumptions!$BB$105:$BB$128,'non-road'!$F33,Assumptions!$BC$105:$BC$128,'non-road'!$D33)/SUMIF(Assumptions!$BB$105:$BB$128,'non-road'!$F33,Assumptions!CG$105:CG$128)</f>
        <v>0</v>
      </c>
      <c r="AK33" s="39">
        <f>SUMIFS(Assumptions!CH$105:CH$128,Assumptions!$BB$105:$BB$128,'non-road'!$F33,Assumptions!$BC$105:$BC$128,'non-road'!$D33)/SUMIF(Assumptions!$BB$105:$BB$128,'non-road'!$F33,Assumptions!CH$105:CH$128)</f>
        <v>0</v>
      </c>
      <c r="AL33" s="39">
        <f>SUMIFS(Assumptions!CI$105:CI$128,Assumptions!$BB$105:$BB$128,'non-road'!$F33,Assumptions!$BC$105:$BC$128,'non-road'!$D33)/SUMIF(Assumptions!$BB$105:$BB$128,'non-road'!$F33,Assumptions!CI$105:CI$128)</f>
        <v>0</v>
      </c>
      <c r="AM33" s="39">
        <f>SUMIFS(Assumptions!CJ$105:CJ$128,Assumptions!$BB$105:$BB$128,'non-road'!$F33,Assumptions!$BC$105:$BC$128,'non-road'!$D33)/SUMIF(Assumptions!$BB$105:$BB$128,'non-road'!$F33,Assumptions!CJ$105:CJ$128)</f>
        <v>0</v>
      </c>
      <c r="AN33" s="39">
        <f>SUMIFS(Assumptions!CK$105:CK$128,Assumptions!$BB$105:$BB$128,'non-road'!$F33,Assumptions!$BC$105:$BC$128,'non-road'!$D33)/SUMIF(Assumptions!$BB$105:$BB$128,'non-road'!$F33,Assumptions!CK$105:CK$128)</f>
        <v>0</v>
      </c>
      <c r="AO33" s="39">
        <f>SUMIFS(Assumptions!CL$105:CL$128,Assumptions!$BB$105:$BB$128,'non-road'!$F33,Assumptions!$BC$105:$BC$128,'non-road'!$D33)/SUMIF(Assumptions!$BB$105:$BB$128,'non-road'!$F33,Assumptions!CL$105:CL$128)</f>
        <v>0</v>
      </c>
      <c r="AP33" s="39" t="e">
        <f>SUMIFS(Assumptions!CM$105:CM$128,Assumptions!$BB$105:$BB$128,'non-road'!$F33,Assumptions!$BC$105:$BC$128,'non-road'!$D33)/SUMIF(Assumptions!$BB$105:$BB$128,'non-road'!$F33,Assumptions!CM$105:CM$128)</f>
        <v>#DIV/0!</v>
      </c>
      <c r="AQ33" s="39" t="e">
        <f>SUMIFS(Assumptions!CN$105:CN$128,Assumptions!$BB$105:$BB$128,'non-road'!$F33,Assumptions!$BC$105:$BC$128,'non-road'!$D33)/SUMIF(Assumptions!$BB$105:$BB$128,'non-road'!$F33,Assumptions!CN$105:CN$128)</f>
        <v>#DIV/0!</v>
      </c>
      <c r="AR33" s="39" t="e">
        <f>SUMIFS(Assumptions!CO$105:CO$128,Assumptions!$BB$105:$BB$128,'non-road'!$F33,Assumptions!$BC$105:$BC$128,'non-road'!$D33)/SUMIF(Assumptions!$BB$105:$BB$128,'non-road'!$F33,Assumptions!CO$105:CO$128)</f>
        <v>#DIV/0!</v>
      </c>
      <c r="AS33" s="39" t="e">
        <f>SUMIFS(Assumptions!CP$105:CP$128,Assumptions!$BB$105:$BB$128,'non-road'!$F33,Assumptions!$BC$105:$BC$128,'non-road'!$D33)/SUMIF(Assumptions!$BB$105:$BB$128,'non-road'!$F33,Assumptions!CP$105:CP$128)</f>
        <v>#DIV/0!</v>
      </c>
      <c r="AT33" s="39" t="e">
        <f>SUMIFS(Assumptions!CQ$105:CQ$128,Assumptions!$BB$105:$BB$128,'non-road'!$F33,Assumptions!$BC$105:$BC$128,'non-road'!$D33)/SUMIF(Assumptions!$BB$105:$BB$128,'non-road'!$F33,Assumptions!CQ$105:CQ$128)</f>
        <v>#DIV/0!</v>
      </c>
      <c r="AU33" s="39" t="e">
        <f>SUMIFS(Assumptions!CR$105:CR$128,Assumptions!$BB$105:$BB$128,'non-road'!$F33,Assumptions!$BC$105:$BC$128,'non-road'!$D33)/SUMIF(Assumptions!$BB$105:$BB$128,'non-road'!$F33,Assumptions!CR$105:CR$128)</f>
        <v>#DIV/0!</v>
      </c>
      <c r="AV33" s="39" t="e">
        <f>SUMIFS(Assumptions!CS$105:CS$128,Assumptions!$BB$105:$BB$128,'non-road'!$F33,Assumptions!$BC$105:$BC$128,'non-road'!$D33)/SUMIF(Assumptions!$BB$105:$BB$128,'non-road'!$F33,Assumptions!CS$105:CS$128)</f>
        <v>#DIV/0!</v>
      </c>
      <c r="AW33" s="39" t="e">
        <f>SUMIFS(Assumptions!CT$105:CT$128,Assumptions!$BB$105:$BB$128,'non-road'!$F33,Assumptions!$BC$105:$BC$128,'non-road'!$D33)/SUMIF(Assumptions!$BB$105:$BB$128,'non-road'!$F33,Assumptions!CT$105:CT$128)</f>
        <v>#DIV/0!</v>
      </c>
      <c r="AX33" s="39" t="e">
        <f>SUMIFS(Assumptions!CU$105:CU$128,Assumptions!$BB$105:$BB$128,'non-road'!$F33,Assumptions!$BC$105:$BC$128,'non-road'!$D33)/SUMIF(Assumptions!$BB$105:$BB$128,'non-road'!$F33,Assumptions!CU$105:CU$128)</f>
        <v>#DIV/0!</v>
      </c>
      <c r="AY33" s="39" t="e">
        <f>SUMIFS(Assumptions!CV$105:CV$128,Assumptions!$BB$105:$BB$128,'non-road'!$F33,Assumptions!$BC$105:$BC$128,'non-road'!$D33)/SUMIF(Assumptions!$BB$105:$BB$128,'non-road'!$F33,Assumptions!CV$105:CV$128)</f>
        <v>#DIV/0!</v>
      </c>
      <c r="AZ33" s="39" t="e">
        <f>SUMIFS(Assumptions!CW$105:CW$128,Assumptions!$BB$105:$BB$128,'non-road'!$F33,Assumptions!$BC$105:$BC$128,'non-road'!$D33)/SUMIF(Assumptions!$BB$105:$BB$128,'non-road'!$F33,Assumptions!CW$105:CW$128)</f>
        <v>#DIV/0!</v>
      </c>
      <c r="BD33" s="38" t="str">
        <f t="shared" si="55"/>
        <v>\I:</v>
      </c>
      <c r="BE33" s="39">
        <f>VLOOKUP($F33,Assumptions!$E$152:$BC$157,COLUMN()-COLUMN($BC$4),FALSE)</f>
        <v>1</v>
      </c>
      <c r="BF33" s="39">
        <f>VLOOKUP($F33,Assumptions!$E$152:$BC$157,COLUMN()-COLUMN($BC$4),FALSE)</f>
        <v>1</v>
      </c>
      <c r="BG33" s="39">
        <f>VLOOKUP($F33,Assumptions!$E$152:$BC$157,COLUMN()-COLUMN($BC$4),FALSE)</f>
        <v>1</v>
      </c>
      <c r="BH33" s="39">
        <f>VLOOKUP($F33,Assumptions!$E$152:$BC$157,COLUMN()-COLUMN($BC$4),FALSE)</f>
        <v>1</v>
      </c>
      <c r="BI33" s="39">
        <f>VLOOKUP($F33,Assumptions!$E$152:$BC$157,COLUMN()-COLUMN($BC$4),FALSE)</f>
        <v>1</v>
      </c>
      <c r="BJ33" s="39">
        <f>VLOOKUP($F33,Assumptions!$E$152:$BC$157,COLUMN()-COLUMN($BC$4),FALSE)</f>
        <v>1</v>
      </c>
      <c r="BK33" s="39">
        <f>VLOOKUP($F33,Assumptions!$E$152:$BC$157,COLUMN()-COLUMN($BC$4),FALSE)</f>
        <v>1</v>
      </c>
      <c r="BL33" s="39">
        <f>VLOOKUP($F33,Assumptions!$E$152:$BC$157,COLUMN()-COLUMN($BC$4),FALSE)</f>
        <v>1</v>
      </c>
      <c r="BM33" s="39">
        <f>VLOOKUP($F33,Assumptions!$E$152:$BC$157,COLUMN()-COLUMN($BC$4),FALSE)</f>
        <v>1</v>
      </c>
      <c r="BN33" s="39">
        <f>VLOOKUP($F33,Assumptions!$E$152:$BC$157,COLUMN()-COLUMN($BC$4),FALSE)</f>
        <v>1</v>
      </c>
      <c r="BO33" s="39">
        <f>VLOOKUP($F33,Assumptions!$E$152:$BC$157,COLUMN()-COLUMN($BC$4),FALSE)</f>
        <v>1</v>
      </c>
      <c r="BP33" s="39">
        <f>VLOOKUP($F33,Assumptions!$E$152:$BC$157,COLUMN()-COLUMN($BC$4),FALSE)</f>
        <v>1</v>
      </c>
      <c r="BQ33" s="39">
        <f>VLOOKUP($F33,Assumptions!$E$152:$BC$157,COLUMN()-COLUMN($BC$4),FALSE)</f>
        <v>1</v>
      </c>
      <c r="BR33" s="39">
        <f>VLOOKUP($F33,Assumptions!$E$152:$BC$157,COLUMN()-COLUMN($BC$4),FALSE)</f>
        <v>1</v>
      </c>
      <c r="BS33" s="39">
        <f>VLOOKUP($F33,Assumptions!$E$152:$BC$157,COLUMN()-COLUMN($BC$4),FALSE)</f>
        <v>1</v>
      </c>
      <c r="BT33" s="39">
        <f>VLOOKUP($F33,Assumptions!$E$152:$BC$157,COLUMN()-COLUMN($BC$4),FALSE)</f>
        <v>1</v>
      </c>
      <c r="BU33" s="39">
        <f>VLOOKUP($F33,Assumptions!$E$152:$BC$157,COLUMN()-COLUMN($BC$4),FALSE)</f>
        <v>1</v>
      </c>
      <c r="BV33" s="39">
        <f>VLOOKUP($F33,Assumptions!$E$152:$BC$157,COLUMN()-COLUMN($BC$4),FALSE)</f>
        <v>1</v>
      </c>
      <c r="BW33" s="39">
        <f>VLOOKUP($F33,Assumptions!$E$152:$BC$157,COLUMN()-COLUMN($BC$4),FALSE)</f>
        <v>1</v>
      </c>
      <c r="BX33" s="39">
        <f>VLOOKUP($F33,Assumptions!$E$152:$BC$157,COLUMN()-COLUMN($BC$4),FALSE)</f>
        <v>1</v>
      </c>
      <c r="BY33" s="39">
        <f>VLOOKUP($F33,Assumptions!$E$152:$BC$157,COLUMN()-COLUMN($BC$4),FALSE)</f>
        <v>1</v>
      </c>
      <c r="BZ33" s="39">
        <f>VLOOKUP($F33,Assumptions!$E$152:$BC$157,COLUMN()-COLUMN($BC$4),FALSE)</f>
        <v>1</v>
      </c>
      <c r="CA33" s="39">
        <f>VLOOKUP($F33,Assumptions!$E$152:$BC$157,COLUMN()-COLUMN($BC$4),FALSE)</f>
        <v>1</v>
      </c>
      <c r="CB33" s="39">
        <f>VLOOKUP($F33,Assumptions!$E$152:$BC$157,COLUMN()-COLUMN($BC$4),FALSE)</f>
        <v>1</v>
      </c>
      <c r="CC33" s="39">
        <f>VLOOKUP($F33,Assumptions!$E$152:$BC$157,COLUMN()-COLUMN($BC$4),FALSE)</f>
        <v>1</v>
      </c>
      <c r="CD33" s="39">
        <f>VLOOKUP($F33,Assumptions!$E$152:$BC$157,COLUMN()-COLUMN($BC$4),FALSE)</f>
        <v>1</v>
      </c>
      <c r="CE33" s="39">
        <f>VLOOKUP($F33,Assumptions!$E$152:$BC$157,COLUMN()-COLUMN($BC$4),FALSE)</f>
        <v>1</v>
      </c>
      <c r="CF33" s="39">
        <f>VLOOKUP($F33,Assumptions!$E$152:$BC$157,COLUMN()-COLUMN($BC$4),FALSE)</f>
        <v>1</v>
      </c>
      <c r="CG33" s="39">
        <f>VLOOKUP($F33,Assumptions!$E$152:$BC$157,COLUMN()-COLUMN($BC$4),FALSE)</f>
        <v>1</v>
      </c>
      <c r="CH33" s="39">
        <f>VLOOKUP($F33,Assumptions!$E$152:$BC$157,COLUMN()-COLUMN($BC$4),FALSE)</f>
        <v>1</v>
      </c>
      <c r="CI33" s="39">
        <f>VLOOKUP($F33,Assumptions!$E$152:$BC$157,COLUMN()-COLUMN($BC$4),FALSE)</f>
        <v>1</v>
      </c>
      <c r="CJ33" s="39">
        <f>VLOOKUP($F33,Assumptions!$E$152:$BC$157,COLUMN()-COLUMN($BC$4),FALSE)</f>
        <v>1</v>
      </c>
      <c r="CK33" s="39">
        <f>VLOOKUP($F33,Assumptions!$E$152:$BC$157,COLUMN()-COLUMN($BC$4),FALSE)</f>
        <v>1</v>
      </c>
      <c r="CL33" s="39">
        <f>VLOOKUP($F33,Assumptions!$E$152:$BC$157,COLUMN()-COLUMN($BC$4),FALSE)</f>
        <v>1</v>
      </c>
      <c r="CM33" s="39">
        <f>VLOOKUP($F33,Assumptions!$E$152:$BC$157,COLUMN()-COLUMN($BC$4),FALSE)</f>
        <v>1</v>
      </c>
      <c r="CN33" s="39">
        <f>VLOOKUP($F33,Assumptions!$E$152:$BC$157,COLUMN()-COLUMN($BC$4),FALSE)</f>
        <v>1</v>
      </c>
      <c r="CO33" s="39">
        <f>VLOOKUP($F33,Assumptions!$E$152:$BC$157,COLUMN()-COLUMN($BC$4),FALSE)</f>
        <v>1</v>
      </c>
      <c r="CP33" s="39">
        <f>VLOOKUP($F33,Assumptions!$E$152:$BC$157,COLUMN()-COLUMN($BC$4),FALSE)</f>
        <v>1</v>
      </c>
      <c r="CQ33" s="39">
        <f>VLOOKUP($F33,Assumptions!$E$152:$BC$157,COLUMN()-COLUMN($BC$4),FALSE)</f>
        <v>1</v>
      </c>
      <c r="CR33" s="39">
        <f>VLOOKUP($F33,Assumptions!$E$152:$BC$157,COLUMN()-COLUMN($BC$4),FALSE)</f>
        <v>1</v>
      </c>
      <c r="CS33" s="39">
        <f>VLOOKUP($F33,Assumptions!$E$152:$BC$157,COLUMN()-COLUMN($BC$4),FALSE)</f>
        <v>1</v>
      </c>
      <c r="CT33" s="39">
        <f>VLOOKUP($F33,Assumptions!$E$152:$BC$157,COLUMN()-COLUMN($BC$4),FALSE)</f>
        <v>1</v>
      </c>
      <c r="CU33" s="39">
        <f>VLOOKUP($F33,Assumptions!$E$152:$BC$157,COLUMN()-COLUMN($BC$4),FALSE)</f>
        <v>1</v>
      </c>
      <c r="CV33" s="39">
        <f>VLOOKUP($F33,Assumptions!$E$152:$BC$157,COLUMN()-COLUMN($BC$4),FALSE)</f>
        <v>1</v>
      </c>
      <c r="CW33" s="39">
        <f>VLOOKUP($F33,Assumptions!$E$152:$BC$157,COLUMN()-COLUMN($BC$4),FALSE)</f>
        <v>1</v>
      </c>
      <c r="CX33" s="39">
        <f>VLOOKUP($F33,Assumptions!$E$152:$BC$157,COLUMN()-COLUMN($BC$4),FALSE)</f>
        <v>1</v>
      </c>
      <c r="CY33" s="38"/>
      <c r="CZ33" s="38"/>
      <c r="DA33" s="38"/>
      <c r="DB33" t="str">
        <f t="shared" si="69"/>
        <v>TWD</v>
      </c>
      <c r="DC33" s="38"/>
      <c r="DD33" t="s">
        <v>85</v>
      </c>
      <c r="DE33" s="38"/>
      <c r="DF33" s="38"/>
      <c r="DG33" s="38"/>
      <c r="DH33" s="38"/>
      <c r="DI33" s="38"/>
      <c r="DJ33" s="38"/>
      <c r="DK33" s="38"/>
      <c r="DL33" s="38"/>
      <c r="DM33" s="38"/>
      <c r="DN33" s="38"/>
      <c r="DO33" s="38"/>
      <c r="DP33" s="38"/>
      <c r="DQ33" s="38"/>
      <c r="DR33" s="38"/>
      <c r="DS33" s="38"/>
      <c r="DT33" s="38"/>
      <c r="DU33" s="38"/>
      <c r="DV33" s="38"/>
      <c r="DW33" s="38"/>
      <c r="DX33" s="38"/>
      <c r="DY33" s="38"/>
      <c r="DZ33" s="38"/>
      <c r="EA33" s="38"/>
      <c r="EB33" s="38"/>
      <c r="EC33" s="38"/>
      <c r="ED33" s="38"/>
      <c r="EE33" s="38"/>
      <c r="EF33" s="38"/>
      <c r="EG33" s="38"/>
      <c r="EH33" s="38"/>
      <c r="EI33" s="38"/>
      <c r="EJ33" s="38"/>
      <c r="EK33" s="38"/>
      <c r="EL33" s="38"/>
      <c r="EM33" s="38"/>
      <c r="EN33" s="38"/>
      <c r="EO33" s="38"/>
      <c r="EP33" s="38"/>
      <c r="EQ33" s="38"/>
      <c r="ER33" s="38"/>
      <c r="ES33" s="38"/>
      <c r="ET33" s="38"/>
      <c r="EU33" s="38"/>
      <c r="EV33" s="38"/>
      <c r="EW33" s="38" t="str">
        <f t="shared" si="48"/>
        <v>\I:</v>
      </c>
      <c r="EX33" s="38" t="str">
        <f t="shared" si="68"/>
        <v/>
      </c>
      <c r="EY33" s="38" t="s">
        <v>133</v>
      </c>
      <c r="EZ33" s="38" t="s">
        <v>85</v>
      </c>
      <c r="FA33" s="38" t="s">
        <v>440</v>
      </c>
    </row>
    <row r="34" spans="3:157">
      <c r="C34" s="38" t="str">
        <f t="shared" si="54"/>
        <v/>
      </c>
      <c r="D34" s="38" t="s">
        <v>52</v>
      </c>
      <c r="E34" s="38"/>
      <c r="F34" s="38" t="s">
        <v>87</v>
      </c>
      <c r="G34" s="39">
        <f>SUMIFS(Assumptions!BD$105:BD$128,Assumptions!$BB$105:$BB$128,'non-road'!$F34,Assumptions!$BC$105:$BC$128,'non-road'!$D34)/SUMIF(Assumptions!$BB$105:$BB$128,'non-road'!$F34,Assumptions!BD$105:BD$128)</f>
        <v>0</v>
      </c>
      <c r="H34" s="39">
        <f>SUMIFS(Assumptions!BE$105:BE$128,Assumptions!$BB$105:$BB$128,'non-road'!$F34,Assumptions!$BC$105:$BC$128,'non-road'!$D34)/SUMIF(Assumptions!$BB$105:$BB$128,'non-road'!$F34,Assumptions!BE$105:BE$128)</f>
        <v>0</v>
      </c>
      <c r="I34" s="39">
        <f>SUMIFS(Assumptions!BF$105:BF$128,Assumptions!$BB$105:$BB$128,'non-road'!$F34,Assumptions!$BC$105:$BC$128,'non-road'!$D34)/SUMIF(Assumptions!$BB$105:$BB$128,'non-road'!$F34,Assumptions!BF$105:BF$128)</f>
        <v>0</v>
      </c>
      <c r="J34" s="39">
        <f>SUMIFS(Assumptions!BG$105:BG$128,Assumptions!$BB$105:$BB$128,'non-road'!$F34,Assumptions!$BC$105:$BC$128,'non-road'!$D34)/SUMIF(Assumptions!$BB$105:$BB$128,'non-road'!$F34,Assumptions!BG$105:BG$128)</f>
        <v>0</v>
      </c>
      <c r="K34" s="39">
        <f>SUMIFS(Assumptions!BH$105:BH$128,Assumptions!$BB$105:$BB$128,'non-road'!$F34,Assumptions!$BC$105:$BC$128,'non-road'!$D34)/SUMIF(Assumptions!$BB$105:$BB$128,'non-road'!$F34,Assumptions!BH$105:BH$128)</f>
        <v>0</v>
      </c>
      <c r="L34" s="39">
        <f>SUMIFS(Assumptions!BI$105:BI$128,Assumptions!$BB$105:$BB$128,'non-road'!$F34,Assumptions!$BC$105:$BC$128,'non-road'!$D34)/SUMIF(Assumptions!$BB$105:$BB$128,'non-road'!$F34,Assumptions!BI$105:BI$128)</f>
        <v>0</v>
      </c>
      <c r="M34" s="39">
        <f>SUMIFS(Assumptions!BJ$105:BJ$128,Assumptions!$BB$105:$BB$128,'non-road'!$F34,Assumptions!$BC$105:$BC$128,'non-road'!$D34)/SUMIF(Assumptions!$BB$105:$BB$128,'non-road'!$F34,Assumptions!BJ$105:BJ$128)</f>
        <v>0</v>
      </c>
      <c r="N34" s="39">
        <f>SUMIFS(Assumptions!BK$105:BK$128,Assumptions!$BB$105:$BB$128,'non-road'!$F34,Assumptions!$BC$105:$BC$128,'non-road'!$D34)/SUMIF(Assumptions!$BB$105:$BB$128,'non-road'!$F34,Assumptions!BK$105:BK$128)</f>
        <v>0</v>
      </c>
      <c r="O34" s="39">
        <f>SUMIFS(Assumptions!BL$105:BL$128,Assumptions!$BB$105:$BB$128,'non-road'!$F34,Assumptions!$BC$105:$BC$128,'non-road'!$D34)/SUMIF(Assumptions!$BB$105:$BB$128,'non-road'!$F34,Assumptions!BL$105:BL$128)</f>
        <v>0</v>
      </c>
      <c r="P34" s="39">
        <f>SUMIFS(Assumptions!BM$105:BM$128,Assumptions!$BB$105:$BB$128,'non-road'!$F34,Assumptions!$BC$105:$BC$128,'non-road'!$D34)/SUMIF(Assumptions!$BB$105:$BB$128,'non-road'!$F34,Assumptions!BM$105:BM$128)</f>
        <v>0</v>
      </c>
      <c r="Q34" s="39">
        <f>SUMIFS(Assumptions!BN$105:BN$128,Assumptions!$BB$105:$BB$128,'non-road'!$F34,Assumptions!$BC$105:$BC$128,'non-road'!$D34)/SUMIF(Assumptions!$BB$105:$BB$128,'non-road'!$F34,Assumptions!BN$105:BN$128)</f>
        <v>0</v>
      </c>
      <c r="R34" s="39">
        <f>SUMIFS(Assumptions!BO$105:BO$128,Assumptions!$BB$105:$BB$128,'non-road'!$F34,Assumptions!$BC$105:$BC$128,'non-road'!$D34)/SUMIF(Assumptions!$BB$105:$BB$128,'non-road'!$F34,Assumptions!BO$105:BO$128)</f>
        <v>0</v>
      </c>
      <c r="S34" s="39">
        <f>SUMIFS(Assumptions!BP$105:BP$128,Assumptions!$BB$105:$BB$128,'non-road'!$F34,Assumptions!$BC$105:$BC$128,'non-road'!$D34)/SUMIF(Assumptions!$BB$105:$BB$128,'non-road'!$F34,Assumptions!BP$105:BP$128)</f>
        <v>0</v>
      </c>
      <c r="T34" s="39">
        <f>SUMIFS(Assumptions!BQ$105:BQ$128,Assumptions!$BB$105:$BB$128,'non-road'!$F34,Assumptions!$BC$105:$BC$128,'non-road'!$D34)/SUMIF(Assumptions!$BB$105:$BB$128,'non-road'!$F34,Assumptions!BQ$105:BQ$128)</f>
        <v>0</v>
      </c>
      <c r="U34" s="39">
        <f>SUMIFS(Assumptions!BR$105:BR$128,Assumptions!$BB$105:$BB$128,'non-road'!$F34,Assumptions!$BC$105:$BC$128,'non-road'!$D34)/SUMIF(Assumptions!$BB$105:$BB$128,'non-road'!$F34,Assumptions!BR$105:BR$128)</f>
        <v>0</v>
      </c>
      <c r="V34" s="39">
        <f>SUMIFS(Assumptions!BS$105:BS$128,Assumptions!$BB$105:$BB$128,'non-road'!$F34,Assumptions!$BC$105:$BC$128,'non-road'!$D34)/SUMIF(Assumptions!$BB$105:$BB$128,'non-road'!$F34,Assumptions!BS$105:BS$128)</f>
        <v>0</v>
      </c>
      <c r="W34" s="39">
        <f>SUMIFS(Assumptions!BT$105:BT$128,Assumptions!$BB$105:$BB$128,'non-road'!$F34,Assumptions!$BC$105:$BC$128,'non-road'!$D34)/SUMIF(Assumptions!$BB$105:$BB$128,'non-road'!$F34,Assumptions!BT$105:BT$128)</f>
        <v>0</v>
      </c>
      <c r="X34" s="39">
        <f>SUMIFS(Assumptions!BU$105:BU$128,Assumptions!$BB$105:$BB$128,'non-road'!$F34,Assumptions!$BC$105:$BC$128,'non-road'!$D34)/SUMIF(Assumptions!$BB$105:$BB$128,'non-road'!$F34,Assumptions!BU$105:BU$128)</f>
        <v>0</v>
      </c>
      <c r="Y34" s="39">
        <f>SUMIFS(Assumptions!BV$105:BV$128,Assumptions!$BB$105:$BB$128,'non-road'!$F34,Assumptions!$BC$105:$BC$128,'non-road'!$D34)/SUMIF(Assumptions!$BB$105:$BB$128,'non-road'!$F34,Assumptions!BV$105:BV$128)</f>
        <v>0</v>
      </c>
      <c r="Z34" s="39">
        <f>SUMIFS(Assumptions!BW$105:BW$128,Assumptions!$BB$105:$BB$128,'non-road'!$F34,Assumptions!$BC$105:$BC$128,'non-road'!$D34)/SUMIF(Assumptions!$BB$105:$BB$128,'non-road'!$F34,Assumptions!BW$105:BW$128)</f>
        <v>0</v>
      </c>
      <c r="AA34" s="39" t="e">
        <f>SUMIFS(Assumptions!BX$105:BX$128,Assumptions!$BB$105:$BB$128,'non-road'!$F34,Assumptions!$BC$105:$BC$128,'non-road'!$D34)/SUMIF(Assumptions!$BB$105:$BB$128,'non-road'!$F34,Assumptions!BX$105:BX$128)</f>
        <v>#DIV/0!</v>
      </c>
      <c r="AB34" s="39">
        <f>SUMIFS(Assumptions!BY$105:BY$128,Assumptions!$BB$105:$BB$128,'non-road'!$F34,Assumptions!$BC$105:$BC$128,'non-road'!$D34)/SUMIF(Assumptions!$BB$105:$BB$128,'non-road'!$F34,Assumptions!BY$105:BY$128)</f>
        <v>0</v>
      </c>
      <c r="AC34" s="39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9">
        <f>SUMIFS(Assumptions!CA$105:CA$128,Assumptions!$BB$105:$BB$128,'non-road'!$F34,Assumptions!$BC$105:$BC$128,'non-road'!$D34)/SUMIF(Assumptions!$BB$105:$BB$128,'non-road'!$F34,Assumptions!CA$105:CA$128)</f>
        <v>0</v>
      </c>
      <c r="AE34" s="39">
        <f>SUMIFS(Assumptions!CB$105:CB$128,Assumptions!$BB$105:$BB$128,'non-road'!$F34,Assumptions!$BC$105:$BC$128,'non-road'!$D34)/SUMIF(Assumptions!$BB$105:$BB$128,'non-road'!$F34,Assumptions!CB$105:CB$128)</f>
        <v>0</v>
      </c>
      <c r="AF34" s="39">
        <f>SUMIFS(Assumptions!CC$105:CC$128,Assumptions!$BB$105:$BB$128,'non-road'!$F34,Assumptions!$BC$105:$BC$128,'non-road'!$D34)/SUMIF(Assumptions!$BB$105:$BB$128,'non-road'!$F34,Assumptions!CC$105:CC$128)</f>
        <v>0</v>
      </c>
      <c r="AG34" s="39" t="e">
        <f>SUMIFS(Assumptions!CD$105:CD$128,Assumptions!$BB$105:$BB$128,'non-road'!$F34,Assumptions!$BC$105:$BC$128,'non-road'!$D34)/SUMIF(Assumptions!$BB$105:$BB$128,'non-road'!$F34,Assumptions!CD$105:CD$128)</f>
        <v>#DIV/0!</v>
      </c>
      <c r="AH34" s="39">
        <f>SUMIFS(Assumptions!CE$105:CE$128,Assumptions!$BB$105:$BB$128,'non-road'!$F34,Assumptions!$BC$105:$BC$128,'non-road'!$D34)/SUMIF(Assumptions!$BB$105:$BB$128,'non-road'!$F34,Assumptions!CE$105:CE$128)</f>
        <v>0</v>
      </c>
      <c r="AI34" s="39">
        <f>SUMIFS(Assumptions!CF$105:CF$128,Assumptions!$BB$105:$BB$128,'non-road'!$F34,Assumptions!$BC$105:$BC$128,'non-road'!$D34)/SUMIF(Assumptions!$BB$105:$BB$128,'non-road'!$F34,Assumptions!CF$105:CF$128)</f>
        <v>0</v>
      </c>
      <c r="AJ34" s="39">
        <f>SUMIFS(Assumptions!CG$105:CG$128,Assumptions!$BB$105:$BB$128,'non-road'!$F34,Assumptions!$BC$105:$BC$128,'non-road'!$D34)/SUMIF(Assumptions!$BB$105:$BB$128,'non-road'!$F34,Assumptions!CG$105:CG$128)</f>
        <v>0</v>
      </c>
      <c r="AK34" s="39">
        <f>SUMIFS(Assumptions!CH$105:CH$128,Assumptions!$BB$105:$BB$128,'non-road'!$F34,Assumptions!$BC$105:$BC$128,'non-road'!$D34)/SUMIF(Assumptions!$BB$105:$BB$128,'non-road'!$F34,Assumptions!CH$105:CH$128)</f>
        <v>0</v>
      </c>
      <c r="AL34" s="39">
        <f>SUMIFS(Assumptions!CI$105:CI$128,Assumptions!$BB$105:$BB$128,'non-road'!$F34,Assumptions!$BC$105:$BC$128,'non-road'!$D34)/SUMIF(Assumptions!$BB$105:$BB$128,'non-road'!$F34,Assumptions!CI$105:CI$128)</f>
        <v>0</v>
      </c>
      <c r="AM34" s="39">
        <f>SUMIFS(Assumptions!CJ$105:CJ$128,Assumptions!$BB$105:$BB$128,'non-road'!$F34,Assumptions!$BC$105:$BC$128,'non-road'!$D34)/SUMIF(Assumptions!$BB$105:$BB$128,'non-road'!$F34,Assumptions!CJ$105:CJ$128)</f>
        <v>0</v>
      </c>
      <c r="AN34" s="39">
        <f>SUMIFS(Assumptions!CK$105:CK$128,Assumptions!$BB$105:$BB$128,'non-road'!$F34,Assumptions!$BC$105:$BC$128,'non-road'!$D34)/SUMIF(Assumptions!$BB$105:$BB$128,'non-road'!$F34,Assumptions!CK$105:CK$128)</f>
        <v>0</v>
      </c>
      <c r="AO34" s="39">
        <f>SUMIFS(Assumptions!CL$105:CL$128,Assumptions!$BB$105:$BB$128,'non-road'!$F34,Assumptions!$BC$105:$BC$128,'non-road'!$D34)/SUMIF(Assumptions!$BB$105:$BB$128,'non-road'!$F34,Assumptions!CL$105:CL$128)</f>
        <v>0</v>
      </c>
      <c r="AP34" s="39" t="e">
        <f>SUMIFS(Assumptions!CM$105:CM$128,Assumptions!$BB$105:$BB$128,'non-road'!$F34,Assumptions!$BC$105:$BC$128,'non-road'!$D34)/SUMIF(Assumptions!$BB$105:$BB$128,'non-road'!$F34,Assumptions!CM$105:CM$128)</f>
        <v>#DIV/0!</v>
      </c>
      <c r="AQ34" s="39" t="e">
        <f>SUMIFS(Assumptions!CN$105:CN$128,Assumptions!$BB$105:$BB$128,'non-road'!$F34,Assumptions!$BC$105:$BC$128,'non-road'!$D34)/SUMIF(Assumptions!$BB$105:$BB$128,'non-road'!$F34,Assumptions!CN$105:CN$128)</f>
        <v>#DIV/0!</v>
      </c>
      <c r="AR34" s="39" t="e">
        <f>SUMIFS(Assumptions!CO$105:CO$128,Assumptions!$BB$105:$BB$128,'non-road'!$F34,Assumptions!$BC$105:$BC$128,'non-road'!$D34)/SUMIF(Assumptions!$BB$105:$BB$128,'non-road'!$F34,Assumptions!CO$105:CO$128)</f>
        <v>#DIV/0!</v>
      </c>
      <c r="AS34" s="39" t="e">
        <f>SUMIFS(Assumptions!CP$105:CP$128,Assumptions!$BB$105:$BB$128,'non-road'!$F34,Assumptions!$BC$105:$BC$128,'non-road'!$D34)/SUMIF(Assumptions!$BB$105:$BB$128,'non-road'!$F34,Assumptions!CP$105:CP$128)</f>
        <v>#DIV/0!</v>
      </c>
      <c r="AT34" s="39" t="e">
        <f>SUMIFS(Assumptions!CQ$105:CQ$128,Assumptions!$BB$105:$BB$128,'non-road'!$F34,Assumptions!$BC$105:$BC$128,'non-road'!$D34)/SUMIF(Assumptions!$BB$105:$BB$128,'non-road'!$F34,Assumptions!CQ$105:CQ$128)</f>
        <v>#DIV/0!</v>
      </c>
      <c r="AU34" s="39" t="e">
        <f>SUMIFS(Assumptions!CR$105:CR$128,Assumptions!$BB$105:$BB$128,'non-road'!$F34,Assumptions!$BC$105:$BC$128,'non-road'!$D34)/SUMIF(Assumptions!$BB$105:$BB$128,'non-road'!$F34,Assumptions!CR$105:CR$128)</f>
        <v>#DIV/0!</v>
      </c>
      <c r="AV34" s="39" t="e">
        <f>SUMIFS(Assumptions!CS$105:CS$128,Assumptions!$BB$105:$BB$128,'non-road'!$F34,Assumptions!$BC$105:$BC$128,'non-road'!$D34)/SUMIF(Assumptions!$BB$105:$BB$128,'non-road'!$F34,Assumptions!CS$105:CS$128)</f>
        <v>#DIV/0!</v>
      </c>
      <c r="AW34" s="39" t="e">
        <f>SUMIFS(Assumptions!CT$105:CT$128,Assumptions!$BB$105:$BB$128,'non-road'!$F34,Assumptions!$BC$105:$BC$128,'non-road'!$D34)/SUMIF(Assumptions!$BB$105:$BB$128,'non-road'!$F34,Assumptions!CT$105:CT$128)</f>
        <v>#DIV/0!</v>
      </c>
      <c r="AX34" s="39" t="e">
        <f>SUMIFS(Assumptions!CU$105:CU$128,Assumptions!$BB$105:$BB$128,'non-road'!$F34,Assumptions!$BC$105:$BC$128,'non-road'!$D34)/SUMIF(Assumptions!$BB$105:$BB$128,'non-road'!$F34,Assumptions!CU$105:CU$128)</f>
        <v>#DIV/0!</v>
      </c>
      <c r="AY34" s="39" t="e">
        <f>SUMIFS(Assumptions!CV$105:CV$128,Assumptions!$BB$105:$BB$128,'non-road'!$F34,Assumptions!$BC$105:$BC$128,'non-road'!$D34)/SUMIF(Assumptions!$BB$105:$BB$128,'non-road'!$F34,Assumptions!CV$105:CV$128)</f>
        <v>#DIV/0!</v>
      </c>
      <c r="AZ34" s="39" t="e">
        <f>SUMIFS(Assumptions!CW$105:CW$128,Assumptions!$BB$105:$BB$128,'non-road'!$F34,Assumptions!$BC$105:$BC$128,'non-road'!$D34)/SUMIF(Assumptions!$BB$105:$BB$128,'non-road'!$F34,Assumptions!CW$105:CW$128)</f>
        <v>#DIV/0!</v>
      </c>
      <c r="BD34" s="38" t="str">
        <f t="shared" si="55"/>
        <v>\I:</v>
      </c>
      <c r="BE34" s="39">
        <f>VLOOKUP($F34,Assumptions!$E$152:$BC$157,COLUMN()-COLUMN($BC$4),FALSE)</f>
        <v>1</v>
      </c>
      <c r="BF34" s="39">
        <f>VLOOKUP($F34,Assumptions!$E$152:$BC$157,COLUMN()-COLUMN($BC$4),FALSE)</f>
        <v>1</v>
      </c>
      <c r="BG34" s="39">
        <f>VLOOKUP($F34,Assumptions!$E$152:$BC$157,COLUMN()-COLUMN($BC$4),FALSE)</f>
        <v>1</v>
      </c>
      <c r="BH34" s="39">
        <f>VLOOKUP($F34,Assumptions!$E$152:$BC$157,COLUMN()-COLUMN($BC$4),FALSE)</f>
        <v>1</v>
      </c>
      <c r="BI34" s="39">
        <f>VLOOKUP($F34,Assumptions!$E$152:$BC$157,COLUMN()-COLUMN($BC$4),FALSE)</f>
        <v>1</v>
      </c>
      <c r="BJ34" s="39">
        <f>VLOOKUP($F34,Assumptions!$E$152:$BC$157,COLUMN()-COLUMN($BC$4),FALSE)</f>
        <v>1</v>
      </c>
      <c r="BK34" s="39">
        <f>VLOOKUP($F34,Assumptions!$E$152:$BC$157,COLUMN()-COLUMN($BC$4),FALSE)</f>
        <v>1</v>
      </c>
      <c r="BL34" s="39">
        <f>VLOOKUP($F34,Assumptions!$E$152:$BC$157,COLUMN()-COLUMN($BC$4),FALSE)</f>
        <v>1</v>
      </c>
      <c r="BM34" s="39">
        <f>VLOOKUP($F34,Assumptions!$E$152:$BC$157,COLUMN()-COLUMN($BC$4),FALSE)</f>
        <v>1</v>
      </c>
      <c r="BN34" s="39">
        <f>VLOOKUP($F34,Assumptions!$E$152:$BC$157,COLUMN()-COLUMN($BC$4),FALSE)</f>
        <v>1</v>
      </c>
      <c r="BO34" s="39">
        <f>VLOOKUP($F34,Assumptions!$E$152:$BC$157,COLUMN()-COLUMN($BC$4),FALSE)</f>
        <v>1</v>
      </c>
      <c r="BP34" s="39">
        <f>VLOOKUP($F34,Assumptions!$E$152:$BC$157,COLUMN()-COLUMN($BC$4),FALSE)</f>
        <v>1</v>
      </c>
      <c r="BQ34" s="39">
        <f>VLOOKUP($F34,Assumptions!$E$152:$BC$157,COLUMN()-COLUMN($BC$4),FALSE)</f>
        <v>1</v>
      </c>
      <c r="BR34" s="39">
        <f>VLOOKUP($F34,Assumptions!$E$152:$BC$157,COLUMN()-COLUMN($BC$4),FALSE)</f>
        <v>1</v>
      </c>
      <c r="BS34" s="39">
        <f>VLOOKUP($F34,Assumptions!$E$152:$BC$157,COLUMN()-COLUMN($BC$4),FALSE)</f>
        <v>1</v>
      </c>
      <c r="BT34" s="39">
        <f>VLOOKUP($F34,Assumptions!$E$152:$BC$157,COLUMN()-COLUMN($BC$4),FALSE)</f>
        <v>1</v>
      </c>
      <c r="BU34" s="39">
        <f>VLOOKUP($F34,Assumptions!$E$152:$BC$157,COLUMN()-COLUMN($BC$4),FALSE)</f>
        <v>1</v>
      </c>
      <c r="BV34" s="39">
        <f>VLOOKUP($F34,Assumptions!$E$152:$BC$157,COLUMN()-COLUMN($BC$4),FALSE)</f>
        <v>1</v>
      </c>
      <c r="BW34" s="39">
        <f>VLOOKUP($F34,Assumptions!$E$152:$BC$157,COLUMN()-COLUMN($BC$4),FALSE)</f>
        <v>1</v>
      </c>
      <c r="BX34" s="39">
        <f>VLOOKUP($F34,Assumptions!$E$152:$BC$157,COLUMN()-COLUMN($BC$4),FALSE)</f>
        <v>1</v>
      </c>
      <c r="BY34" s="39">
        <f>VLOOKUP($F34,Assumptions!$E$152:$BC$157,COLUMN()-COLUMN($BC$4),FALSE)</f>
        <v>1</v>
      </c>
      <c r="BZ34" s="39">
        <f>VLOOKUP($F34,Assumptions!$E$152:$BC$157,COLUMN()-COLUMN($BC$4),FALSE)</f>
        <v>1</v>
      </c>
      <c r="CA34" s="39">
        <f>VLOOKUP($F34,Assumptions!$E$152:$BC$157,COLUMN()-COLUMN($BC$4),FALSE)</f>
        <v>1</v>
      </c>
      <c r="CB34" s="39">
        <f>VLOOKUP($F34,Assumptions!$E$152:$BC$157,COLUMN()-COLUMN($BC$4),FALSE)</f>
        <v>1</v>
      </c>
      <c r="CC34" s="39">
        <f>VLOOKUP($F34,Assumptions!$E$152:$BC$157,COLUMN()-COLUMN($BC$4),FALSE)</f>
        <v>1</v>
      </c>
      <c r="CD34" s="39">
        <f>VLOOKUP($F34,Assumptions!$E$152:$BC$157,COLUMN()-COLUMN($BC$4),FALSE)</f>
        <v>1</v>
      </c>
      <c r="CE34" s="39">
        <f>VLOOKUP($F34,Assumptions!$E$152:$BC$157,COLUMN()-COLUMN($BC$4),FALSE)</f>
        <v>1</v>
      </c>
      <c r="CF34" s="39">
        <f>VLOOKUP($F34,Assumptions!$E$152:$BC$157,COLUMN()-COLUMN($BC$4),FALSE)</f>
        <v>1</v>
      </c>
      <c r="CG34" s="39">
        <f>VLOOKUP($F34,Assumptions!$E$152:$BC$157,COLUMN()-COLUMN($BC$4),FALSE)</f>
        <v>1</v>
      </c>
      <c r="CH34" s="39">
        <f>VLOOKUP($F34,Assumptions!$E$152:$BC$157,COLUMN()-COLUMN($BC$4),FALSE)</f>
        <v>1</v>
      </c>
      <c r="CI34" s="39">
        <f>VLOOKUP($F34,Assumptions!$E$152:$BC$157,COLUMN()-COLUMN($BC$4),FALSE)</f>
        <v>1</v>
      </c>
      <c r="CJ34" s="39">
        <f>VLOOKUP($F34,Assumptions!$E$152:$BC$157,COLUMN()-COLUMN($BC$4),FALSE)</f>
        <v>1</v>
      </c>
      <c r="CK34" s="39">
        <f>VLOOKUP($F34,Assumptions!$E$152:$BC$157,COLUMN()-COLUMN($BC$4),FALSE)</f>
        <v>1</v>
      </c>
      <c r="CL34" s="39">
        <f>VLOOKUP($F34,Assumptions!$E$152:$BC$157,COLUMN()-COLUMN($BC$4),FALSE)</f>
        <v>1</v>
      </c>
      <c r="CM34" s="39">
        <f>VLOOKUP($F34,Assumptions!$E$152:$BC$157,COLUMN()-COLUMN($BC$4),FALSE)</f>
        <v>1</v>
      </c>
      <c r="CN34" s="39">
        <f>VLOOKUP($F34,Assumptions!$E$152:$BC$157,COLUMN()-COLUMN($BC$4),FALSE)</f>
        <v>1</v>
      </c>
      <c r="CO34" s="39">
        <f>VLOOKUP($F34,Assumptions!$E$152:$BC$157,COLUMN()-COLUMN($BC$4),FALSE)</f>
        <v>1</v>
      </c>
      <c r="CP34" s="39">
        <f>VLOOKUP($F34,Assumptions!$E$152:$BC$157,COLUMN()-COLUMN($BC$4),FALSE)</f>
        <v>1</v>
      </c>
      <c r="CQ34" s="39">
        <f>VLOOKUP($F34,Assumptions!$E$152:$BC$157,COLUMN()-COLUMN($BC$4),FALSE)</f>
        <v>1</v>
      </c>
      <c r="CR34" s="39">
        <f>VLOOKUP($F34,Assumptions!$E$152:$BC$157,COLUMN()-COLUMN($BC$4),FALSE)</f>
        <v>1</v>
      </c>
      <c r="CS34" s="39">
        <f>VLOOKUP($F34,Assumptions!$E$152:$BC$157,COLUMN()-COLUMN($BC$4),FALSE)</f>
        <v>1</v>
      </c>
      <c r="CT34" s="39">
        <f>VLOOKUP($F34,Assumptions!$E$152:$BC$157,COLUMN()-COLUMN($BC$4),FALSE)</f>
        <v>1</v>
      </c>
      <c r="CU34" s="39">
        <f>VLOOKUP($F34,Assumptions!$E$152:$BC$157,COLUMN()-COLUMN($BC$4),FALSE)</f>
        <v>1</v>
      </c>
      <c r="CV34" s="39">
        <f>VLOOKUP($F34,Assumptions!$E$152:$BC$157,COLUMN()-COLUMN($BC$4),FALSE)</f>
        <v>1</v>
      </c>
      <c r="CW34" s="39">
        <f>VLOOKUP($F34,Assumptions!$E$152:$BC$157,COLUMN()-COLUMN($BC$4),FALSE)</f>
        <v>1</v>
      </c>
      <c r="CX34" s="39">
        <f>VLOOKUP($F34,Assumptions!$E$152:$BC$157,COLUMN()-COLUMN($BC$4),FALSE)</f>
        <v>1</v>
      </c>
      <c r="CY34" s="38"/>
      <c r="CZ34" s="38"/>
      <c r="DA34" s="38"/>
      <c r="DB34" t="str">
        <f t="shared" si="69"/>
        <v>TWI</v>
      </c>
      <c r="DC34" s="38"/>
      <c r="DD34" t="s">
        <v>85</v>
      </c>
      <c r="DE34" s="38"/>
      <c r="DF34" s="38"/>
      <c r="DG34" s="38"/>
      <c r="DH34" s="38"/>
      <c r="DI34" s="38"/>
      <c r="DJ34" s="38"/>
      <c r="DK34" s="38"/>
      <c r="DL34" s="38"/>
      <c r="DM34" s="38"/>
      <c r="DN34" s="38"/>
      <c r="DO34" s="38"/>
      <c r="DP34" s="38"/>
      <c r="DQ34" s="38"/>
      <c r="DR34" s="38"/>
      <c r="DS34" s="38"/>
      <c r="DT34" s="38"/>
      <c r="DU34" s="38"/>
      <c r="DV34" s="38"/>
      <c r="DW34" s="38"/>
      <c r="DX34" s="38"/>
      <c r="DY34" s="38"/>
      <c r="DZ34" s="38"/>
      <c r="EA34" s="38"/>
      <c r="EB34" s="38"/>
      <c r="EC34" s="38"/>
      <c r="ED34" s="38"/>
      <c r="EE34" s="38"/>
      <c r="EF34" s="38"/>
      <c r="EG34" s="38"/>
      <c r="EH34" s="38"/>
      <c r="EI34" s="38"/>
      <c r="EJ34" s="38"/>
      <c r="EK34" s="38"/>
      <c r="EL34" s="38"/>
      <c r="EM34" s="38"/>
      <c r="EN34" s="38"/>
      <c r="EO34" s="38"/>
      <c r="EP34" s="38"/>
      <c r="EQ34" s="38"/>
      <c r="ER34" s="38"/>
      <c r="ES34" s="38"/>
      <c r="ET34" s="38"/>
      <c r="EU34" s="38"/>
      <c r="EV34" s="38"/>
      <c r="EW34" s="38" t="str">
        <f t="shared" si="48"/>
        <v>DMD</v>
      </c>
      <c r="EX34" s="38" t="str">
        <f t="shared" si="68"/>
        <v>TWI_Generic</v>
      </c>
      <c r="EY34" s="38" t="s">
        <v>451</v>
      </c>
      <c r="EZ34" s="38" t="s">
        <v>85</v>
      </c>
      <c r="FA34" s="38" t="s">
        <v>440</v>
      </c>
    </row>
    <row r="35" spans="3:157">
      <c r="C35" s="38" t="str">
        <f>IF(F61&lt;&gt;F34,F61&amp;"_Generic","")</f>
        <v>TWI_Generic</v>
      </c>
      <c r="D35" t="s">
        <v>133</v>
      </c>
      <c r="BD35" s="38" t="str">
        <f t="shared" si="55"/>
        <v>TWI_Generic</v>
      </c>
      <c r="BE35" s="39">
        <f>VLOOKUP($F61,Assumptions!$E$152:$BC$157,COLUMN()-COLUMN($BC$4),FALSE)</f>
        <v>1</v>
      </c>
      <c r="BF35" s="39">
        <f>VLOOKUP($F61,Assumptions!$E$152:$BC$157,COLUMN()-COLUMN($BC$4),FALSE)</f>
        <v>1</v>
      </c>
      <c r="BG35" s="39">
        <f>VLOOKUP($F61,Assumptions!$E$152:$BC$157,COLUMN()-COLUMN($BC$4),FALSE)</f>
        <v>1</v>
      </c>
      <c r="BH35" s="39">
        <f>VLOOKUP($F61,Assumptions!$E$152:$BC$157,COLUMN()-COLUMN($BC$4),FALSE)</f>
        <v>1</v>
      </c>
      <c r="BI35" s="39">
        <f>VLOOKUP($F61,Assumptions!$E$152:$BC$157,COLUMN()-COLUMN($BC$4),FALSE)</f>
        <v>1</v>
      </c>
      <c r="BJ35" s="39">
        <f>VLOOKUP($F61,Assumptions!$E$152:$BC$157,COLUMN()-COLUMN($BC$4),FALSE)</f>
        <v>1</v>
      </c>
      <c r="BK35" s="39">
        <f>VLOOKUP($F61,Assumptions!$E$152:$BC$157,COLUMN()-COLUMN($BC$4),FALSE)</f>
        <v>1</v>
      </c>
      <c r="BL35" s="39">
        <f>VLOOKUP($F61,Assumptions!$E$152:$BC$157,COLUMN()-COLUMN($BC$4),FALSE)</f>
        <v>1</v>
      </c>
      <c r="BM35" s="39">
        <f>VLOOKUP($F61,Assumptions!$E$152:$BC$157,COLUMN()-COLUMN($BC$4),FALSE)</f>
        <v>1</v>
      </c>
      <c r="BN35" s="39">
        <f>VLOOKUP($F61,Assumptions!$E$152:$BC$157,COLUMN()-COLUMN($BC$4),FALSE)</f>
        <v>1</v>
      </c>
      <c r="BO35" s="39">
        <f>VLOOKUP($F61,Assumptions!$E$152:$BC$157,COLUMN()-COLUMN($BC$4),FALSE)</f>
        <v>1</v>
      </c>
      <c r="BP35" s="39">
        <f>VLOOKUP($F61,Assumptions!$E$152:$BC$157,COLUMN()-COLUMN($BC$4),FALSE)</f>
        <v>1</v>
      </c>
      <c r="BQ35" s="39">
        <f>VLOOKUP($F61,Assumptions!$E$152:$BC$157,COLUMN()-COLUMN($BC$4),FALSE)</f>
        <v>1</v>
      </c>
      <c r="BR35" s="39">
        <f>VLOOKUP($F61,Assumptions!$E$152:$BC$157,COLUMN()-COLUMN($BC$4),FALSE)</f>
        <v>1</v>
      </c>
      <c r="BS35" s="39">
        <f>VLOOKUP($F61,Assumptions!$E$152:$BC$157,COLUMN()-COLUMN($BC$4),FALSE)</f>
        <v>1</v>
      </c>
      <c r="BT35" s="39">
        <f>VLOOKUP($F61,Assumptions!$E$152:$BC$157,COLUMN()-COLUMN($BC$4),FALSE)</f>
        <v>1</v>
      </c>
      <c r="BU35" s="39">
        <f>VLOOKUP($F61,Assumptions!$E$152:$BC$157,COLUMN()-COLUMN($BC$4),FALSE)</f>
        <v>1</v>
      </c>
      <c r="BV35" s="39">
        <f>VLOOKUP($F61,Assumptions!$E$152:$BC$157,COLUMN()-COLUMN($BC$4),FALSE)</f>
        <v>1</v>
      </c>
      <c r="BW35" s="39">
        <f>VLOOKUP($F61,Assumptions!$E$152:$BC$157,COLUMN()-COLUMN($BC$4),FALSE)</f>
        <v>1</v>
      </c>
      <c r="BX35" s="39">
        <f>VLOOKUP($F61,Assumptions!$E$152:$BC$157,COLUMN()-COLUMN($BC$4),FALSE)</f>
        <v>1</v>
      </c>
      <c r="BY35" s="39">
        <f>VLOOKUP($F61,Assumptions!$E$152:$BC$157,COLUMN()-COLUMN($BC$4),FALSE)</f>
        <v>1</v>
      </c>
      <c r="BZ35" s="39">
        <f>VLOOKUP($F61,Assumptions!$E$152:$BC$157,COLUMN()-COLUMN($BC$4),FALSE)</f>
        <v>1</v>
      </c>
      <c r="CA35" s="39">
        <f>VLOOKUP($F61,Assumptions!$E$152:$BC$157,COLUMN()-COLUMN($BC$4),FALSE)</f>
        <v>1</v>
      </c>
      <c r="CB35" s="39">
        <f>VLOOKUP($F61,Assumptions!$E$152:$BC$157,COLUMN()-COLUMN($BC$4),FALSE)</f>
        <v>1</v>
      </c>
      <c r="CC35" s="39">
        <f>VLOOKUP($F61,Assumptions!$E$152:$BC$157,COLUMN()-COLUMN($BC$4),FALSE)</f>
        <v>1</v>
      </c>
      <c r="CD35" s="39">
        <f>VLOOKUP($F61,Assumptions!$E$152:$BC$157,COLUMN()-COLUMN($BC$4),FALSE)</f>
        <v>1</v>
      </c>
      <c r="CE35" s="39">
        <f>VLOOKUP($F61,Assumptions!$E$152:$BC$157,COLUMN()-COLUMN($BC$4),FALSE)</f>
        <v>1</v>
      </c>
      <c r="CF35" s="39">
        <f>VLOOKUP($F61,Assumptions!$E$152:$BC$157,COLUMN()-COLUMN($BC$4),FALSE)</f>
        <v>1</v>
      </c>
      <c r="CG35" s="39">
        <f>VLOOKUP($F61,Assumptions!$E$152:$BC$157,COLUMN()-COLUMN($BC$4),FALSE)</f>
        <v>1</v>
      </c>
      <c r="CH35" s="39">
        <f>VLOOKUP($F61,Assumptions!$E$152:$BC$157,COLUMN()-COLUMN($BC$4),FALSE)</f>
        <v>1</v>
      </c>
      <c r="CI35" s="39">
        <f>VLOOKUP($F61,Assumptions!$E$152:$BC$157,COLUMN()-COLUMN($BC$4),FALSE)</f>
        <v>1</v>
      </c>
      <c r="CJ35" s="39">
        <f>VLOOKUP($F61,Assumptions!$E$152:$BC$157,COLUMN()-COLUMN($BC$4),FALSE)</f>
        <v>1</v>
      </c>
      <c r="CK35" s="39">
        <f>VLOOKUP($F61,Assumptions!$E$152:$BC$157,COLUMN()-COLUMN($BC$4),FALSE)</f>
        <v>1</v>
      </c>
      <c r="CL35" s="39">
        <f>VLOOKUP($F61,Assumptions!$E$152:$BC$157,COLUMN()-COLUMN($BC$4),FALSE)</f>
        <v>1</v>
      </c>
      <c r="CM35" s="39">
        <f>VLOOKUP($F61,Assumptions!$E$152:$BC$157,COLUMN()-COLUMN($BC$4),FALSE)</f>
        <v>1</v>
      </c>
      <c r="CN35" s="39">
        <f>VLOOKUP($F61,Assumptions!$E$152:$BC$157,COLUMN()-COLUMN($BC$4),FALSE)</f>
        <v>1</v>
      </c>
      <c r="CO35" s="39">
        <f>VLOOKUP($F61,Assumptions!$E$152:$BC$157,COLUMN()-COLUMN($BC$4),FALSE)</f>
        <v>1</v>
      </c>
      <c r="CP35" s="39">
        <f>VLOOKUP($F61,Assumptions!$E$152:$BC$157,COLUMN()-COLUMN($BC$4),FALSE)</f>
        <v>1</v>
      </c>
      <c r="CQ35" s="39">
        <f>VLOOKUP($F61,Assumptions!$E$152:$BC$157,COLUMN()-COLUMN($BC$4),FALSE)</f>
        <v>1</v>
      </c>
      <c r="CR35" s="39">
        <f>VLOOKUP($F61,Assumptions!$E$152:$BC$157,COLUMN()-COLUMN($BC$4),FALSE)</f>
        <v>1</v>
      </c>
      <c r="CS35" s="39">
        <f>VLOOKUP($F61,Assumptions!$E$152:$BC$157,COLUMN()-COLUMN($BC$4),FALSE)</f>
        <v>1</v>
      </c>
      <c r="CT35" s="39">
        <f>VLOOKUP($F61,Assumptions!$E$152:$BC$157,COLUMN()-COLUMN($BC$4),FALSE)</f>
        <v>1</v>
      </c>
      <c r="CU35" s="39">
        <f>VLOOKUP($F61,Assumptions!$E$152:$BC$157,COLUMN()-COLUMN($BC$4),FALSE)</f>
        <v>1</v>
      </c>
      <c r="CV35" s="39">
        <f>VLOOKUP($F61,Assumptions!$E$152:$BC$157,COLUMN()-COLUMN($BC$4),FALSE)</f>
        <v>1</v>
      </c>
      <c r="CW35" s="39">
        <f>VLOOKUP($F61,Assumptions!$E$152:$BC$157,COLUMN()-COLUMN($BC$4),FALSE)</f>
        <v>1</v>
      </c>
      <c r="CX35" s="39">
        <f>VLOOKUP($F61,Assumptions!$E$152:$BC$157,COLUMN()-COLUMN($BC$4),FALSE)</f>
        <v>1</v>
      </c>
      <c r="CY35" s="38"/>
      <c r="CZ35" s="38"/>
      <c r="DA35" s="38"/>
      <c r="DE35" s="38"/>
      <c r="DF35" s="38"/>
      <c r="DG35" s="38"/>
      <c r="DH35" s="38"/>
      <c r="DI35" s="38"/>
      <c r="DJ35" s="38"/>
      <c r="DK35" s="38"/>
      <c r="DL35" s="38"/>
      <c r="DM35" s="38"/>
      <c r="DN35" s="38"/>
      <c r="DO35" s="38"/>
      <c r="DP35" s="38"/>
      <c r="DQ35" s="38"/>
      <c r="DR35" s="38"/>
      <c r="DS35" s="38"/>
      <c r="DT35" s="38"/>
      <c r="DU35" s="38"/>
      <c r="DV35" s="38"/>
      <c r="DW35" s="38"/>
      <c r="DX35" s="38"/>
      <c r="DY35" s="38"/>
      <c r="DZ35" s="38"/>
      <c r="EA35" s="38"/>
      <c r="EB35" s="38"/>
      <c r="EC35" s="38"/>
      <c r="ED35" s="38"/>
      <c r="EE35" s="38"/>
      <c r="EF35" s="38"/>
      <c r="EG35" s="38"/>
      <c r="EH35" s="38"/>
      <c r="EI35" s="38"/>
      <c r="EJ35" s="38"/>
      <c r="EK35" s="38"/>
      <c r="EL35" s="38"/>
      <c r="EM35" s="38"/>
      <c r="EN35" s="38"/>
      <c r="EO35" s="38"/>
      <c r="EP35" s="38"/>
      <c r="EQ35" s="38"/>
      <c r="ER35" s="38"/>
      <c r="ES35" s="38"/>
      <c r="ET35" s="38"/>
      <c r="EU35" s="38"/>
      <c r="EV35" s="38"/>
      <c r="EW35" s="38" t="str">
        <f t="shared" si="48"/>
        <v>\I:</v>
      </c>
      <c r="EX35" s="38" t="str">
        <f t="shared" si="68"/>
        <v/>
      </c>
      <c r="EY35" s="38" t="s">
        <v>133</v>
      </c>
      <c r="EZ35" s="38" t="s">
        <v>85</v>
      </c>
      <c r="FA35" s="38" t="s">
        <v>440</v>
      </c>
    </row>
    <row r="36" spans="3:157">
      <c r="C36" s="38" t="str">
        <f>IF(F36&lt;&gt;F61,F36&amp;"_Generic","")</f>
        <v/>
      </c>
      <c r="D36" s="38" t="s">
        <v>60</v>
      </c>
      <c r="E36" s="38"/>
      <c r="F36" s="38" t="s">
        <v>88</v>
      </c>
      <c r="G36" s="39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9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9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9">
        <f>SUMIFS(Assumptions!BG$105:BG$128,Assumptions!$BB$105:$BB$128,'non-road'!$F36,Assumptions!$BC$105:$BC$128,'non-road'!$D36)/SUMIF(Assumptions!$BB$105:$BB$128,'non-road'!$F36,Assumptions!BG$105:BG$128)</f>
        <v>1</v>
      </c>
      <c r="K36" s="39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9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9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9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9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9" t="e">
        <f>SUMIFS(Assumptions!BM$105:BM$128,Assumptions!$BB$105:$BB$128,'non-road'!$F36,Assumptions!$BC$105:$BC$128,'non-road'!$D36)/SUMIF(Assumptions!$BB$105:$BB$128,'non-road'!$F36,Assumptions!BM$105:BM$128)</f>
        <v>#DIV/0!</v>
      </c>
      <c r="Q36" s="39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9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9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9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9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9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9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9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9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9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9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9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9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9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9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9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9">
        <f>SUMIFS(Assumptions!CD$105:CD$128,Assumptions!$BB$105:$BB$128,'non-road'!$F36,Assumptions!$BC$105:$BC$128,'non-road'!$D36)/SUMIF(Assumptions!$BB$105:$BB$128,'non-road'!$F36,Assumptions!CD$105:CD$128)</f>
        <v>0</v>
      </c>
      <c r="AH36" s="39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9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9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9">
        <f>SUMIFS(Assumptions!CH$105:CH$128,Assumptions!$BB$105:$BB$128,'non-road'!$F36,Assumptions!$BC$105:$BC$128,'non-road'!$D36)/SUMIF(Assumptions!$BB$105:$BB$128,'non-road'!$F36,Assumptions!CH$105:CH$128)</f>
        <v>1</v>
      </c>
      <c r="AL36" s="39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9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9" t="e">
        <f>SUMIFS(Assumptions!CK$105:CK$128,Assumptions!$BB$105:$BB$128,'non-road'!$F36,Assumptions!$BC$105:$BC$128,'non-road'!$D36)/SUMIF(Assumptions!$BB$105:$BB$128,'non-road'!$F36,Assumptions!CK$105:CK$128)</f>
        <v>#DIV/0!</v>
      </c>
      <c r="AO36" s="39">
        <f>SUMIFS(Assumptions!CL$105:CL$128,Assumptions!$BB$105:$BB$128,'non-road'!$F36,Assumptions!$BC$105:$BC$128,'non-road'!$D36)/SUMIF(Assumptions!$BB$105:$BB$128,'non-road'!$F36,Assumptions!CL$105:CL$128)</f>
        <v>1</v>
      </c>
      <c r="AP36" s="39" t="e">
        <f>SUMIFS(Assumptions!CM$105:CM$128,Assumptions!$BB$105:$BB$128,'non-road'!$F36,Assumptions!$BC$105:$BC$128,'non-road'!$D36)/SUMIF(Assumptions!$BB$105:$BB$128,'non-road'!$F36,Assumptions!CM$105:CM$128)</f>
        <v>#DIV/0!</v>
      </c>
      <c r="AQ36" s="39" t="e">
        <f>SUMIFS(Assumptions!CN$105:CN$128,Assumptions!$BB$105:$BB$128,'non-road'!$F36,Assumptions!$BC$105:$BC$128,'non-road'!$D36)/SUMIF(Assumptions!$BB$105:$BB$128,'non-road'!$F36,Assumptions!CN$105:CN$128)</f>
        <v>#DIV/0!</v>
      </c>
      <c r="AR36" s="39" t="e">
        <f>SUMIFS(Assumptions!CO$105:CO$128,Assumptions!$BB$105:$BB$128,'non-road'!$F36,Assumptions!$BC$105:$BC$128,'non-road'!$D36)/SUMIF(Assumptions!$BB$105:$BB$128,'non-road'!$F36,Assumptions!CO$105:CO$128)</f>
        <v>#DIV/0!</v>
      </c>
      <c r="AS36" s="39" t="e">
        <f>SUMIFS(Assumptions!CP$105:CP$128,Assumptions!$BB$105:$BB$128,'non-road'!$F36,Assumptions!$BC$105:$BC$128,'non-road'!$D36)/SUMIF(Assumptions!$BB$105:$BB$128,'non-road'!$F36,Assumptions!CP$105:CP$128)</f>
        <v>#DIV/0!</v>
      </c>
      <c r="AT36" s="39" t="e">
        <f>SUMIFS(Assumptions!CQ$105:CQ$128,Assumptions!$BB$105:$BB$128,'non-road'!$F36,Assumptions!$BC$105:$BC$128,'non-road'!$D36)/SUMIF(Assumptions!$BB$105:$BB$128,'non-road'!$F36,Assumptions!CQ$105:CQ$128)</f>
        <v>#DIV/0!</v>
      </c>
      <c r="AU36" s="39" t="e">
        <f>SUMIFS(Assumptions!CR$105:CR$128,Assumptions!$BB$105:$BB$128,'non-road'!$F36,Assumptions!$BC$105:$BC$128,'non-road'!$D36)/SUMIF(Assumptions!$BB$105:$BB$128,'non-road'!$F36,Assumptions!CR$105:CR$128)</f>
        <v>#DIV/0!</v>
      </c>
      <c r="AV36" s="39" t="e">
        <f>SUMIFS(Assumptions!CS$105:CS$128,Assumptions!$BB$105:$BB$128,'non-road'!$F36,Assumptions!$BC$105:$BC$128,'non-road'!$D36)/SUMIF(Assumptions!$BB$105:$BB$128,'non-road'!$F36,Assumptions!CS$105:CS$128)</f>
        <v>#DIV/0!</v>
      </c>
      <c r="AW36" s="39" t="e">
        <f>SUMIFS(Assumptions!CT$105:CT$128,Assumptions!$BB$105:$BB$128,'non-road'!$F36,Assumptions!$BC$105:$BC$128,'non-road'!$D36)/SUMIF(Assumptions!$BB$105:$BB$128,'non-road'!$F36,Assumptions!CT$105:CT$128)</f>
        <v>#DIV/0!</v>
      </c>
      <c r="AX36" s="39" t="e">
        <f>SUMIFS(Assumptions!CU$105:CU$128,Assumptions!$BB$105:$BB$128,'non-road'!$F36,Assumptions!$BC$105:$BC$128,'non-road'!$D36)/SUMIF(Assumptions!$BB$105:$BB$128,'non-road'!$F36,Assumptions!CU$105:CU$128)</f>
        <v>#DIV/0!</v>
      </c>
      <c r="AY36" s="39" t="e">
        <f>SUMIFS(Assumptions!CV$105:CV$128,Assumptions!$BB$105:$BB$128,'non-road'!$F36,Assumptions!$BC$105:$BC$128,'non-road'!$D36)/SUMIF(Assumptions!$BB$105:$BB$128,'non-road'!$F36,Assumptions!CV$105:CV$128)</f>
        <v>#DIV/0!</v>
      </c>
      <c r="AZ36" s="39" t="e">
        <f>SUMIFS(Assumptions!CW$105:CW$128,Assumptions!$BB$105:$BB$128,'non-road'!$F36,Assumptions!$BC$105:$BC$128,'non-road'!$D36)/SUMIF(Assumptions!$BB$105:$BB$128,'non-road'!$F36,Assumptions!CW$105:CW$128)</f>
        <v>#DIV/0!</v>
      </c>
      <c r="BD36" s="38" t="str">
        <f t="shared" si="55"/>
        <v>\I:</v>
      </c>
      <c r="BE36" s="39">
        <f>VLOOKUP($F36,Assumptions!$E$152:$BC$157,COLUMN()-COLUMN($BC$4),FALSE)</f>
        <v>1</v>
      </c>
      <c r="BF36" s="39">
        <f>VLOOKUP($F36,Assumptions!$E$152:$BC$157,COLUMN()-COLUMN($BC$4),FALSE)</f>
        <v>1</v>
      </c>
      <c r="BG36" s="39">
        <f>VLOOKUP($F36,Assumptions!$E$152:$BC$157,COLUMN()-COLUMN($BC$4),FALSE)</f>
        <v>1</v>
      </c>
      <c r="BH36" s="39">
        <f>VLOOKUP($F36,Assumptions!$E$152:$BC$157,COLUMN()-COLUMN($BC$4),FALSE)</f>
        <v>1</v>
      </c>
      <c r="BI36" s="39">
        <f>VLOOKUP($F36,Assumptions!$E$152:$BC$157,COLUMN()-COLUMN($BC$4),FALSE)</f>
        <v>1</v>
      </c>
      <c r="BJ36" s="39">
        <f>VLOOKUP($F36,Assumptions!$E$152:$BC$157,COLUMN()-COLUMN($BC$4),FALSE)</f>
        <v>1</v>
      </c>
      <c r="BK36" s="39">
        <f>VLOOKUP($F36,Assumptions!$E$152:$BC$157,COLUMN()-COLUMN($BC$4),FALSE)</f>
        <v>1</v>
      </c>
      <c r="BL36" s="39">
        <f>VLOOKUP($F36,Assumptions!$E$152:$BC$157,COLUMN()-COLUMN($BC$4),FALSE)</f>
        <v>1</v>
      </c>
      <c r="BM36" s="39">
        <f>VLOOKUP($F36,Assumptions!$E$152:$BC$157,COLUMN()-COLUMN($BC$4),FALSE)</f>
        <v>1</v>
      </c>
      <c r="BN36" s="39">
        <f>VLOOKUP($F36,Assumptions!$E$152:$BC$157,COLUMN()-COLUMN($BC$4),FALSE)</f>
        <v>1</v>
      </c>
      <c r="BO36" s="39">
        <f>VLOOKUP($F36,Assumptions!$E$152:$BC$157,COLUMN()-COLUMN($BC$4),FALSE)</f>
        <v>1</v>
      </c>
      <c r="BP36" s="39">
        <f>VLOOKUP($F36,Assumptions!$E$152:$BC$157,COLUMN()-COLUMN($BC$4),FALSE)</f>
        <v>1</v>
      </c>
      <c r="BQ36" s="39">
        <f>VLOOKUP($F36,Assumptions!$E$152:$BC$157,COLUMN()-COLUMN($BC$4),FALSE)</f>
        <v>1</v>
      </c>
      <c r="BR36" s="39">
        <f>VLOOKUP($F36,Assumptions!$E$152:$BC$157,COLUMN()-COLUMN($BC$4),FALSE)</f>
        <v>1</v>
      </c>
      <c r="BS36" s="39">
        <f>VLOOKUP($F36,Assumptions!$E$152:$BC$157,COLUMN()-COLUMN($BC$4),FALSE)</f>
        <v>1</v>
      </c>
      <c r="BT36" s="39">
        <f>VLOOKUP($F36,Assumptions!$E$152:$BC$157,COLUMN()-COLUMN($BC$4),FALSE)</f>
        <v>1</v>
      </c>
      <c r="BU36" s="39">
        <f>VLOOKUP($F36,Assumptions!$E$152:$BC$157,COLUMN()-COLUMN($BC$4),FALSE)</f>
        <v>1</v>
      </c>
      <c r="BV36" s="39">
        <f>VLOOKUP($F36,Assumptions!$E$152:$BC$157,COLUMN()-COLUMN($BC$4),FALSE)</f>
        <v>1</v>
      </c>
      <c r="BW36" s="39">
        <f>VLOOKUP($F36,Assumptions!$E$152:$BC$157,COLUMN()-COLUMN($BC$4),FALSE)</f>
        <v>1</v>
      </c>
      <c r="BX36" s="39">
        <f>VLOOKUP($F36,Assumptions!$E$152:$BC$157,COLUMN()-COLUMN($BC$4),FALSE)</f>
        <v>1</v>
      </c>
      <c r="BY36" s="39">
        <f>VLOOKUP($F36,Assumptions!$E$152:$BC$157,COLUMN()-COLUMN($BC$4),FALSE)</f>
        <v>1</v>
      </c>
      <c r="BZ36" s="39">
        <f>VLOOKUP($F36,Assumptions!$E$152:$BC$157,COLUMN()-COLUMN($BC$4),FALSE)</f>
        <v>1</v>
      </c>
      <c r="CA36" s="39">
        <f>VLOOKUP($F36,Assumptions!$E$152:$BC$157,COLUMN()-COLUMN($BC$4),FALSE)</f>
        <v>1</v>
      </c>
      <c r="CB36" s="39">
        <f>VLOOKUP($F36,Assumptions!$E$152:$BC$157,COLUMN()-COLUMN($BC$4),FALSE)</f>
        <v>1</v>
      </c>
      <c r="CC36" s="39">
        <f>VLOOKUP($F36,Assumptions!$E$152:$BC$157,COLUMN()-COLUMN($BC$4),FALSE)</f>
        <v>1</v>
      </c>
      <c r="CD36" s="39">
        <f>VLOOKUP($F36,Assumptions!$E$152:$BC$157,COLUMN()-COLUMN($BC$4),FALSE)</f>
        <v>1</v>
      </c>
      <c r="CE36" s="39">
        <f>VLOOKUP($F36,Assumptions!$E$152:$BC$157,COLUMN()-COLUMN($BC$4),FALSE)</f>
        <v>1</v>
      </c>
      <c r="CF36" s="39">
        <f>VLOOKUP($F36,Assumptions!$E$152:$BC$157,COLUMN()-COLUMN($BC$4),FALSE)</f>
        <v>1</v>
      </c>
      <c r="CG36" s="39">
        <f>VLOOKUP($F36,Assumptions!$E$152:$BC$157,COLUMN()-COLUMN($BC$4),FALSE)</f>
        <v>1</v>
      </c>
      <c r="CH36" s="39">
        <f>VLOOKUP($F36,Assumptions!$E$152:$BC$157,COLUMN()-COLUMN($BC$4),FALSE)</f>
        <v>1</v>
      </c>
      <c r="CI36" s="39">
        <f>VLOOKUP($F36,Assumptions!$E$152:$BC$157,COLUMN()-COLUMN($BC$4),FALSE)</f>
        <v>1</v>
      </c>
      <c r="CJ36" s="39">
        <f>VLOOKUP($F36,Assumptions!$E$152:$BC$157,COLUMN()-COLUMN($BC$4),FALSE)</f>
        <v>1</v>
      </c>
      <c r="CK36" s="39">
        <f>VLOOKUP($F36,Assumptions!$E$152:$BC$157,COLUMN()-COLUMN($BC$4),FALSE)</f>
        <v>1</v>
      </c>
      <c r="CL36" s="39">
        <f>VLOOKUP($F36,Assumptions!$E$152:$BC$157,COLUMN()-COLUMN($BC$4),FALSE)</f>
        <v>1</v>
      </c>
      <c r="CM36" s="39">
        <f>VLOOKUP($F36,Assumptions!$E$152:$BC$157,COLUMN()-COLUMN($BC$4),FALSE)</f>
        <v>1</v>
      </c>
      <c r="CN36" s="39">
        <f>VLOOKUP($F36,Assumptions!$E$152:$BC$157,COLUMN()-COLUMN($BC$4),FALSE)</f>
        <v>1</v>
      </c>
      <c r="CO36" s="39">
        <f>VLOOKUP($F36,Assumptions!$E$152:$BC$157,COLUMN()-COLUMN($BC$4),FALSE)</f>
        <v>1</v>
      </c>
      <c r="CP36" s="39">
        <f>VLOOKUP($F36,Assumptions!$E$152:$BC$157,COLUMN()-COLUMN($BC$4),FALSE)</f>
        <v>1</v>
      </c>
      <c r="CQ36" s="39">
        <f>VLOOKUP($F36,Assumptions!$E$152:$BC$157,COLUMN()-COLUMN($BC$4),FALSE)</f>
        <v>1</v>
      </c>
      <c r="CR36" s="39">
        <f>VLOOKUP($F36,Assumptions!$E$152:$BC$157,COLUMN()-COLUMN($BC$4),FALSE)</f>
        <v>1</v>
      </c>
      <c r="CS36" s="39">
        <f>VLOOKUP($F36,Assumptions!$E$152:$BC$157,COLUMN()-COLUMN($BC$4),FALSE)</f>
        <v>1</v>
      </c>
      <c r="CT36" s="39">
        <f>VLOOKUP($F36,Assumptions!$E$152:$BC$157,COLUMN()-COLUMN($BC$4),FALSE)</f>
        <v>1</v>
      </c>
      <c r="CU36" s="39">
        <f>VLOOKUP($F36,Assumptions!$E$152:$BC$157,COLUMN()-COLUMN($BC$4),FALSE)</f>
        <v>1</v>
      </c>
      <c r="CV36" s="39">
        <f>VLOOKUP($F36,Assumptions!$E$152:$BC$157,COLUMN()-COLUMN($BC$4),FALSE)</f>
        <v>1</v>
      </c>
      <c r="CW36" s="39">
        <f>VLOOKUP($F36,Assumptions!$E$152:$BC$157,COLUMN()-COLUMN($BC$4),FALSE)</f>
        <v>1</v>
      </c>
      <c r="CX36" s="39">
        <f>VLOOKUP($F36,Assumptions!$E$152:$BC$157,COLUMN()-COLUMN($BC$4),FALSE)</f>
        <v>1</v>
      </c>
      <c r="CY36" s="38"/>
      <c r="CZ36" s="38"/>
      <c r="DA36" s="38"/>
      <c r="DC36" s="38"/>
      <c r="DD36" s="38"/>
      <c r="DE36" s="38"/>
      <c r="DF36" s="38"/>
      <c r="DG36" s="38"/>
      <c r="DH36" s="38"/>
      <c r="DI36" s="38"/>
      <c r="DJ36" s="38"/>
      <c r="DK36" s="38"/>
      <c r="DL36" s="38"/>
      <c r="DM36" s="38"/>
      <c r="DN36" s="38"/>
      <c r="DO36" s="38"/>
      <c r="DP36" s="38"/>
      <c r="DQ36" s="38"/>
      <c r="DR36" s="38"/>
      <c r="DS36" s="38"/>
      <c r="DT36" s="38"/>
      <c r="DU36" s="38"/>
      <c r="DV36" s="38"/>
      <c r="DW36" s="38"/>
      <c r="DX36" s="38"/>
      <c r="DY36" s="38"/>
      <c r="DZ36" s="38"/>
      <c r="EA36" s="38"/>
      <c r="EB36" s="38"/>
      <c r="EC36" s="38"/>
      <c r="ED36" s="38"/>
      <c r="EE36" s="38"/>
      <c r="EF36" s="38"/>
      <c r="EG36" s="38"/>
      <c r="EH36" s="38"/>
      <c r="EI36" s="38"/>
      <c r="EJ36" s="38"/>
      <c r="EK36" s="38"/>
      <c r="EL36" s="38"/>
      <c r="EM36" s="38"/>
      <c r="EN36" s="38"/>
      <c r="EO36" s="38"/>
      <c r="EP36" s="38"/>
      <c r="EQ36" s="38"/>
      <c r="ER36" s="38"/>
      <c r="ES36" s="38"/>
      <c r="ET36" s="38"/>
      <c r="EU36" s="38"/>
      <c r="EV36" s="38"/>
      <c r="EW36" s="38" t="str">
        <f t="shared" si="48"/>
        <v>\I:</v>
      </c>
      <c r="EX36" s="38" t="str">
        <f t="shared" si="68"/>
        <v/>
      </c>
      <c r="EY36" s="38" t="s">
        <v>133</v>
      </c>
      <c r="EZ36" s="38" t="s">
        <v>85</v>
      </c>
      <c r="FA36" s="38" t="s">
        <v>440</v>
      </c>
    </row>
    <row r="37" spans="3:157">
      <c r="C37" s="38" t="str">
        <f t="shared" si="54"/>
        <v/>
      </c>
      <c r="D37" s="38" t="s">
        <v>66</v>
      </c>
      <c r="E37" s="38"/>
      <c r="F37" s="38" t="s">
        <v>88</v>
      </c>
      <c r="G37" s="39">
        <f>SUMIFS(Assumptions!BD$105:BD$128,Assumptions!$BB$105:$BB$128,'non-road'!$F37,Assumptions!$BC$105:$BC$128,'non-road'!$D37)/SUMIF(Assumptions!$BB$105:$BB$128,'non-road'!$F37,Assumptions!BD$105:BD$128)</f>
        <v>0</v>
      </c>
      <c r="H37" s="39">
        <f>SUMIFS(Assumptions!BE$105:BE$128,Assumptions!$BB$105:$BB$128,'non-road'!$F37,Assumptions!$BC$105:$BC$128,'non-road'!$D37)/SUMIF(Assumptions!$BB$105:$BB$128,'non-road'!$F37,Assumptions!BE$105:BE$128)</f>
        <v>0</v>
      </c>
      <c r="I37" s="39">
        <f>SUMIFS(Assumptions!BF$105:BF$128,Assumptions!$BB$105:$BB$128,'non-road'!$F37,Assumptions!$BC$105:$BC$128,'non-road'!$D37)/SUMIF(Assumptions!$BB$105:$BB$128,'non-road'!$F37,Assumptions!BF$105:BF$128)</f>
        <v>0</v>
      </c>
      <c r="J37" s="39">
        <f>SUMIFS(Assumptions!BG$105:BG$128,Assumptions!$BB$105:$BB$128,'non-road'!$F37,Assumptions!$BC$105:$BC$128,'non-road'!$D37)/SUMIF(Assumptions!$BB$105:$BB$128,'non-road'!$F37,Assumptions!BG$105:BG$128)</f>
        <v>0</v>
      </c>
      <c r="K37" s="39">
        <f>SUMIFS(Assumptions!BH$105:BH$128,Assumptions!$BB$105:$BB$128,'non-road'!$F37,Assumptions!$BC$105:$BC$128,'non-road'!$D37)/SUMIF(Assumptions!$BB$105:$BB$128,'non-road'!$F37,Assumptions!BH$105:BH$128)</f>
        <v>0</v>
      </c>
      <c r="L37" s="39">
        <f>SUMIFS(Assumptions!BI$105:BI$128,Assumptions!$BB$105:$BB$128,'non-road'!$F37,Assumptions!$BC$105:$BC$128,'non-road'!$D37)/SUMIF(Assumptions!$BB$105:$BB$128,'non-road'!$F37,Assumptions!BI$105:BI$128)</f>
        <v>0</v>
      </c>
      <c r="M37" s="39">
        <f>SUMIFS(Assumptions!BJ$105:BJ$128,Assumptions!$BB$105:$BB$128,'non-road'!$F37,Assumptions!$BC$105:$BC$128,'non-road'!$D37)/SUMIF(Assumptions!$BB$105:$BB$128,'non-road'!$F37,Assumptions!BJ$105:BJ$128)</f>
        <v>0</v>
      </c>
      <c r="N37" s="39">
        <f>SUMIFS(Assumptions!BK$105:BK$128,Assumptions!$BB$105:$BB$128,'non-road'!$F37,Assumptions!$BC$105:$BC$128,'non-road'!$D37)/SUMIF(Assumptions!$BB$105:$BB$128,'non-road'!$F37,Assumptions!BK$105:BK$128)</f>
        <v>0</v>
      </c>
      <c r="O37" s="39">
        <f>SUMIFS(Assumptions!BL$105:BL$128,Assumptions!$BB$105:$BB$128,'non-road'!$F37,Assumptions!$BC$105:$BC$128,'non-road'!$D37)/SUMIF(Assumptions!$BB$105:$BB$128,'non-road'!$F37,Assumptions!BL$105:BL$128)</f>
        <v>0</v>
      </c>
      <c r="P37" s="39" t="e">
        <f>SUMIFS(Assumptions!BM$105:BM$128,Assumptions!$BB$105:$BB$128,'non-road'!$F37,Assumptions!$BC$105:$BC$128,'non-road'!$D37)/SUMIF(Assumptions!$BB$105:$BB$128,'non-road'!$F37,Assumptions!BM$105:BM$128)</f>
        <v>#DIV/0!</v>
      </c>
      <c r="Q37" s="39">
        <f>SUMIFS(Assumptions!BN$105:BN$128,Assumptions!$BB$105:$BB$128,'non-road'!$F37,Assumptions!$BC$105:$BC$128,'non-road'!$D37)/SUMIF(Assumptions!$BB$105:$BB$128,'non-road'!$F37,Assumptions!BN$105:BN$128)</f>
        <v>0</v>
      </c>
      <c r="R37" s="39">
        <f>SUMIFS(Assumptions!BO$105:BO$128,Assumptions!$BB$105:$BB$128,'non-road'!$F37,Assumptions!$BC$105:$BC$128,'non-road'!$D37)/SUMIF(Assumptions!$BB$105:$BB$128,'non-road'!$F37,Assumptions!BO$105:BO$128)</f>
        <v>0</v>
      </c>
      <c r="S37" s="39">
        <f>SUMIFS(Assumptions!BP$105:BP$128,Assumptions!$BB$105:$BB$128,'non-road'!$F37,Assumptions!$BC$105:$BC$128,'non-road'!$D37)/SUMIF(Assumptions!$BB$105:$BB$128,'non-road'!$F37,Assumptions!BP$105:BP$128)</f>
        <v>0</v>
      </c>
      <c r="T37" s="39">
        <f>SUMIFS(Assumptions!BQ$105:BQ$128,Assumptions!$BB$105:$BB$128,'non-road'!$F37,Assumptions!$BC$105:$BC$128,'non-road'!$D37)/SUMIF(Assumptions!$BB$105:$BB$128,'non-road'!$F37,Assumptions!BQ$105:BQ$128)</f>
        <v>0</v>
      </c>
      <c r="U37" s="39">
        <f>SUMIFS(Assumptions!BR$105:BR$128,Assumptions!$BB$105:$BB$128,'non-road'!$F37,Assumptions!$BC$105:$BC$128,'non-road'!$D37)/SUMIF(Assumptions!$BB$105:$BB$128,'non-road'!$F37,Assumptions!BR$105:BR$128)</f>
        <v>0</v>
      </c>
      <c r="V37" s="39">
        <f>SUMIFS(Assumptions!BS$105:BS$128,Assumptions!$BB$105:$BB$128,'non-road'!$F37,Assumptions!$BC$105:$BC$128,'non-road'!$D37)/SUMIF(Assumptions!$BB$105:$BB$128,'non-road'!$F37,Assumptions!BS$105:BS$128)</f>
        <v>0</v>
      </c>
      <c r="W37" s="39">
        <f>SUMIFS(Assumptions!BT$105:BT$128,Assumptions!$BB$105:$BB$128,'non-road'!$F37,Assumptions!$BC$105:$BC$128,'non-road'!$D37)/SUMIF(Assumptions!$BB$105:$BB$128,'non-road'!$F37,Assumptions!BT$105:BT$128)</f>
        <v>0</v>
      </c>
      <c r="X37" s="39">
        <f>SUMIFS(Assumptions!BU$105:BU$128,Assumptions!$BB$105:$BB$128,'non-road'!$F37,Assumptions!$BC$105:$BC$128,'non-road'!$D37)/SUMIF(Assumptions!$BB$105:$BB$128,'non-road'!$F37,Assumptions!BU$105:BU$128)</f>
        <v>0</v>
      </c>
      <c r="Y37" s="39">
        <f>SUMIFS(Assumptions!BV$105:BV$128,Assumptions!$BB$105:$BB$128,'non-road'!$F37,Assumptions!$BC$105:$BC$128,'non-road'!$D37)/SUMIF(Assumptions!$BB$105:$BB$128,'non-road'!$F37,Assumptions!BV$105:BV$128)</f>
        <v>0</v>
      </c>
      <c r="Z37" s="39">
        <f>SUMIFS(Assumptions!BW$105:BW$128,Assumptions!$BB$105:$BB$128,'non-road'!$F37,Assumptions!$BC$105:$BC$128,'non-road'!$D37)/SUMIF(Assumptions!$BB$105:$BB$128,'non-road'!$F37,Assumptions!BW$105:BW$128)</f>
        <v>0</v>
      </c>
      <c r="AA37" s="39">
        <f>SUMIFS(Assumptions!BX$105:BX$128,Assumptions!$BB$105:$BB$128,'non-road'!$F37,Assumptions!$BC$105:$BC$128,'non-road'!$D37)/SUMIF(Assumptions!$BB$105:$BB$128,'non-road'!$F37,Assumptions!BX$105:BX$128)</f>
        <v>0</v>
      </c>
      <c r="AB37" s="39">
        <f>SUMIFS(Assumptions!BY$105:BY$128,Assumptions!$BB$105:$BB$128,'non-road'!$F37,Assumptions!$BC$105:$BC$128,'non-road'!$D37)/SUMIF(Assumptions!$BB$105:$BB$128,'non-road'!$F37,Assumptions!BY$105:BY$128)</f>
        <v>0</v>
      </c>
      <c r="AC37" s="39">
        <f>SUMIFS(Assumptions!BZ$105:BZ$128,Assumptions!$BB$105:$BB$128,'non-road'!$F37,Assumptions!$BC$105:$BC$128,'non-road'!$D37)/SUMIF(Assumptions!$BB$105:$BB$128,'non-road'!$F37,Assumptions!BZ$105:BZ$128)</f>
        <v>0</v>
      </c>
      <c r="AD37" s="39">
        <f>SUMIFS(Assumptions!CA$105:CA$128,Assumptions!$BB$105:$BB$128,'non-road'!$F37,Assumptions!$BC$105:$BC$128,'non-road'!$D37)/SUMIF(Assumptions!$BB$105:$BB$128,'non-road'!$F37,Assumptions!CA$105:CA$128)</f>
        <v>0</v>
      </c>
      <c r="AE37" s="39">
        <f>SUMIFS(Assumptions!CB$105:CB$128,Assumptions!$BB$105:$BB$128,'non-road'!$F37,Assumptions!$BC$105:$BC$128,'non-road'!$D37)/SUMIF(Assumptions!$BB$105:$BB$128,'non-road'!$F37,Assumptions!CB$105:CB$128)</f>
        <v>0</v>
      </c>
      <c r="AF37" s="39">
        <f>SUMIFS(Assumptions!CC$105:CC$128,Assumptions!$BB$105:$BB$128,'non-road'!$F37,Assumptions!$BC$105:$BC$128,'non-road'!$D37)/SUMIF(Assumptions!$BB$105:$BB$128,'non-road'!$F37,Assumptions!CC$105:CC$128)</f>
        <v>0</v>
      </c>
      <c r="AG37" s="39">
        <f>SUMIFS(Assumptions!CD$105:CD$128,Assumptions!$BB$105:$BB$128,'non-road'!$F37,Assumptions!$BC$105:$BC$128,'non-road'!$D37)/SUMIF(Assumptions!$BB$105:$BB$128,'non-road'!$F37,Assumptions!CD$105:CD$128)</f>
        <v>0</v>
      </c>
      <c r="AH37" s="39">
        <f>SUMIFS(Assumptions!CE$105:CE$128,Assumptions!$BB$105:$BB$128,'non-road'!$F37,Assumptions!$BC$105:$BC$128,'non-road'!$D37)/SUMIF(Assumptions!$BB$105:$BB$128,'non-road'!$F37,Assumptions!CE$105:CE$128)</f>
        <v>0</v>
      </c>
      <c r="AI37" s="39">
        <f>SUMIFS(Assumptions!CF$105:CF$128,Assumptions!$BB$105:$BB$128,'non-road'!$F37,Assumptions!$BC$105:$BC$128,'non-road'!$D37)/SUMIF(Assumptions!$BB$105:$BB$128,'non-road'!$F37,Assumptions!CF$105:CF$128)</f>
        <v>0</v>
      </c>
      <c r="AJ37" s="39">
        <f>SUMIFS(Assumptions!CG$105:CG$128,Assumptions!$BB$105:$BB$128,'non-road'!$F37,Assumptions!$BC$105:$BC$128,'non-road'!$D37)/SUMIF(Assumptions!$BB$105:$BB$128,'non-road'!$F37,Assumptions!CG$105:CG$128)</f>
        <v>0</v>
      </c>
      <c r="AK37" s="39">
        <f>SUMIFS(Assumptions!CH$105:CH$128,Assumptions!$BB$105:$BB$128,'non-road'!$F37,Assumptions!$BC$105:$BC$128,'non-road'!$D37)/SUMIF(Assumptions!$BB$105:$BB$128,'non-road'!$F37,Assumptions!CH$105:CH$128)</f>
        <v>0</v>
      </c>
      <c r="AL37" s="39">
        <f>SUMIFS(Assumptions!CI$105:CI$128,Assumptions!$BB$105:$BB$128,'non-road'!$F37,Assumptions!$BC$105:$BC$128,'non-road'!$D37)/SUMIF(Assumptions!$BB$105:$BB$128,'non-road'!$F37,Assumptions!CI$105:CI$128)</f>
        <v>0</v>
      </c>
      <c r="AM37" s="39">
        <f>SUMIFS(Assumptions!CJ$105:CJ$128,Assumptions!$BB$105:$BB$128,'non-road'!$F37,Assumptions!$BC$105:$BC$128,'non-road'!$D37)/SUMIF(Assumptions!$BB$105:$BB$128,'non-road'!$F37,Assumptions!CJ$105:CJ$128)</f>
        <v>0</v>
      </c>
      <c r="AN37" s="39" t="e">
        <f>SUMIFS(Assumptions!CK$105:CK$128,Assumptions!$BB$105:$BB$128,'non-road'!$F37,Assumptions!$BC$105:$BC$128,'non-road'!$D37)/SUMIF(Assumptions!$BB$105:$BB$128,'non-road'!$F37,Assumptions!CK$105:CK$128)</f>
        <v>#DIV/0!</v>
      </c>
      <c r="AO37" s="39">
        <f>SUMIFS(Assumptions!CL$105:CL$128,Assumptions!$BB$105:$BB$128,'non-road'!$F37,Assumptions!$BC$105:$BC$128,'non-road'!$D37)/SUMIF(Assumptions!$BB$105:$BB$128,'non-road'!$F37,Assumptions!CL$105:CL$128)</f>
        <v>0</v>
      </c>
      <c r="AP37" s="39" t="e">
        <f>SUMIFS(Assumptions!CM$105:CM$128,Assumptions!$BB$105:$BB$128,'non-road'!$F37,Assumptions!$BC$105:$BC$128,'non-road'!$D37)/SUMIF(Assumptions!$BB$105:$BB$128,'non-road'!$F37,Assumptions!CM$105:CM$128)</f>
        <v>#DIV/0!</v>
      </c>
      <c r="AQ37" s="39" t="e">
        <f>SUMIFS(Assumptions!CN$105:CN$128,Assumptions!$BB$105:$BB$128,'non-road'!$F37,Assumptions!$BC$105:$BC$128,'non-road'!$D37)/SUMIF(Assumptions!$BB$105:$BB$128,'non-road'!$F37,Assumptions!CN$105:CN$128)</f>
        <v>#DIV/0!</v>
      </c>
      <c r="AR37" s="39" t="e">
        <f>SUMIFS(Assumptions!CO$105:CO$128,Assumptions!$BB$105:$BB$128,'non-road'!$F37,Assumptions!$BC$105:$BC$128,'non-road'!$D37)/SUMIF(Assumptions!$BB$105:$BB$128,'non-road'!$F37,Assumptions!CO$105:CO$128)</f>
        <v>#DIV/0!</v>
      </c>
      <c r="AS37" s="39" t="e">
        <f>SUMIFS(Assumptions!CP$105:CP$128,Assumptions!$BB$105:$BB$128,'non-road'!$F37,Assumptions!$BC$105:$BC$128,'non-road'!$D37)/SUMIF(Assumptions!$BB$105:$BB$128,'non-road'!$F37,Assumptions!CP$105:CP$128)</f>
        <v>#DIV/0!</v>
      </c>
      <c r="AT37" s="39" t="e">
        <f>SUMIFS(Assumptions!CQ$105:CQ$128,Assumptions!$BB$105:$BB$128,'non-road'!$F37,Assumptions!$BC$105:$BC$128,'non-road'!$D37)/SUMIF(Assumptions!$BB$105:$BB$128,'non-road'!$F37,Assumptions!CQ$105:CQ$128)</f>
        <v>#DIV/0!</v>
      </c>
      <c r="AU37" s="39" t="e">
        <f>SUMIFS(Assumptions!CR$105:CR$128,Assumptions!$BB$105:$BB$128,'non-road'!$F37,Assumptions!$BC$105:$BC$128,'non-road'!$D37)/SUMIF(Assumptions!$BB$105:$BB$128,'non-road'!$F37,Assumptions!CR$105:CR$128)</f>
        <v>#DIV/0!</v>
      </c>
      <c r="AV37" s="39" t="e">
        <f>SUMIFS(Assumptions!CS$105:CS$128,Assumptions!$BB$105:$BB$128,'non-road'!$F37,Assumptions!$BC$105:$BC$128,'non-road'!$D37)/SUMIF(Assumptions!$BB$105:$BB$128,'non-road'!$F37,Assumptions!CS$105:CS$128)</f>
        <v>#DIV/0!</v>
      </c>
      <c r="AW37" s="39" t="e">
        <f>SUMIFS(Assumptions!CT$105:CT$128,Assumptions!$BB$105:$BB$128,'non-road'!$F37,Assumptions!$BC$105:$BC$128,'non-road'!$D37)/SUMIF(Assumptions!$BB$105:$BB$128,'non-road'!$F37,Assumptions!CT$105:CT$128)</f>
        <v>#DIV/0!</v>
      </c>
      <c r="AX37" s="39" t="e">
        <f>SUMIFS(Assumptions!CU$105:CU$128,Assumptions!$BB$105:$BB$128,'non-road'!$F37,Assumptions!$BC$105:$BC$128,'non-road'!$D37)/SUMIF(Assumptions!$BB$105:$BB$128,'non-road'!$F37,Assumptions!CU$105:CU$128)</f>
        <v>#DIV/0!</v>
      </c>
      <c r="AY37" s="39" t="e">
        <f>SUMIFS(Assumptions!CV$105:CV$128,Assumptions!$BB$105:$BB$128,'non-road'!$F37,Assumptions!$BC$105:$BC$128,'non-road'!$D37)/SUMIF(Assumptions!$BB$105:$BB$128,'non-road'!$F37,Assumptions!CV$105:CV$128)</f>
        <v>#DIV/0!</v>
      </c>
      <c r="AZ37" s="39" t="e">
        <f>SUMIFS(Assumptions!CW$105:CW$128,Assumptions!$BB$105:$BB$128,'non-road'!$F37,Assumptions!$BC$105:$BC$128,'non-road'!$D37)/SUMIF(Assumptions!$BB$105:$BB$128,'non-road'!$F37,Assumptions!CW$105:CW$128)</f>
        <v>#DIV/0!</v>
      </c>
      <c r="BD37" s="38" t="str">
        <f t="shared" si="55"/>
        <v>\I:</v>
      </c>
      <c r="BE37" s="39">
        <f>VLOOKUP($F37,Assumptions!$E$152:$BC$157,COLUMN()-COLUMN($BC$4),FALSE)</f>
        <v>1</v>
      </c>
      <c r="BF37" s="39">
        <f>VLOOKUP($F37,Assumptions!$E$152:$BC$157,COLUMN()-COLUMN($BC$4),FALSE)</f>
        <v>1</v>
      </c>
      <c r="BG37" s="39">
        <f>VLOOKUP($F37,Assumptions!$E$152:$BC$157,COLUMN()-COLUMN($BC$4),FALSE)</f>
        <v>1</v>
      </c>
      <c r="BH37" s="39">
        <f>VLOOKUP($F37,Assumptions!$E$152:$BC$157,COLUMN()-COLUMN($BC$4),FALSE)</f>
        <v>1</v>
      </c>
      <c r="BI37" s="39">
        <f>VLOOKUP($F37,Assumptions!$E$152:$BC$157,COLUMN()-COLUMN($BC$4),FALSE)</f>
        <v>1</v>
      </c>
      <c r="BJ37" s="39">
        <f>VLOOKUP($F37,Assumptions!$E$152:$BC$157,COLUMN()-COLUMN($BC$4),FALSE)</f>
        <v>1</v>
      </c>
      <c r="BK37" s="39">
        <f>VLOOKUP($F37,Assumptions!$E$152:$BC$157,COLUMN()-COLUMN($BC$4),FALSE)</f>
        <v>1</v>
      </c>
      <c r="BL37" s="39">
        <f>VLOOKUP($F37,Assumptions!$E$152:$BC$157,COLUMN()-COLUMN($BC$4),FALSE)</f>
        <v>1</v>
      </c>
      <c r="BM37" s="39">
        <f>VLOOKUP($F37,Assumptions!$E$152:$BC$157,COLUMN()-COLUMN($BC$4),FALSE)</f>
        <v>1</v>
      </c>
      <c r="BN37" s="39">
        <f>VLOOKUP($F37,Assumptions!$E$152:$BC$157,COLUMN()-COLUMN($BC$4),FALSE)</f>
        <v>1</v>
      </c>
      <c r="BO37" s="39">
        <f>VLOOKUP($F37,Assumptions!$E$152:$BC$157,COLUMN()-COLUMN($BC$4),FALSE)</f>
        <v>1</v>
      </c>
      <c r="BP37" s="39">
        <f>VLOOKUP($F37,Assumptions!$E$152:$BC$157,COLUMN()-COLUMN($BC$4),FALSE)</f>
        <v>1</v>
      </c>
      <c r="BQ37" s="39">
        <f>VLOOKUP($F37,Assumptions!$E$152:$BC$157,COLUMN()-COLUMN($BC$4),FALSE)</f>
        <v>1</v>
      </c>
      <c r="BR37" s="39">
        <f>VLOOKUP($F37,Assumptions!$E$152:$BC$157,COLUMN()-COLUMN($BC$4),FALSE)</f>
        <v>1</v>
      </c>
      <c r="BS37" s="39">
        <f>VLOOKUP($F37,Assumptions!$E$152:$BC$157,COLUMN()-COLUMN($BC$4),FALSE)</f>
        <v>1</v>
      </c>
      <c r="BT37" s="39">
        <f>VLOOKUP($F37,Assumptions!$E$152:$BC$157,COLUMN()-COLUMN($BC$4),FALSE)</f>
        <v>1</v>
      </c>
      <c r="BU37" s="39">
        <f>VLOOKUP($F37,Assumptions!$E$152:$BC$157,COLUMN()-COLUMN($BC$4),FALSE)</f>
        <v>1</v>
      </c>
      <c r="BV37" s="39">
        <f>VLOOKUP($F37,Assumptions!$E$152:$BC$157,COLUMN()-COLUMN($BC$4),FALSE)</f>
        <v>1</v>
      </c>
      <c r="BW37" s="39">
        <f>VLOOKUP($F37,Assumptions!$E$152:$BC$157,COLUMN()-COLUMN($BC$4),FALSE)</f>
        <v>1</v>
      </c>
      <c r="BX37" s="39">
        <f>VLOOKUP($F37,Assumptions!$E$152:$BC$157,COLUMN()-COLUMN($BC$4),FALSE)</f>
        <v>1</v>
      </c>
      <c r="BY37" s="39">
        <f>VLOOKUP($F37,Assumptions!$E$152:$BC$157,COLUMN()-COLUMN($BC$4),FALSE)</f>
        <v>1</v>
      </c>
      <c r="BZ37" s="39">
        <f>VLOOKUP($F37,Assumptions!$E$152:$BC$157,COLUMN()-COLUMN($BC$4),FALSE)</f>
        <v>1</v>
      </c>
      <c r="CA37" s="39">
        <f>VLOOKUP($F37,Assumptions!$E$152:$BC$157,COLUMN()-COLUMN($BC$4),FALSE)</f>
        <v>1</v>
      </c>
      <c r="CB37" s="39">
        <f>VLOOKUP($F37,Assumptions!$E$152:$BC$157,COLUMN()-COLUMN($BC$4),FALSE)</f>
        <v>1</v>
      </c>
      <c r="CC37" s="39">
        <f>VLOOKUP($F37,Assumptions!$E$152:$BC$157,COLUMN()-COLUMN($BC$4),FALSE)</f>
        <v>1</v>
      </c>
      <c r="CD37" s="39">
        <f>VLOOKUP($F37,Assumptions!$E$152:$BC$157,COLUMN()-COLUMN($BC$4),FALSE)</f>
        <v>1</v>
      </c>
      <c r="CE37" s="39">
        <f>VLOOKUP($F37,Assumptions!$E$152:$BC$157,COLUMN()-COLUMN($BC$4),FALSE)</f>
        <v>1</v>
      </c>
      <c r="CF37" s="39">
        <f>VLOOKUP($F37,Assumptions!$E$152:$BC$157,COLUMN()-COLUMN($BC$4),FALSE)</f>
        <v>1</v>
      </c>
      <c r="CG37" s="39">
        <f>VLOOKUP($F37,Assumptions!$E$152:$BC$157,COLUMN()-COLUMN($BC$4),FALSE)</f>
        <v>1</v>
      </c>
      <c r="CH37" s="39">
        <f>VLOOKUP($F37,Assumptions!$E$152:$BC$157,COLUMN()-COLUMN($BC$4),FALSE)</f>
        <v>1</v>
      </c>
      <c r="CI37" s="39">
        <f>VLOOKUP($F37,Assumptions!$E$152:$BC$157,COLUMN()-COLUMN($BC$4),FALSE)</f>
        <v>1</v>
      </c>
      <c r="CJ37" s="39">
        <f>VLOOKUP($F37,Assumptions!$E$152:$BC$157,COLUMN()-COLUMN($BC$4),FALSE)</f>
        <v>1</v>
      </c>
      <c r="CK37" s="39">
        <f>VLOOKUP($F37,Assumptions!$E$152:$BC$157,COLUMN()-COLUMN($BC$4),FALSE)</f>
        <v>1</v>
      </c>
      <c r="CL37" s="39">
        <f>VLOOKUP($F37,Assumptions!$E$152:$BC$157,COLUMN()-COLUMN($BC$4),FALSE)</f>
        <v>1</v>
      </c>
      <c r="CM37" s="39">
        <f>VLOOKUP($F37,Assumptions!$E$152:$BC$157,COLUMN()-COLUMN($BC$4),FALSE)</f>
        <v>1</v>
      </c>
      <c r="CN37" s="39">
        <f>VLOOKUP($F37,Assumptions!$E$152:$BC$157,COLUMN()-COLUMN($BC$4),FALSE)</f>
        <v>1</v>
      </c>
      <c r="CO37" s="39">
        <f>VLOOKUP($F37,Assumptions!$E$152:$BC$157,COLUMN()-COLUMN($BC$4),FALSE)</f>
        <v>1</v>
      </c>
      <c r="CP37" s="39">
        <f>VLOOKUP($F37,Assumptions!$E$152:$BC$157,COLUMN()-COLUMN($BC$4),FALSE)</f>
        <v>1</v>
      </c>
      <c r="CQ37" s="39">
        <f>VLOOKUP($F37,Assumptions!$E$152:$BC$157,COLUMN()-COLUMN($BC$4),FALSE)</f>
        <v>1</v>
      </c>
      <c r="CR37" s="39">
        <f>VLOOKUP($F37,Assumptions!$E$152:$BC$157,COLUMN()-COLUMN($BC$4),FALSE)</f>
        <v>1</v>
      </c>
      <c r="CS37" s="39">
        <f>VLOOKUP($F37,Assumptions!$E$152:$BC$157,COLUMN()-COLUMN($BC$4),FALSE)</f>
        <v>1</v>
      </c>
      <c r="CT37" s="39">
        <f>VLOOKUP($F37,Assumptions!$E$152:$BC$157,COLUMN()-COLUMN($BC$4),FALSE)</f>
        <v>1</v>
      </c>
      <c r="CU37" s="39">
        <f>VLOOKUP($F37,Assumptions!$E$152:$BC$157,COLUMN()-COLUMN($BC$4),FALSE)</f>
        <v>1</v>
      </c>
      <c r="CV37" s="39">
        <f>VLOOKUP($F37,Assumptions!$E$152:$BC$157,COLUMN()-COLUMN($BC$4),FALSE)</f>
        <v>1</v>
      </c>
      <c r="CW37" s="39">
        <f>VLOOKUP($F37,Assumptions!$E$152:$BC$157,COLUMN()-COLUMN($BC$4),FALSE)</f>
        <v>1</v>
      </c>
      <c r="CX37" s="39">
        <f>VLOOKUP($F37,Assumptions!$E$152:$BC$157,COLUMN()-COLUMN($BC$4),FALSE)</f>
        <v>1</v>
      </c>
      <c r="CY37" s="38"/>
      <c r="CZ37" s="38"/>
      <c r="DA37" s="38"/>
      <c r="DC37" s="38"/>
      <c r="DD37" s="38"/>
      <c r="DE37" s="38"/>
      <c r="DF37" s="38"/>
      <c r="DG37" s="38"/>
      <c r="DH37" s="38"/>
      <c r="DI37" s="38"/>
      <c r="DJ37" s="38"/>
      <c r="DK37" s="38"/>
      <c r="DL37" s="38"/>
      <c r="DM37" s="38"/>
      <c r="DN37" s="38"/>
      <c r="DO37" s="38"/>
      <c r="DP37" s="38"/>
      <c r="DQ37" s="38"/>
      <c r="DR37" s="38"/>
      <c r="DS37" s="38"/>
      <c r="DT37" s="38"/>
      <c r="DU37" s="38"/>
      <c r="DV37" s="38"/>
      <c r="DW37" s="38"/>
      <c r="DX37" s="38"/>
      <c r="DY37" s="38"/>
      <c r="DZ37" s="38"/>
      <c r="EA37" s="38"/>
      <c r="EB37" s="38"/>
      <c r="EC37" s="38"/>
      <c r="ED37" s="38"/>
      <c r="EE37" s="38"/>
      <c r="EF37" s="38"/>
      <c r="EG37" s="38"/>
      <c r="EH37" s="38"/>
      <c r="EI37" s="38"/>
      <c r="EJ37" s="38"/>
      <c r="EK37" s="38"/>
      <c r="EL37" s="38"/>
      <c r="EM37" s="38"/>
      <c r="EN37" s="38"/>
      <c r="EO37" s="38"/>
      <c r="EP37" s="38"/>
      <c r="EQ37" s="38"/>
      <c r="ER37" s="38"/>
      <c r="ES37" s="38"/>
      <c r="ET37" s="38"/>
      <c r="EU37" s="38"/>
      <c r="EV37" s="38"/>
      <c r="EW37" s="38" t="str">
        <f t="shared" si="48"/>
        <v>\I:</v>
      </c>
      <c r="EX37" s="38" t="str">
        <f t="shared" si="68"/>
        <v/>
      </c>
      <c r="EY37" s="38" t="s">
        <v>133</v>
      </c>
      <c r="EZ37" s="38" t="s">
        <v>85</v>
      </c>
      <c r="FA37" s="38" t="s">
        <v>440</v>
      </c>
    </row>
    <row r="38" spans="3:157">
      <c r="C38" s="38" t="str">
        <f t="shared" si="54"/>
        <v/>
      </c>
      <c r="D38" s="38" t="s">
        <v>69</v>
      </c>
      <c r="E38" s="38"/>
      <c r="F38" s="38" t="s">
        <v>88</v>
      </c>
      <c r="G38" s="39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9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9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9">
        <f>SUMIFS(Assumptions!BG$105:BG$128,Assumptions!$BB$105:$BB$128,'non-road'!$F38,Assumptions!$BC$105:$BC$128,'non-road'!$D38)/SUMIF(Assumptions!$BB$105:$BB$128,'non-road'!$F38,Assumptions!BG$105:BG$128)</f>
        <v>0</v>
      </c>
      <c r="K38" s="39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9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9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9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9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9" t="e">
        <f>SUMIFS(Assumptions!BM$105:BM$128,Assumptions!$BB$105:$BB$128,'non-road'!$F38,Assumptions!$BC$105:$BC$128,'non-road'!$D38)/SUMIF(Assumptions!$BB$105:$BB$128,'non-road'!$F38,Assumptions!BM$105:BM$128)</f>
        <v>#DIV/0!</v>
      </c>
      <c r="Q38" s="39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9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9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9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9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9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9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9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9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9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9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9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9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9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9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9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9">
        <f>SUMIFS(Assumptions!CD$105:CD$128,Assumptions!$BB$105:$BB$128,'non-road'!$F38,Assumptions!$BC$105:$BC$128,'non-road'!$D38)/SUMIF(Assumptions!$BB$105:$BB$128,'non-road'!$F38,Assumptions!CD$105:CD$128)</f>
        <v>1</v>
      </c>
      <c r="AH38" s="39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9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9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9">
        <f>SUMIFS(Assumptions!CH$105:CH$128,Assumptions!$BB$105:$BB$128,'non-road'!$F38,Assumptions!$BC$105:$BC$128,'non-road'!$D38)/SUMIF(Assumptions!$BB$105:$BB$128,'non-road'!$F38,Assumptions!CH$105:CH$128)</f>
        <v>0</v>
      </c>
      <c r="AL38" s="39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9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9" t="e">
        <f>SUMIFS(Assumptions!CK$105:CK$128,Assumptions!$BB$105:$BB$128,'non-road'!$F38,Assumptions!$BC$105:$BC$128,'non-road'!$D38)/SUMIF(Assumptions!$BB$105:$BB$128,'non-road'!$F38,Assumptions!CK$105:CK$128)</f>
        <v>#DIV/0!</v>
      </c>
      <c r="AO38" s="39">
        <f>SUMIFS(Assumptions!CL$105:CL$128,Assumptions!$BB$105:$BB$128,'non-road'!$F38,Assumptions!$BC$105:$BC$128,'non-road'!$D38)/SUMIF(Assumptions!$BB$105:$BB$128,'non-road'!$F38,Assumptions!CL$105:CL$128)</f>
        <v>0</v>
      </c>
      <c r="AP38" s="39" t="e">
        <f>SUMIFS(Assumptions!CM$105:CM$128,Assumptions!$BB$105:$BB$128,'non-road'!$F38,Assumptions!$BC$105:$BC$128,'non-road'!$D38)/SUMIF(Assumptions!$BB$105:$BB$128,'non-road'!$F38,Assumptions!CM$105:CM$128)</f>
        <v>#DIV/0!</v>
      </c>
      <c r="AQ38" s="39" t="e">
        <f>SUMIFS(Assumptions!CN$105:CN$128,Assumptions!$BB$105:$BB$128,'non-road'!$F38,Assumptions!$BC$105:$BC$128,'non-road'!$D38)/SUMIF(Assumptions!$BB$105:$BB$128,'non-road'!$F38,Assumptions!CN$105:CN$128)</f>
        <v>#DIV/0!</v>
      </c>
      <c r="AR38" s="39" t="e">
        <f>SUMIFS(Assumptions!CO$105:CO$128,Assumptions!$BB$105:$BB$128,'non-road'!$F38,Assumptions!$BC$105:$BC$128,'non-road'!$D38)/SUMIF(Assumptions!$BB$105:$BB$128,'non-road'!$F38,Assumptions!CO$105:CO$128)</f>
        <v>#DIV/0!</v>
      </c>
      <c r="AS38" s="39" t="e">
        <f>SUMIFS(Assumptions!CP$105:CP$128,Assumptions!$BB$105:$BB$128,'non-road'!$F38,Assumptions!$BC$105:$BC$128,'non-road'!$D38)/SUMIF(Assumptions!$BB$105:$BB$128,'non-road'!$F38,Assumptions!CP$105:CP$128)</f>
        <v>#DIV/0!</v>
      </c>
      <c r="AT38" s="39" t="e">
        <f>SUMIFS(Assumptions!CQ$105:CQ$128,Assumptions!$BB$105:$BB$128,'non-road'!$F38,Assumptions!$BC$105:$BC$128,'non-road'!$D38)/SUMIF(Assumptions!$BB$105:$BB$128,'non-road'!$F38,Assumptions!CQ$105:CQ$128)</f>
        <v>#DIV/0!</v>
      </c>
      <c r="AU38" s="39" t="e">
        <f>SUMIFS(Assumptions!CR$105:CR$128,Assumptions!$BB$105:$BB$128,'non-road'!$F38,Assumptions!$BC$105:$BC$128,'non-road'!$D38)/SUMIF(Assumptions!$BB$105:$BB$128,'non-road'!$F38,Assumptions!CR$105:CR$128)</f>
        <v>#DIV/0!</v>
      </c>
      <c r="AV38" s="39" t="e">
        <f>SUMIFS(Assumptions!CS$105:CS$128,Assumptions!$BB$105:$BB$128,'non-road'!$F38,Assumptions!$BC$105:$BC$128,'non-road'!$D38)/SUMIF(Assumptions!$BB$105:$BB$128,'non-road'!$F38,Assumptions!CS$105:CS$128)</f>
        <v>#DIV/0!</v>
      </c>
      <c r="AW38" s="39" t="e">
        <f>SUMIFS(Assumptions!CT$105:CT$128,Assumptions!$BB$105:$BB$128,'non-road'!$F38,Assumptions!$BC$105:$BC$128,'non-road'!$D38)/SUMIF(Assumptions!$BB$105:$BB$128,'non-road'!$F38,Assumptions!CT$105:CT$128)</f>
        <v>#DIV/0!</v>
      </c>
      <c r="AX38" s="39" t="e">
        <f>SUMIFS(Assumptions!CU$105:CU$128,Assumptions!$BB$105:$BB$128,'non-road'!$F38,Assumptions!$BC$105:$BC$128,'non-road'!$D38)/SUMIF(Assumptions!$BB$105:$BB$128,'non-road'!$F38,Assumptions!CU$105:CU$128)</f>
        <v>#DIV/0!</v>
      </c>
      <c r="AY38" s="39" t="e">
        <f>SUMIFS(Assumptions!CV$105:CV$128,Assumptions!$BB$105:$BB$128,'non-road'!$F38,Assumptions!$BC$105:$BC$128,'non-road'!$D38)/SUMIF(Assumptions!$BB$105:$BB$128,'non-road'!$F38,Assumptions!CV$105:CV$128)</f>
        <v>#DIV/0!</v>
      </c>
      <c r="AZ38" s="39" t="e">
        <f>SUMIFS(Assumptions!CW$105:CW$128,Assumptions!$BB$105:$BB$128,'non-road'!$F38,Assumptions!$BC$105:$BC$128,'non-road'!$D38)/SUMIF(Assumptions!$BB$105:$BB$128,'non-road'!$F38,Assumptions!CW$105:CW$128)</f>
        <v>#DIV/0!</v>
      </c>
      <c r="BD38" s="38" t="str">
        <f t="shared" si="55"/>
        <v>\I:</v>
      </c>
      <c r="BE38" s="39">
        <f>VLOOKUP($F38,Assumptions!$E$152:$BC$157,COLUMN()-COLUMN($BC$4),FALSE)</f>
        <v>1</v>
      </c>
      <c r="BF38" s="39">
        <f>VLOOKUP($F38,Assumptions!$E$152:$BC$157,COLUMN()-COLUMN($BC$4),FALSE)</f>
        <v>1</v>
      </c>
      <c r="BG38" s="39">
        <f>VLOOKUP($F38,Assumptions!$E$152:$BC$157,COLUMN()-COLUMN($BC$4),FALSE)</f>
        <v>1</v>
      </c>
      <c r="BH38" s="39">
        <f>VLOOKUP($F38,Assumptions!$E$152:$BC$157,COLUMN()-COLUMN($BC$4),FALSE)</f>
        <v>1</v>
      </c>
      <c r="BI38" s="39">
        <f>VLOOKUP($F38,Assumptions!$E$152:$BC$157,COLUMN()-COLUMN($BC$4),FALSE)</f>
        <v>1</v>
      </c>
      <c r="BJ38" s="39">
        <f>VLOOKUP($F38,Assumptions!$E$152:$BC$157,COLUMN()-COLUMN($BC$4),FALSE)</f>
        <v>1</v>
      </c>
      <c r="BK38" s="39">
        <f>VLOOKUP($F38,Assumptions!$E$152:$BC$157,COLUMN()-COLUMN($BC$4),FALSE)</f>
        <v>1</v>
      </c>
      <c r="BL38" s="39">
        <f>VLOOKUP($F38,Assumptions!$E$152:$BC$157,COLUMN()-COLUMN($BC$4),FALSE)</f>
        <v>1</v>
      </c>
      <c r="BM38" s="39">
        <f>VLOOKUP($F38,Assumptions!$E$152:$BC$157,COLUMN()-COLUMN($BC$4),FALSE)</f>
        <v>1</v>
      </c>
      <c r="BN38" s="39">
        <f>VLOOKUP($F38,Assumptions!$E$152:$BC$157,COLUMN()-COLUMN($BC$4),FALSE)</f>
        <v>1</v>
      </c>
      <c r="BO38" s="39">
        <f>VLOOKUP($F38,Assumptions!$E$152:$BC$157,COLUMN()-COLUMN($BC$4),FALSE)</f>
        <v>1</v>
      </c>
      <c r="BP38" s="39">
        <f>VLOOKUP($F38,Assumptions!$E$152:$BC$157,COLUMN()-COLUMN($BC$4),FALSE)</f>
        <v>1</v>
      </c>
      <c r="BQ38" s="39">
        <f>VLOOKUP($F38,Assumptions!$E$152:$BC$157,COLUMN()-COLUMN($BC$4),FALSE)</f>
        <v>1</v>
      </c>
      <c r="BR38" s="39">
        <f>VLOOKUP($F38,Assumptions!$E$152:$BC$157,COLUMN()-COLUMN($BC$4),FALSE)</f>
        <v>1</v>
      </c>
      <c r="BS38" s="39">
        <f>VLOOKUP($F38,Assumptions!$E$152:$BC$157,COLUMN()-COLUMN($BC$4),FALSE)</f>
        <v>1</v>
      </c>
      <c r="BT38" s="39">
        <f>VLOOKUP($F38,Assumptions!$E$152:$BC$157,COLUMN()-COLUMN($BC$4),FALSE)</f>
        <v>1</v>
      </c>
      <c r="BU38" s="39">
        <f>VLOOKUP($F38,Assumptions!$E$152:$BC$157,COLUMN()-COLUMN($BC$4),FALSE)</f>
        <v>1</v>
      </c>
      <c r="BV38" s="39">
        <f>VLOOKUP($F38,Assumptions!$E$152:$BC$157,COLUMN()-COLUMN($BC$4),FALSE)</f>
        <v>1</v>
      </c>
      <c r="BW38" s="39">
        <f>VLOOKUP($F38,Assumptions!$E$152:$BC$157,COLUMN()-COLUMN($BC$4),FALSE)</f>
        <v>1</v>
      </c>
      <c r="BX38" s="39">
        <f>VLOOKUP($F38,Assumptions!$E$152:$BC$157,COLUMN()-COLUMN($BC$4),FALSE)</f>
        <v>1</v>
      </c>
      <c r="BY38" s="39">
        <f>VLOOKUP($F38,Assumptions!$E$152:$BC$157,COLUMN()-COLUMN($BC$4),FALSE)</f>
        <v>1</v>
      </c>
      <c r="BZ38" s="39">
        <f>VLOOKUP($F38,Assumptions!$E$152:$BC$157,COLUMN()-COLUMN($BC$4),FALSE)</f>
        <v>1</v>
      </c>
      <c r="CA38" s="39">
        <f>VLOOKUP($F38,Assumptions!$E$152:$BC$157,COLUMN()-COLUMN($BC$4),FALSE)</f>
        <v>1</v>
      </c>
      <c r="CB38" s="39">
        <f>VLOOKUP($F38,Assumptions!$E$152:$BC$157,COLUMN()-COLUMN($BC$4),FALSE)</f>
        <v>1</v>
      </c>
      <c r="CC38" s="39">
        <f>VLOOKUP($F38,Assumptions!$E$152:$BC$157,COLUMN()-COLUMN($BC$4),FALSE)</f>
        <v>1</v>
      </c>
      <c r="CD38" s="39">
        <f>VLOOKUP($F38,Assumptions!$E$152:$BC$157,COLUMN()-COLUMN($BC$4),FALSE)</f>
        <v>1</v>
      </c>
      <c r="CE38" s="39">
        <f>VLOOKUP($F38,Assumptions!$E$152:$BC$157,COLUMN()-COLUMN($BC$4),FALSE)</f>
        <v>1</v>
      </c>
      <c r="CF38" s="39">
        <f>VLOOKUP($F38,Assumptions!$E$152:$BC$157,COLUMN()-COLUMN($BC$4),FALSE)</f>
        <v>1</v>
      </c>
      <c r="CG38" s="39">
        <f>VLOOKUP($F38,Assumptions!$E$152:$BC$157,COLUMN()-COLUMN($BC$4),FALSE)</f>
        <v>1</v>
      </c>
      <c r="CH38" s="39">
        <f>VLOOKUP($F38,Assumptions!$E$152:$BC$157,COLUMN()-COLUMN($BC$4),FALSE)</f>
        <v>1</v>
      </c>
      <c r="CI38" s="39">
        <f>VLOOKUP($F38,Assumptions!$E$152:$BC$157,COLUMN()-COLUMN($BC$4),FALSE)</f>
        <v>1</v>
      </c>
      <c r="CJ38" s="39">
        <f>VLOOKUP($F38,Assumptions!$E$152:$BC$157,COLUMN()-COLUMN($BC$4),FALSE)</f>
        <v>1</v>
      </c>
      <c r="CK38" s="39">
        <f>VLOOKUP($F38,Assumptions!$E$152:$BC$157,COLUMN()-COLUMN($BC$4),FALSE)</f>
        <v>1</v>
      </c>
      <c r="CL38" s="39">
        <f>VLOOKUP($F38,Assumptions!$E$152:$BC$157,COLUMN()-COLUMN($BC$4),FALSE)</f>
        <v>1</v>
      </c>
      <c r="CM38" s="39">
        <f>VLOOKUP($F38,Assumptions!$E$152:$BC$157,COLUMN()-COLUMN($BC$4),FALSE)</f>
        <v>1</v>
      </c>
      <c r="CN38" s="39">
        <f>VLOOKUP($F38,Assumptions!$E$152:$BC$157,COLUMN()-COLUMN($BC$4),FALSE)</f>
        <v>1</v>
      </c>
      <c r="CO38" s="39">
        <f>VLOOKUP($F38,Assumptions!$E$152:$BC$157,COLUMN()-COLUMN($BC$4),FALSE)</f>
        <v>1</v>
      </c>
      <c r="CP38" s="39">
        <f>VLOOKUP($F38,Assumptions!$E$152:$BC$157,COLUMN()-COLUMN($BC$4),FALSE)</f>
        <v>1</v>
      </c>
      <c r="CQ38" s="39">
        <f>VLOOKUP($F38,Assumptions!$E$152:$BC$157,COLUMN()-COLUMN($BC$4),FALSE)</f>
        <v>1</v>
      </c>
      <c r="CR38" s="39">
        <f>VLOOKUP($F38,Assumptions!$E$152:$BC$157,COLUMN()-COLUMN($BC$4),FALSE)</f>
        <v>1</v>
      </c>
      <c r="CS38" s="39">
        <f>VLOOKUP($F38,Assumptions!$E$152:$BC$157,COLUMN()-COLUMN($BC$4),FALSE)</f>
        <v>1</v>
      </c>
      <c r="CT38" s="39">
        <f>VLOOKUP($F38,Assumptions!$E$152:$BC$157,COLUMN()-COLUMN($BC$4),FALSE)</f>
        <v>1</v>
      </c>
      <c r="CU38" s="39">
        <f>VLOOKUP($F38,Assumptions!$E$152:$BC$157,COLUMN()-COLUMN($BC$4),FALSE)</f>
        <v>1</v>
      </c>
      <c r="CV38" s="39">
        <f>VLOOKUP($F38,Assumptions!$E$152:$BC$157,COLUMN()-COLUMN($BC$4),FALSE)</f>
        <v>1</v>
      </c>
      <c r="CW38" s="39">
        <f>VLOOKUP($F38,Assumptions!$E$152:$BC$157,COLUMN()-COLUMN($BC$4),FALSE)</f>
        <v>1</v>
      </c>
      <c r="CX38" s="39">
        <f>VLOOKUP($F38,Assumptions!$E$152:$BC$157,COLUMN()-COLUMN($BC$4),FALSE)</f>
        <v>1</v>
      </c>
      <c r="CY38" s="38"/>
      <c r="CZ38" s="38"/>
      <c r="DA38" s="38"/>
      <c r="DB38" s="38"/>
      <c r="DC38" s="38"/>
      <c r="DD38" s="38"/>
      <c r="DE38" s="38"/>
      <c r="DF38" s="38"/>
      <c r="DG38" s="38"/>
      <c r="DH38" s="38"/>
      <c r="DI38" s="38"/>
      <c r="DJ38" s="38"/>
      <c r="DK38" s="38"/>
      <c r="DL38" s="38"/>
      <c r="DM38" s="38"/>
      <c r="DN38" s="38"/>
      <c r="DO38" s="38"/>
      <c r="DP38" s="38"/>
      <c r="DQ38" s="38"/>
      <c r="DR38" s="38"/>
      <c r="DS38" s="38"/>
      <c r="DT38" s="38"/>
      <c r="DU38" s="38"/>
      <c r="DV38" s="38"/>
      <c r="DW38" s="38"/>
      <c r="DX38" s="38"/>
      <c r="DY38" s="38"/>
      <c r="DZ38" s="38"/>
      <c r="EA38" s="38"/>
      <c r="EB38" s="38"/>
      <c r="EC38" s="38"/>
      <c r="ED38" s="38"/>
      <c r="EE38" s="38"/>
      <c r="EF38" s="38"/>
      <c r="EG38" s="38"/>
      <c r="EH38" s="38"/>
      <c r="EI38" s="38"/>
      <c r="EJ38" s="38"/>
      <c r="EK38" s="38"/>
      <c r="EL38" s="38"/>
      <c r="EM38" s="38"/>
      <c r="EN38" s="38"/>
      <c r="EO38" s="38"/>
      <c r="EP38" s="38"/>
      <c r="EQ38" s="38"/>
      <c r="ER38" s="38"/>
      <c r="ES38" s="38"/>
      <c r="ET38" s="38"/>
      <c r="EU38" s="38"/>
      <c r="EV38" s="38"/>
      <c r="EW38" s="38" t="str">
        <f t="shared" si="48"/>
        <v>\I:</v>
      </c>
      <c r="EX38" s="38" t="str">
        <f t="shared" si="68"/>
        <v/>
      </c>
      <c r="EY38" s="38" t="s">
        <v>133</v>
      </c>
      <c r="EZ38" s="38" t="s">
        <v>85</v>
      </c>
      <c r="FA38" s="38" t="s">
        <v>440</v>
      </c>
    </row>
    <row r="39" spans="3:157">
      <c r="C39" s="38" t="str">
        <f t="shared" si="54"/>
        <v/>
      </c>
      <c r="D39" s="38" t="s">
        <v>72</v>
      </c>
      <c r="E39" s="38"/>
      <c r="F39" s="38" t="s">
        <v>88</v>
      </c>
      <c r="G39" s="39">
        <f>SUMIFS(Assumptions!BD$105:BD$128,Assumptions!$BB$105:$BB$128,'non-road'!$F39,Assumptions!$BC$105:$BC$128,'non-road'!$D39)/SUMIF(Assumptions!$BB$105:$BB$128,'non-road'!$F39,Assumptions!BD$105:BD$128)</f>
        <v>0</v>
      </c>
      <c r="H39" s="39">
        <f>SUMIFS(Assumptions!BE$105:BE$128,Assumptions!$BB$105:$BB$128,'non-road'!$F39,Assumptions!$BC$105:$BC$128,'non-road'!$D39)/SUMIF(Assumptions!$BB$105:$BB$128,'non-road'!$F39,Assumptions!BE$105:BE$128)</f>
        <v>0</v>
      </c>
      <c r="I39" s="39">
        <f>SUMIFS(Assumptions!BF$105:BF$128,Assumptions!$BB$105:$BB$128,'non-road'!$F39,Assumptions!$BC$105:$BC$128,'non-road'!$D39)/SUMIF(Assumptions!$BB$105:$BB$128,'non-road'!$F39,Assumptions!BF$105:BF$128)</f>
        <v>0</v>
      </c>
      <c r="J39" s="39">
        <f>SUMIFS(Assumptions!BG$105:BG$128,Assumptions!$BB$105:$BB$128,'non-road'!$F39,Assumptions!$BC$105:$BC$128,'non-road'!$D39)/SUMIF(Assumptions!$BB$105:$BB$128,'non-road'!$F39,Assumptions!BG$105:BG$128)</f>
        <v>0</v>
      </c>
      <c r="K39" s="39">
        <f>SUMIFS(Assumptions!BH$105:BH$128,Assumptions!$BB$105:$BB$128,'non-road'!$F39,Assumptions!$BC$105:$BC$128,'non-road'!$D39)/SUMIF(Assumptions!$BB$105:$BB$128,'non-road'!$F39,Assumptions!BH$105:BH$128)</f>
        <v>0</v>
      </c>
      <c r="L39" s="39">
        <f>SUMIFS(Assumptions!BI$105:BI$128,Assumptions!$BB$105:$BB$128,'non-road'!$F39,Assumptions!$BC$105:$BC$128,'non-road'!$D39)/SUMIF(Assumptions!$BB$105:$BB$128,'non-road'!$F39,Assumptions!BI$105:BI$128)</f>
        <v>0</v>
      </c>
      <c r="M39" s="39">
        <f>SUMIFS(Assumptions!BJ$105:BJ$128,Assumptions!$BB$105:$BB$128,'non-road'!$F39,Assumptions!$BC$105:$BC$128,'non-road'!$D39)/SUMIF(Assumptions!$BB$105:$BB$128,'non-road'!$F39,Assumptions!BJ$105:BJ$128)</f>
        <v>0</v>
      </c>
      <c r="N39" s="39">
        <f>SUMIFS(Assumptions!BK$105:BK$128,Assumptions!$BB$105:$BB$128,'non-road'!$F39,Assumptions!$BC$105:$BC$128,'non-road'!$D39)/SUMIF(Assumptions!$BB$105:$BB$128,'non-road'!$F39,Assumptions!BK$105:BK$128)</f>
        <v>0</v>
      </c>
      <c r="O39" s="39">
        <f>SUMIFS(Assumptions!BL$105:BL$128,Assumptions!$BB$105:$BB$128,'non-road'!$F39,Assumptions!$BC$105:$BC$128,'non-road'!$D39)/SUMIF(Assumptions!$BB$105:$BB$128,'non-road'!$F39,Assumptions!BL$105:BL$128)</f>
        <v>0</v>
      </c>
      <c r="P39" s="39" t="e">
        <f>SUMIFS(Assumptions!BM$105:BM$128,Assumptions!$BB$105:$BB$128,'non-road'!$F39,Assumptions!$BC$105:$BC$128,'non-road'!$D39)/SUMIF(Assumptions!$BB$105:$BB$128,'non-road'!$F39,Assumptions!BM$105:BM$128)</f>
        <v>#DIV/0!</v>
      </c>
      <c r="Q39" s="39">
        <f>SUMIFS(Assumptions!BN$105:BN$128,Assumptions!$BB$105:$BB$128,'non-road'!$F39,Assumptions!$BC$105:$BC$128,'non-road'!$D39)/SUMIF(Assumptions!$BB$105:$BB$128,'non-road'!$F39,Assumptions!BN$105:BN$128)</f>
        <v>0</v>
      </c>
      <c r="R39" s="39">
        <f>SUMIFS(Assumptions!BO$105:BO$128,Assumptions!$BB$105:$BB$128,'non-road'!$F39,Assumptions!$BC$105:$BC$128,'non-road'!$D39)/SUMIF(Assumptions!$BB$105:$BB$128,'non-road'!$F39,Assumptions!BO$105:BO$128)</f>
        <v>0</v>
      </c>
      <c r="S39" s="39">
        <f>SUMIFS(Assumptions!BP$105:BP$128,Assumptions!$BB$105:$BB$128,'non-road'!$F39,Assumptions!$BC$105:$BC$128,'non-road'!$D39)/SUMIF(Assumptions!$BB$105:$BB$128,'non-road'!$F39,Assumptions!BP$105:BP$128)</f>
        <v>0</v>
      </c>
      <c r="T39" s="39">
        <f>SUMIFS(Assumptions!BQ$105:BQ$128,Assumptions!$BB$105:$BB$128,'non-road'!$F39,Assumptions!$BC$105:$BC$128,'non-road'!$D39)/SUMIF(Assumptions!$BB$105:$BB$128,'non-road'!$F39,Assumptions!BQ$105:BQ$128)</f>
        <v>0</v>
      </c>
      <c r="U39" s="39">
        <f>SUMIFS(Assumptions!BR$105:BR$128,Assumptions!$BB$105:$BB$128,'non-road'!$F39,Assumptions!$BC$105:$BC$128,'non-road'!$D39)/SUMIF(Assumptions!$BB$105:$BB$128,'non-road'!$F39,Assumptions!BR$105:BR$128)</f>
        <v>0</v>
      </c>
      <c r="V39" s="39">
        <f>SUMIFS(Assumptions!BS$105:BS$128,Assumptions!$BB$105:$BB$128,'non-road'!$F39,Assumptions!$BC$105:$BC$128,'non-road'!$D39)/SUMIF(Assumptions!$BB$105:$BB$128,'non-road'!$F39,Assumptions!BS$105:BS$128)</f>
        <v>0</v>
      </c>
      <c r="W39" s="39">
        <f>SUMIFS(Assumptions!BT$105:BT$128,Assumptions!$BB$105:$BB$128,'non-road'!$F39,Assumptions!$BC$105:$BC$128,'non-road'!$D39)/SUMIF(Assumptions!$BB$105:$BB$128,'non-road'!$F39,Assumptions!BT$105:BT$128)</f>
        <v>0</v>
      </c>
      <c r="X39" s="39">
        <f>SUMIFS(Assumptions!BU$105:BU$128,Assumptions!$BB$105:$BB$128,'non-road'!$F39,Assumptions!$BC$105:$BC$128,'non-road'!$D39)/SUMIF(Assumptions!$BB$105:$BB$128,'non-road'!$F39,Assumptions!BU$105:BU$128)</f>
        <v>0</v>
      </c>
      <c r="Y39" s="39">
        <f>SUMIFS(Assumptions!BV$105:BV$128,Assumptions!$BB$105:$BB$128,'non-road'!$F39,Assumptions!$BC$105:$BC$128,'non-road'!$D39)/SUMIF(Assumptions!$BB$105:$BB$128,'non-road'!$F39,Assumptions!BV$105:BV$128)</f>
        <v>0</v>
      </c>
      <c r="Z39" s="39">
        <f>SUMIFS(Assumptions!BW$105:BW$128,Assumptions!$BB$105:$BB$128,'non-road'!$F39,Assumptions!$BC$105:$BC$128,'non-road'!$D39)/SUMIF(Assumptions!$BB$105:$BB$128,'non-road'!$F39,Assumptions!BW$105:BW$128)</f>
        <v>0</v>
      </c>
      <c r="AA39" s="39">
        <f>SUMIFS(Assumptions!BX$105:BX$128,Assumptions!$BB$105:$BB$128,'non-road'!$F39,Assumptions!$BC$105:$BC$128,'non-road'!$D39)/SUMIF(Assumptions!$BB$105:$BB$128,'non-road'!$F39,Assumptions!BX$105:BX$128)</f>
        <v>0</v>
      </c>
      <c r="AB39" s="39">
        <f>SUMIFS(Assumptions!BY$105:BY$128,Assumptions!$BB$105:$BB$128,'non-road'!$F39,Assumptions!$BC$105:$BC$128,'non-road'!$D39)/SUMIF(Assumptions!$BB$105:$BB$128,'non-road'!$F39,Assumptions!BY$105:BY$128)</f>
        <v>0</v>
      </c>
      <c r="AC39" s="39">
        <f>SUMIFS(Assumptions!BZ$105:BZ$128,Assumptions!$BB$105:$BB$128,'non-road'!$F39,Assumptions!$BC$105:$BC$128,'non-road'!$D39)/SUMIF(Assumptions!$BB$105:$BB$128,'non-road'!$F39,Assumptions!BZ$105:BZ$128)</f>
        <v>0</v>
      </c>
      <c r="AD39" s="39">
        <f>SUMIFS(Assumptions!CA$105:CA$128,Assumptions!$BB$105:$BB$128,'non-road'!$F39,Assumptions!$BC$105:$BC$128,'non-road'!$D39)/SUMIF(Assumptions!$BB$105:$BB$128,'non-road'!$F39,Assumptions!CA$105:CA$128)</f>
        <v>0</v>
      </c>
      <c r="AE39" s="39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9">
        <f>SUMIFS(Assumptions!CC$105:CC$128,Assumptions!$BB$105:$BB$128,'non-road'!$F39,Assumptions!$BC$105:$BC$128,'non-road'!$D39)/SUMIF(Assumptions!$BB$105:$BB$128,'non-road'!$F39,Assumptions!CC$105:CC$128)</f>
        <v>0</v>
      </c>
      <c r="AG39" s="39">
        <f>SUMIFS(Assumptions!CD$105:CD$128,Assumptions!$BB$105:$BB$128,'non-road'!$F39,Assumptions!$BC$105:$BC$128,'non-road'!$D39)/SUMIF(Assumptions!$BB$105:$BB$128,'non-road'!$F39,Assumptions!CD$105:CD$128)</f>
        <v>0</v>
      </c>
      <c r="AH39" s="39">
        <f>SUMIFS(Assumptions!CE$105:CE$128,Assumptions!$BB$105:$BB$128,'non-road'!$F39,Assumptions!$BC$105:$BC$128,'non-road'!$D39)/SUMIF(Assumptions!$BB$105:$BB$128,'non-road'!$F39,Assumptions!CE$105:CE$128)</f>
        <v>0</v>
      </c>
      <c r="AI39" s="39">
        <f>SUMIFS(Assumptions!CF$105:CF$128,Assumptions!$BB$105:$BB$128,'non-road'!$F39,Assumptions!$BC$105:$BC$128,'non-road'!$D39)/SUMIF(Assumptions!$BB$105:$BB$128,'non-road'!$F39,Assumptions!CF$105:CF$128)</f>
        <v>0</v>
      </c>
      <c r="AJ39" s="39">
        <f>SUMIFS(Assumptions!CG$105:CG$128,Assumptions!$BB$105:$BB$128,'non-road'!$F39,Assumptions!$BC$105:$BC$128,'non-road'!$D39)/SUMIF(Assumptions!$BB$105:$BB$128,'non-road'!$F39,Assumptions!CG$105:CG$128)</f>
        <v>0</v>
      </c>
      <c r="AK39" s="39">
        <f>SUMIFS(Assumptions!CH$105:CH$128,Assumptions!$BB$105:$BB$128,'non-road'!$F39,Assumptions!$BC$105:$BC$128,'non-road'!$D39)/SUMIF(Assumptions!$BB$105:$BB$128,'non-road'!$F39,Assumptions!CH$105:CH$128)</f>
        <v>0</v>
      </c>
      <c r="AL39" s="39">
        <f>SUMIFS(Assumptions!CI$105:CI$128,Assumptions!$BB$105:$BB$128,'non-road'!$F39,Assumptions!$BC$105:$BC$128,'non-road'!$D39)/SUMIF(Assumptions!$BB$105:$BB$128,'non-road'!$F39,Assumptions!CI$105:CI$128)</f>
        <v>0</v>
      </c>
      <c r="AM39" s="39">
        <f>SUMIFS(Assumptions!CJ$105:CJ$128,Assumptions!$BB$105:$BB$128,'non-road'!$F39,Assumptions!$BC$105:$BC$128,'non-road'!$D39)/SUMIF(Assumptions!$BB$105:$BB$128,'non-road'!$F39,Assumptions!CJ$105:CJ$128)</f>
        <v>0</v>
      </c>
      <c r="AN39" s="39" t="e">
        <f>SUMIFS(Assumptions!CK$105:CK$128,Assumptions!$BB$105:$BB$128,'non-road'!$F39,Assumptions!$BC$105:$BC$128,'non-road'!$D39)/SUMIF(Assumptions!$BB$105:$BB$128,'non-road'!$F39,Assumptions!CK$105:CK$128)</f>
        <v>#DIV/0!</v>
      </c>
      <c r="AO39" s="39">
        <f>SUMIFS(Assumptions!CL$105:CL$128,Assumptions!$BB$105:$BB$128,'non-road'!$F39,Assumptions!$BC$105:$BC$128,'non-road'!$D39)/SUMIF(Assumptions!$BB$105:$BB$128,'non-road'!$F39,Assumptions!CL$105:CL$128)</f>
        <v>0</v>
      </c>
      <c r="AP39" s="39" t="e">
        <f>SUMIFS(Assumptions!CM$105:CM$128,Assumptions!$BB$105:$BB$128,'non-road'!$F39,Assumptions!$BC$105:$BC$128,'non-road'!$D39)/SUMIF(Assumptions!$BB$105:$BB$128,'non-road'!$F39,Assumptions!CM$105:CM$128)</f>
        <v>#DIV/0!</v>
      </c>
      <c r="AQ39" s="39" t="e">
        <f>SUMIFS(Assumptions!CN$105:CN$128,Assumptions!$BB$105:$BB$128,'non-road'!$F39,Assumptions!$BC$105:$BC$128,'non-road'!$D39)/SUMIF(Assumptions!$BB$105:$BB$128,'non-road'!$F39,Assumptions!CN$105:CN$128)</f>
        <v>#DIV/0!</v>
      </c>
      <c r="AR39" s="39" t="e">
        <f>SUMIFS(Assumptions!CO$105:CO$128,Assumptions!$BB$105:$BB$128,'non-road'!$F39,Assumptions!$BC$105:$BC$128,'non-road'!$D39)/SUMIF(Assumptions!$BB$105:$BB$128,'non-road'!$F39,Assumptions!CO$105:CO$128)</f>
        <v>#DIV/0!</v>
      </c>
      <c r="AS39" s="39" t="e">
        <f>SUMIFS(Assumptions!CP$105:CP$128,Assumptions!$BB$105:$BB$128,'non-road'!$F39,Assumptions!$BC$105:$BC$128,'non-road'!$D39)/SUMIF(Assumptions!$BB$105:$BB$128,'non-road'!$F39,Assumptions!CP$105:CP$128)</f>
        <v>#DIV/0!</v>
      </c>
      <c r="AT39" s="39" t="e">
        <f>SUMIFS(Assumptions!CQ$105:CQ$128,Assumptions!$BB$105:$BB$128,'non-road'!$F39,Assumptions!$BC$105:$BC$128,'non-road'!$D39)/SUMIF(Assumptions!$BB$105:$BB$128,'non-road'!$F39,Assumptions!CQ$105:CQ$128)</f>
        <v>#DIV/0!</v>
      </c>
      <c r="AU39" s="39" t="e">
        <f>SUMIFS(Assumptions!CR$105:CR$128,Assumptions!$BB$105:$BB$128,'non-road'!$F39,Assumptions!$BC$105:$BC$128,'non-road'!$D39)/SUMIF(Assumptions!$BB$105:$BB$128,'non-road'!$F39,Assumptions!CR$105:CR$128)</f>
        <v>#DIV/0!</v>
      </c>
      <c r="AV39" s="39" t="e">
        <f>SUMIFS(Assumptions!CS$105:CS$128,Assumptions!$BB$105:$BB$128,'non-road'!$F39,Assumptions!$BC$105:$BC$128,'non-road'!$D39)/SUMIF(Assumptions!$BB$105:$BB$128,'non-road'!$F39,Assumptions!CS$105:CS$128)</f>
        <v>#DIV/0!</v>
      </c>
      <c r="AW39" s="39" t="e">
        <f>SUMIFS(Assumptions!CT$105:CT$128,Assumptions!$BB$105:$BB$128,'non-road'!$F39,Assumptions!$BC$105:$BC$128,'non-road'!$D39)/SUMIF(Assumptions!$BB$105:$BB$128,'non-road'!$F39,Assumptions!CT$105:CT$128)</f>
        <v>#DIV/0!</v>
      </c>
      <c r="AX39" s="39" t="e">
        <f>SUMIFS(Assumptions!CU$105:CU$128,Assumptions!$BB$105:$BB$128,'non-road'!$F39,Assumptions!$BC$105:$BC$128,'non-road'!$D39)/SUMIF(Assumptions!$BB$105:$BB$128,'non-road'!$F39,Assumptions!CU$105:CU$128)</f>
        <v>#DIV/0!</v>
      </c>
      <c r="AY39" s="39" t="e">
        <f>SUMIFS(Assumptions!CV$105:CV$128,Assumptions!$BB$105:$BB$128,'non-road'!$F39,Assumptions!$BC$105:$BC$128,'non-road'!$D39)/SUMIF(Assumptions!$BB$105:$BB$128,'non-road'!$F39,Assumptions!CV$105:CV$128)</f>
        <v>#DIV/0!</v>
      </c>
      <c r="AZ39" s="39" t="e">
        <f>SUMIFS(Assumptions!CW$105:CW$128,Assumptions!$BB$105:$BB$128,'non-road'!$F39,Assumptions!$BC$105:$BC$128,'non-road'!$D39)/SUMIF(Assumptions!$BB$105:$BB$128,'non-road'!$F39,Assumptions!CW$105:CW$128)</f>
        <v>#DIV/0!</v>
      </c>
      <c r="BD39" s="38" t="str">
        <f t="shared" si="55"/>
        <v>\I:</v>
      </c>
      <c r="BE39" s="39">
        <f>VLOOKUP($F39,Assumptions!$E$152:$BC$157,COLUMN()-COLUMN($BC$4),FALSE)</f>
        <v>1</v>
      </c>
      <c r="BF39" s="39">
        <f>VLOOKUP($F39,Assumptions!$E$152:$BC$157,COLUMN()-COLUMN($BC$4),FALSE)</f>
        <v>1</v>
      </c>
      <c r="BG39" s="39">
        <f>VLOOKUP($F39,Assumptions!$E$152:$BC$157,COLUMN()-COLUMN($BC$4),FALSE)</f>
        <v>1</v>
      </c>
      <c r="BH39" s="39">
        <f>VLOOKUP($F39,Assumptions!$E$152:$BC$157,COLUMN()-COLUMN($BC$4),FALSE)</f>
        <v>1</v>
      </c>
      <c r="BI39" s="39">
        <f>VLOOKUP($F39,Assumptions!$E$152:$BC$157,COLUMN()-COLUMN($BC$4),FALSE)</f>
        <v>1</v>
      </c>
      <c r="BJ39" s="39">
        <f>VLOOKUP($F39,Assumptions!$E$152:$BC$157,COLUMN()-COLUMN($BC$4),FALSE)</f>
        <v>1</v>
      </c>
      <c r="BK39" s="39">
        <f>VLOOKUP($F39,Assumptions!$E$152:$BC$157,COLUMN()-COLUMN($BC$4),FALSE)</f>
        <v>1</v>
      </c>
      <c r="BL39" s="39">
        <f>VLOOKUP($F39,Assumptions!$E$152:$BC$157,COLUMN()-COLUMN($BC$4),FALSE)</f>
        <v>1</v>
      </c>
      <c r="BM39" s="39">
        <f>VLOOKUP($F39,Assumptions!$E$152:$BC$157,COLUMN()-COLUMN($BC$4),FALSE)</f>
        <v>1</v>
      </c>
      <c r="BN39" s="39">
        <f>VLOOKUP($F39,Assumptions!$E$152:$BC$157,COLUMN()-COLUMN($BC$4),FALSE)</f>
        <v>1</v>
      </c>
      <c r="BO39" s="39">
        <f>VLOOKUP($F39,Assumptions!$E$152:$BC$157,COLUMN()-COLUMN($BC$4),FALSE)</f>
        <v>1</v>
      </c>
      <c r="BP39" s="39">
        <f>VLOOKUP($F39,Assumptions!$E$152:$BC$157,COLUMN()-COLUMN($BC$4),FALSE)</f>
        <v>1</v>
      </c>
      <c r="BQ39" s="39">
        <f>VLOOKUP($F39,Assumptions!$E$152:$BC$157,COLUMN()-COLUMN($BC$4),FALSE)</f>
        <v>1</v>
      </c>
      <c r="BR39" s="39">
        <f>VLOOKUP($F39,Assumptions!$E$152:$BC$157,COLUMN()-COLUMN($BC$4),FALSE)</f>
        <v>1</v>
      </c>
      <c r="BS39" s="39">
        <f>VLOOKUP($F39,Assumptions!$E$152:$BC$157,COLUMN()-COLUMN($BC$4),FALSE)</f>
        <v>1</v>
      </c>
      <c r="BT39" s="39">
        <f>VLOOKUP($F39,Assumptions!$E$152:$BC$157,COLUMN()-COLUMN($BC$4),FALSE)</f>
        <v>1</v>
      </c>
      <c r="BU39" s="39">
        <f>VLOOKUP($F39,Assumptions!$E$152:$BC$157,COLUMN()-COLUMN($BC$4),FALSE)</f>
        <v>1</v>
      </c>
      <c r="BV39" s="39">
        <f>VLOOKUP($F39,Assumptions!$E$152:$BC$157,COLUMN()-COLUMN($BC$4),FALSE)</f>
        <v>1</v>
      </c>
      <c r="BW39" s="39">
        <f>VLOOKUP($F39,Assumptions!$E$152:$BC$157,COLUMN()-COLUMN($BC$4),FALSE)</f>
        <v>1</v>
      </c>
      <c r="BX39" s="39">
        <f>VLOOKUP($F39,Assumptions!$E$152:$BC$157,COLUMN()-COLUMN($BC$4),FALSE)</f>
        <v>1</v>
      </c>
      <c r="BY39" s="39">
        <f>VLOOKUP($F39,Assumptions!$E$152:$BC$157,COLUMN()-COLUMN($BC$4),FALSE)</f>
        <v>1</v>
      </c>
      <c r="BZ39" s="39">
        <f>VLOOKUP($F39,Assumptions!$E$152:$BC$157,COLUMN()-COLUMN($BC$4),FALSE)</f>
        <v>1</v>
      </c>
      <c r="CA39" s="39">
        <f>VLOOKUP($F39,Assumptions!$E$152:$BC$157,COLUMN()-COLUMN($BC$4),FALSE)</f>
        <v>1</v>
      </c>
      <c r="CB39" s="39">
        <f>VLOOKUP($F39,Assumptions!$E$152:$BC$157,COLUMN()-COLUMN($BC$4),FALSE)</f>
        <v>1</v>
      </c>
      <c r="CC39" s="39">
        <f>VLOOKUP($F39,Assumptions!$E$152:$BC$157,COLUMN()-COLUMN($BC$4),FALSE)</f>
        <v>1</v>
      </c>
      <c r="CD39" s="39">
        <f>VLOOKUP($F39,Assumptions!$E$152:$BC$157,COLUMN()-COLUMN($BC$4),FALSE)</f>
        <v>1</v>
      </c>
      <c r="CE39" s="39">
        <f>VLOOKUP($F39,Assumptions!$E$152:$BC$157,COLUMN()-COLUMN($BC$4),FALSE)</f>
        <v>1</v>
      </c>
      <c r="CF39" s="39">
        <f>VLOOKUP($F39,Assumptions!$E$152:$BC$157,COLUMN()-COLUMN($BC$4),FALSE)</f>
        <v>1</v>
      </c>
      <c r="CG39" s="39">
        <f>VLOOKUP($F39,Assumptions!$E$152:$BC$157,COLUMN()-COLUMN($BC$4),FALSE)</f>
        <v>1</v>
      </c>
      <c r="CH39" s="39">
        <f>VLOOKUP($F39,Assumptions!$E$152:$BC$157,COLUMN()-COLUMN($BC$4),FALSE)</f>
        <v>1</v>
      </c>
      <c r="CI39" s="39">
        <f>VLOOKUP($F39,Assumptions!$E$152:$BC$157,COLUMN()-COLUMN($BC$4),FALSE)</f>
        <v>1</v>
      </c>
      <c r="CJ39" s="39">
        <f>VLOOKUP($F39,Assumptions!$E$152:$BC$157,COLUMN()-COLUMN($BC$4),FALSE)</f>
        <v>1</v>
      </c>
      <c r="CK39" s="39">
        <f>VLOOKUP($F39,Assumptions!$E$152:$BC$157,COLUMN()-COLUMN($BC$4),FALSE)</f>
        <v>1</v>
      </c>
      <c r="CL39" s="39">
        <f>VLOOKUP($F39,Assumptions!$E$152:$BC$157,COLUMN()-COLUMN($BC$4),FALSE)</f>
        <v>1</v>
      </c>
      <c r="CM39" s="39">
        <f>VLOOKUP($F39,Assumptions!$E$152:$BC$157,COLUMN()-COLUMN($BC$4),FALSE)</f>
        <v>1</v>
      </c>
      <c r="CN39" s="39">
        <f>VLOOKUP($F39,Assumptions!$E$152:$BC$157,COLUMN()-COLUMN($BC$4),FALSE)</f>
        <v>1</v>
      </c>
      <c r="CO39" s="39">
        <f>VLOOKUP($F39,Assumptions!$E$152:$BC$157,COLUMN()-COLUMN($BC$4),FALSE)</f>
        <v>1</v>
      </c>
      <c r="CP39" s="39">
        <f>VLOOKUP($F39,Assumptions!$E$152:$BC$157,COLUMN()-COLUMN($BC$4),FALSE)</f>
        <v>1</v>
      </c>
      <c r="CQ39" s="39">
        <f>VLOOKUP($F39,Assumptions!$E$152:$BC$157,COLUMN()-COLUMN($BC$4),FALSE)</f>
        <v>1</v>
      </c>
      <c r="CR39" s="39">
        <f>VLOOKUP($F39,Assumptions!$E$152:$BC$157,COLUMN()-COLUMN($BC$4),FALSE)</f>
        <v>1</v>
      </c>
      <c r="CS39" s="39">
        <f>VLOOKUP($F39,Assumptions!$E$152:$BC$157,COLUMN()-COLUMN($BC$4),FALSE)</f>
        <v>1</v>
      </c>
      <c r="CT39" s="39">
        <f>VLOOKUP($F39,Assumptions!$E$152:$BC$157,COLUMN()-COLUMN($BC$4),FALSE)</f>
        <v>1</v>
      </c>
      <c r="CU39" s="39">
        <f>VLOOKUP($F39,Assumptions!$E$152:$BC$157,COLUMN()-COLUMN($BC$4),FALSE)</f>
        <v>1</v>
      </c>
      <c r="CV39" s="39">
        <f>VLOOKUP($F39,Assumptions!$E$152:$BC$157,COLUMN()-COLUMN($BC$4),FALSE)</f>
        <v>1</v>
      </c>
      <c r="CW39" s="39">
        <f>VLOOKUP($F39,Assumptions!$E$152:$BC$157,COLUMN()-COLUMN($BC$4),FALSE)</f>
        <v>1</v>
      </c>
      <c r="CX39" s="39">
        <f>VLOOKUP($F39,Assumptions!$E$152:$BC$157,COLUMN()-COLUMN($BC$4),FALSE)</f>
        <v>1</v>
      </c>
      <c r="CY39" s="38"/>
      <c r="CZ39" s="38"/>
      <c r="DA39" s="38"/>
      <c r="DB39" s="38"/>
      <c r="DC39" s="38"/>
      <c r="DD39" s="38"/>
      <c r="DE39" s="38"/>
      <c r="DF39" s="38"/>
      <c r="DG39" s="38"/>
      <c r="DH39" s="38"/>
      <c r="DI39" s="38"/>
      <c r="DJ39" s="38"/>
      <c r="DK39" s="38"/>
      <c r="DL39" s="38"/>
      <c r="DM39" s="38"/>
      <c r="DN39" s="38"/>
      <c r="DO39" s="38"/>
      <c r="DP39" s="38"/>
      <c r="DQ39" s="38"/>
      <c r="DR39" s="38"/>
      <c r="DS39" s="38"/>
      <c r="DT39" s="38"/>
      <c r="DU39" s="38"/>
      <c r="DV39" s="38"/>
      <c r="DW39" s="38"/>
      <c r="DX39" s="38"/>
      <c r="DY39" s="38"/>
      <c r="DZ39" s="38"/>
      <c r="EA39" s="38"/>
      <c r="EB39" s="38"/>
      <c r="EC39" s="38"/>
      <c r="ED39" s="38"/>
      <c r="EE39" s="38"/>
      <c r="EF39" s="38"/>
      <c r="EG39" s="38"/>
      <c r="EH39" s="38"/>
      <c r="EI39" s="38"/>
      <c r="EJ39" s="38"/>
      <c r="EK39" s="38"/>
      <c r="EL39" s="38"/>
      <c r="EM39" s="38"/>
      <c r="EN39" s="38"/>
      <c r="EO39" s="38"/>
      <c r="EP39" s="38"/>
      <c r="EQ39" s="38"/>
      <c r="ER39" s="38"/>
      <c r="ES39" s="38"/>
      <c r="ET39" s="38"/>
      <c r="EU39" s="38"/>
      <c r="EV39" s="38"/>
      <c r="EW39" s="38" t="str">
        <f t="shared" si="48"/>
        <v>\I:</v>
      </c>
      <c r="EX39" s="38" t="str">
        <f t="shared" si="68"/>
        <v/>
      </c>
      <c r="EY39" s="38" t="s">
        <v>133</v>
      </c>
      <c r="EZ39" s="38" t="s">
        <v>85</v>
      </c>
      <c r="FA39" s="38" t="s">
        <v>440</v>
      </c>
    </row>
    <row r="40" spans="3:157">
      <c r="C40" s="38" t="str">
        <f t="shared" si="54"/>
        <v/>
      </c>
      <c r="D40" s="38" t="s">
        <v>52</v>
      </c>
      <c r="E40" s="38"/>
      <c r="F40" s="38" t="s">
        <v>88</v>
      </c>
      <c r="G40" s="39">
        <f>SUMIFS(Assumptions!BD$105:BD$135,Assumptions!$BB$105:$BB$135,'non-road'!$F40,Assumptions!$BC$105:$BC$135,'non-road'!$D40)/SUMIF(Assumptions!$BB$105:$BB$135,'non-road'!$F40,Assumptions!BD$105:BD$135)</f>
        <v>0</v>
      </c>
      <c r="H40" s="39">
        <f>SUMIFS(Assumptions!BE$105:BE$135,Assumptions!$BB$105:$BB$135,'non-road'!$F40,Assumptions!$BC$105:$BC$135,'non-road'!$D40)/SUMIF(Assumptions!$BB$105:$BB$135,'non-road'!$F40,Assumptions!BE$105:BE$135)</f>
        <v>0</v>
      </c>
      <c r="I40" s="39">
        <f>SUMIFS(Assumptions!BF$105:BF$135,Assumptions!$BB$105:$BB$135,'non-road'!$F40,Assumptions!$BC$105:$BC$135,'non-road'!$D40)/SUMIF(Assumptions!$BB$105:$BB$135,'non-road'!$F40,Assumptions!BF$105:BF$135)</f>
        <v>0</v>
      </c>
      <c r="J40" s="39">
        <f>SUMIFS(Assumptions!BG$105:BG$135,Assumptions!$BB$105:$BB$135,'non-road'!$F40,Assumptions!$BC$105:$BC$135,'non-road'!$D40)/SUMIF(Assumptions!$BB$105:$BB$135,'non-road'!$F40,Assumptions!BG$105:BG$135)</f>
        <v>0</v>
      </c>
      <c r="K40" s="39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9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9">
        <f>SUMIFS(Assumptions!BJ$105:BJ$135,Assumptions!$BB$105:$BB$135,'non-road'!$F40,Assumptions!$BC$105:$BC$135,'non-road'!$D40)/SUMIF(Assumptions!$BB$105:$BB$135,'non-road'!$F40,Assumptions!BJ$105:BJ$135)</f>
        <v>0</v>
      </c>
      <c r="N40" s="39">
        <f>SUMIFS(Assumptions!BK$105:BK$135,Assumptions!$BB$105:$BB$135,'non-road'!$F40,Assumptions!$BC$105:$BC$135,'non-road'!$D40)/SUMIF(Assumptions!$BB$105:$BB$135,'non-road'!$F40,Assumptions!BK$105:BK$135)</f>
        <v>0</v>
      </c>
      <c r="O40" s="39">
        <f>SUMIFS(Assumptions!BL$105:BL$135,Assumptions!$BB$105:$BB$135,'non-road'!$F40,Assumptions!$BC$105:$BC$135,'non-road'!$D40)/SUMIF(Assumptions!$BB$105:$BB$135,'non-road'!$F40,Assumptions!BL$105:BL$135)</f>
        <v>0</v>
      </c>
      <c r="P40" s="39" t="e">
        <f>SUMIFS(Assumptions!BM$105:BM$135,Assumptions!$BB$105:$BB$135,'non-road'!$F40,Assumptions!$BC$105:$BC$135,'non-road'!$D40)/SUMIF(Assumptions!$BB$105:$BB$135,'non-road'!$F40,Assumptions!BM$105:BM$135)</f>
        <v>#DIV/0!</v>
      </c>
      <c r="Q40" s="39">
        <f>SUMIFS(Assumptions!BN$105:BN$135,Assumptions!$BB$105:$BB$135,'non-road'!$F40,Assumptions!$BC$105:$BC$135,'non-road'!$D40)/SUMIF(Assumptions!$BB$105:$BB$135,'non-road'!$F40,Assumptions!BN$105:BN$135)</f>
        <v>0</v>
      </c>
      <c r="R40" s="39">
        <f>SUMIFS(Assumptions!BO$105:BO$135,Assumptions!$BB$105:$BB$135,'non-road'!$F40,Assumptions!$BC$105:$BC$135,'non-road'!$D40)/SUMIF(Assumptions!$BB$105:$BB$135,'non-road'!$F40,Assumptions!BO$105:BO$135)</f>
        <v>0</v>
      </c>
      <c r="S40" s="39">
        <f>SUMIFS(Assumptions!BP$105:BP$135,Assumptions!$BB$105:$BB$135,'non-road'!$F40,Assumptions!$BC$105:$BC$135,'non-road'!$D40)/SUMIF(Assumptions!$BB$105:$BB$135,'non-road'!$F40,Assumptions!BP$105:BP$135)</f>
        <v>0</v>
      </c>
      <c r="T40" s="39">
        <f>SUMIFS(Assumptions!BQ$105:BQ$135,Assumptions!$BB$105:$BB$135,'non-road'!$F40,Assumptions!$BC$105:$BC$135,'non-road'!$D40)/SUMIF(Assumptions!$BB$105:$BB$135,'non-road'!$F40,Assumptions!BQ$105:BQ$135)</f>
        <v>0</v>
      </c>
      <c r="U40" s="39">
        <f>SUMIFS(Assumptions!BR$105:BR$135,Assumptions!$BB$105:$BB$135,'non-road'!$F40,Assumptions!$BC$105:$BC$135,'non-road'!$D40)/SUMIF(Assumptions!$BB$105:$BB$135,'non-road'!$F40,Assumptions!BR$105:BR$135)</f>
        <v>0</v>
      </c>
      <c r="V40" s="39">
        <f>SUMIFS(Assumptions!BS$105:BS$135,Assumptions!$BB$105:$BB$135,'non-road'!$F40,Assumptions!$BC$105:$BC$135,'non-road'!$D40)/SUMIF(Assumptions!$BB$105:$BB$135,'non-road'!$F40,Assumptions!BS$105:BS$135)</f>
        <v>0</v>
      </c>
      <c r="W40" s="39">
        <f>SUMIFS(Assumptions!BT$105:BT$135,Assumptions!$BB$105:$BB$135,'non-road'!$F40,Assumptions!$BC$105:$BC$135,'non-road'!$D40)/SUMIF(Assumptions!$BB$105:$BB$135,'non-road'!$F40,Assumptions!BT$105:BT$135)</f>
        <v>0</v>
      </c>
      <c r="X40" s="39">
        <f>SUMIFS(Assumptions!BU$105:BU$135,Assumptions!$BB$105:$BB$135,'non-road'!$F40,Assumptions!$BC$105:$BC$135,'non-road'!$D40)/SUMIF(Assumptions!$BB$105:$BB$135,'non-road'!$F40,Assumptions!BU$105:BU$135)</f>
        <v>0</v>
      </c>
      <c r="Y40" s="39">
        <f>SUMIFS(Assumptions!BV$105:BV$135,Assumptions!$BB$105:$BB$135,'non-road'!$F40,Assumptions!$BC$105:$BC$135,'non-road'!$D40)/SUMIF(Assumptions!$BB$105:$BB$135,'non-road'!$F40,Assumptions!BV$105:BV$135)</f>
        <v>0</v>
      </c>
      <c r="Z40" s="39">
        <f>SUMIFS(Assumptions!BW$105:BW$135,Assumptions!$BB$105:$BB$135,'non-road'!$F40,Assumptions!$BC$105:$BC$135,'non-road'!$D40)/SUMIF(Assumptions!$BB$105:$BB$135,'non-road'!$F40,Assumptions!BW$105:BW$135)</f>
        <v>0</v>
      </c>
      <c r="AA40" s="39">
        <f>SUMIFS(Assumptions!BX$105:BX$135,Assumptions!$BB$105:$BB$135,'non-road'!$F40,Assumptions!$BC$105:$BC$135,'non-road'!$D40)/SUMIF(Assumptions!$BB$105:$BB$135,'non-road'!$F40,Assumptions!BX$105:BX$135)</f>
        <v>0</v>
      </c>
      <c r="AB40" s="39">
        <f>SUMIFS(Assumptions!BY$105:BY$135,Assumptions!$BB$105:$BB$135,'non-road'!$F40,Assumptions!$BC$105:$BC$135,'non-road'!$D40)/SUMIF(Assumptions!$BB$105:$BB$135,'non-road'!$F40,Assumptions!BY$105:BY$135)</f>
        <v>0</v>
      </c>
      <c r="AC40" s="39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9">
        <f>SUMIFS(Assumptions!CA$105:CA$135,Assumptions!$BB$105:$BB$135,'non-road'!$F40,Assumptions!$BC$105:$BC$135,'non-road'!$D40)/SUMIF(Assumptions!$BB$105:$BB$135,'non-road'!$F40,Assumptions!CA$105:CA$135)</f>
        <v>0</v>
      </c>
      <c r="AE40" s="39">
        <f>SUMIFS(Assumptions!CB$105:CB$135,Assumptions!$BB$105:$BB$135,'non-road'!$F40,Assumptions!$BC$105:$BC$135,'non-road'!$D40)/SUMIF(Assumptions!$BB$105:$BB$135,'non-road'!$F40,Assumptions!CB$105:CB$135)</f>
        <v>0</v>
      </c>
      <c r="AF40" s="39">
        <f>SUMIFS(Assumptions!CC$105:CC$135,Assumptions!$BB$105:$BB$135,'non-road'!$F40,Assumptions!$BC$105:$BC$135,'non-road'!$D40)/SUMIF(Assumptions!$BB$105:$BB$135,'non-road'!$F40,Assumptions!CC$105:CC$135)</f>
        <v>0</v>
      </c>
      <c r="AG40" s="39">
        <f>SUMIFS(Assumptions!CD$105:CD$135,Assumptions!$BB$105:$BB$135,'non-road'!$F40,Assumptions!$BC$105:$BC$135,'non-road'!$D40)/SUMIF(Assumptions!$BB$105:$BB$135,'non-road'!$F40,Assumptions!CD$105:CD$135)</f>
        <v>0</v>
      </c>
      <c r="AH40" s="39">
        <f>SUMIFS(Assumptions!CE$105:CE$135,Assumptions!$BB$105:$BB$135,'non-road'!$F40,Assumptions!$BC$105:$BC$135,'non-road'!$D40)/SUMIF(Assumptions!$BB$105:$BB$135,'non-road'!$F40,Assumptions!CE$105:CE$135)</f>
        <v>0</v>
      </c>
      <c r="AI40" s="39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9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9">
        <f>SUMIFS(Assumptions!CH$105:CH$135,Assumptions!$BB$105:$BB$135,'non-road'!$F40,Assumptions!$BC$105:$BC$135,'non-road'!$D40)/SUMIF(Assumptions!$BB$105:$BB$135,'non-road'!$F40,Assumptions!CH$105:CH$135)</f>
        <v>0</v>
      </c>
      <c r="AL40" s="39">
        <f>SUMIFS(Assumptions!CI$105:CI$135,Assumptions!$BB$105:$BB$135,'non-road'!$F40,Assumptions!$BC$105:$BC$135,'non-road'!$D40)/SUMIF(Assumptions!$BB$105:$BB$135,'non-road'!$F40,Assumptions!CI$105:CI$135)</f>
        <v>0</v>
      </c>
      <c r="AM40" s="39">
        <f>SUMIFS(Assumptions!CJ$105:CJ$135,Assumptions!$BB$105:$BB$135,'non-road'!$F40,Assumptions!$BC$105:$BC$135,'non-road'!$D40)/SUMIF(Assumptions!$BB$105:$BB$135,'non-road'!$F40,Assumptions!CJ$105:CJ$135)</f>
        <v>0</v>
      </c>
      <c r="AN40" s="39" t="e">
        <f>SUMIFS(Assumptions!CK$105:CK$135,Assumptions!$BB$105:$BB$135,'non-road'!$F40,Assumptions!$BC$105:$BC$135,'non-road'!$D40)/SUMIF(Assumptions!$BB$105:$BB$135,'non-road'!$F40,Assumptions!CK$105:CK$135)</f>
        <v>#DIV/0!</v>
      </c>
      <c r="AO40" s="39">
        <f>SUMIFS(Assumptions!CL$105:CL$135,Assumptions!$BB$105:$BB$135,'non-road'!$F40,Assumptions!$BC$105:$BC$135,'non-road'!$D40)/SUMIF(Assumptions!$BB$105:$BB$135,'non-road'!$F40,Assumptions!CL$105:CL$135)</f>
        <v>0</v>
      </c>
      <c r="AP40" s="39" t="e">
        <f>SUMIFS(Assumptions!CM$105:CM$135,Assumptions!$BB$105:$BB$135,'non-road'!$F40,Assumptions!$BC$105:$BC$135,'non-road'!$D40)/SUMIF(Assumptions!$BB$105:$BB$135,'non-road'!$F40,Assumptions!CM$105:CM$135)</f>
        <v>#DIV/0!</v>
      </c>
      <c r="AQ40" s="39" t="e">
        <f>SUMIFS(Assumptions!CN$105:CN$135,Assumptions!$BB$105:$BB$135,'non-road'!$F40,Assumptions!$BC$105:$BC$135,'non-road'!$D40)/SUMIF(Assumptions!$BB$105:$BB$135,'non-road'!$F40,Assumptions!CN$105:CN$135)</f>
        <v>#DIV/0!</v>
      </c>
      <c r="AR40" s="39" t="e">
        <f>SUMIFS(Assumptions!CO$105:CO$135,Assumptions!$BB$105:$BB$135,'non-road'!$F40,Assumptions!$BC$105:$BC$135,'non-road'!$D40)/SUMIF(Assumptions!$BB$105:$BB$135,'non-road'!$F40,Assumptions!CO$105:CO$135)</f>
        <v>#DIV/0!</v>
      </c>
      <c r="AS40" s="39" t="e">
        <f>SUMIFS(Assumptions!CP$105:CP$135,Assumptions!$BB$105:$BB$135,'non-road'!$F40,Assumptions!$BC$105:$BC$135,'non-road'!$D40)/SUMIF(Assumptions!$BB$105:$BB$135,'non-road'!$F40,Assumptions!CP$105:CP$135)</f>
        <v>#DIV/0!</v>
      </c>
      <c r="AT40" s="39" t="e">
        <f>SUMIFS(Assumptions!CQ$105:CQ$135,Assumptions!$BB$105:$BB$135,'non-road'!$F40,Assumptions!$BC$105:$BC$135,'non-road'!$D40)/SUMIF(Assumptions!$BB$105:$BB$135,'non-road'!$F40,Assumptions!CQ$105:CQ$135)</f>
        <v>#DIV/0!</v>
      </c>
      <c r="AU40" s="39" t="e">
        <f>SUMIFS(Assumptions!CR$105:CR$135,Assumptions!$BB$105:$BB$135,'non-road'!$F40,Assumptions!$BC$105:$BC$135,'non-road'!$D40)/SUMIF(Assumptions!$BB$105:$BB$135,'non-road'!$F40,Assumptions!CR$105:CR$135)</f>
        <v>#DIV/0!</v>
      </c>
      <c r="AV40" s="39" t="e">
        <f>SUMIFS(Assumptions!CS$105:CS$135,Assumptions!$BB$105:$BB$135,'non-road'!$F40,Assumptions!$BC$105:$BC$135,'non-road'!$D40)/SUMIF(Assumptions!$BB$105:$BB$135,'non-road'!$F40,Assumptions!CS$105:CS$135)</f>
        <v>#DIV/0!</v>
      </c>
      <c r="AW40" s="39" t="e">
        <f>SUMIFS(Assumptions!CT$105:CT$135,Assumptions!$BB$105:$BB$135,'non-road'!$F40,Assumptions!$BC$105:$BC$135,'non-road'!$D40)/SUMIF(Assumptions!$BB$105:$BB$135,'non-road'!$F40,Assumptions!CT$105:CT$135)</f>
        <v>#DIV/0!</v>
      </c>
      <c r="AX40" s="39" t="e">
        <f>SUMIFS(Assumptions!CU$105:CU$135,Assumptions!$BB$105:$BB$135,'non-road'!$F40,Assumptions!$BC$105:$BC$135,'non-road'!$D40)/SUMIF(Assumptions!$BB$105:$BB$135,'non-road'!$F40,Assumptions!CU$105:CU$135)</f>
        <v>#DIV/0!</v>
      </c>
      <c r="AY40" s="39" t="e">
        <f>SUMIFS(Assumptions!CV$105:CV$135,Assumptions!$BB$105:$BB$135,'non-road'!$F40,Assumptions!$BC$105:$BC$135,'non-road'!$D40)/SUMIF(Assumptions!$BB$105:$BB$135,'non-road'!$F40,Assumptions!CV$105:CV$135)</f>
        <v>#DIV/0!</v>
      </c>
      <c r="AZ40" s="39" t="e">
        <f>SUMIFS(Assumptions!CW$105:CW$135,Assumptions!$BB$105:$BB$135,'non-road'!$F40,Assumptions!$BC$105:$BC$135,'non-road'!$D40)/SUMIF(Assumptions!$BB$105:$BB$135,'non-road'!$F40,Assumptions!CW$105:CW$135)</f>
        <v>#DIV/0!</v>
      </c>
      <c r="BD40" s="38" t="str">
        <f t="shared" si="55"/>
        <v>\I:</v>
      </c>
      <c r="BE40" s="39">
        <f>VLOOKUP($F40,Assumptions!$E$152:$BC$157,COLUMN()-COLUMN($BC$4),FALSE)</f>
        <v>1</v>
      </c>
      <c r="BF40" s="39">
        <f>VLOOKUP($F40,Assumptions!$E$152:$BC$157,COLUMN()-COLUMN($BC$4),FALSE)</f>
        <v>1</v>
      </c>
      <c r="BG40" s="39">
        <f>VLOOKUP($F40,Assumptions!$E$152:$BC$157,COLUMN()-COLUMN($BC$4),FALSE)</f>
        <v>1</v>
      </c>
      <c r="BH40" s="39">
        <f>VLOOKUP($F40,Assumptions!$E$152:$BC$157,COLUMN()-COLUMN($BC$4),FALSE)</f>
        <v>1</v>
      </c>
      <c r="BI40" s="39">
        <f>VLOOKUP($F40,Assumptions!$E$152:$BC$157,COLUMN()-COLUMN($BC$4),FALSE)</f>
        <v>1</v>
      </c>
      <c r="BJ40" s="39">
        <f>VLOOKUP($F40,Assumptions!$E$152:$BC$157,COLUMN()-COLUMN($BC$4),FALSE)</f>
        <v>1</v>
      </c>
      <c r="BK40" s="39">
        <f>VLOOKUP($F40,Assumptions!$E$152:$BC$157,COLUMN()-COLUMN($BC$4),FALSE)</f>
        <v>1</v>
      </c>
      <c r="BL40" s="39">
        <f>VLOOKUP($F40,Assumptions!$E$152:$BC$157,COLUMN()-COLUMN($BC$4),FALSE)</f>
        <v>1</v>
      </c>
      <c r="BM40" s="39">
        <f>VLOOKUP($F40,Assumptions!$E$152:$BC$157,COLUMN()-COLUMN($BC$4),FALSE)</f>
        <v>1</v>
      </c>
      <c r="BN40" s="39">
        <f>VLOOKUP($F40,Assumptions!$E$152:$BC$157,COLUMN()-COLUMN($BC$4),FALSE)</f>
        <v>1</v>
      </c>
      <c r="BO40" s="39">
        <f>VLOOKUP($F40,Assumptions!$E$152:$BC$157,COLUMN()-COLUMN($BC$4),FALSE)</f>
        <v>1</v>
      </c>
      <c r="BP40" s="39">
        <f>VLOOKUP($F40,Assumptions!$E$152:$BC$157,COLUMN()-COLUMN($BC$4),FALSE)</f>
        <v>1</v>
      </c>
      <c r="BQ40" s="39">
        <f>VLOOKUP($F40,Assumptions!$E$152:$BC$157,COLUMN()-COLUMN($BC$4),FALSE)</f>
        <v>1</v>
      </c>
      <c r="BR40" s="39">
        <f>VLOOKUP($F40,Assumptions!$E$152:$BC$157,COLUMN()-COLUMN($BC$4),FALSE)</f>
        <v>1</v>
      </c>
      <c r="BS40" s="39">
        <f>VLOOKUP($F40,Assumptions!$E$152:$BC$157,COLUMN()-COLUMN($BC$4),FALSE)</f>
        <v>1</v>
      </c>
      <c r="BT40" s="39">
        <f>VLOOKUP($F40,Assumptions!$E$152:$BC$157,COLUMN()-COLUMN($BC$4),FALSE)</f>
        <v>1</v>
      </c>
      <c r="BU40" s="39">
        <f>VLOOKUP($F40,Assumptions!$E$152:$BC$157,COLUMN()-COLUMN($BC$4),FALSE)</f>
        <v>1</v>
      </c>
      <c r="BV40" s="39">
        <f>VLOOKUP($F40,Assumptions!$E$152:$BC$157,COLUMN()-COLUMN($BC$4),FALSE)</f>
        <v>1</v>
      </c>
      <c r="BW40" s="39">
        <f>VLOOKUP($F40,Assumptions!$E$152:$BC$157,COLUMN()-COLUMN($BC$4),FALSE)</f>
        <v>1</v>
      </c>
      <c r="BX40" s="39">
        <f>VLOOKUP($F40,Assumptions!$E$152:$BC$157,COLUMN()-COLUMN($BC$4),FALSE)</f>
        <v>1</v>
      </c>
      <c r="BY40" s="39">
        <f>VLOOKUP($F40,Assumptions!$E$152:$BC$157,COLUMN()-COLUMN($BC$4),FALSE)</f>
        <v>1</v>
      </c>
      <c r="BZ40" s="39">
        <f>VLOOKUP($F40,Assumptions!$E$152:$BC$157,COLUMN()-COLUMN($BC$4),FALSE)</f>
        <v>1</v>
      </c>
      <c r="CA40" s="39">
        <f>VLOOKUP($F40,Assumptions!$E$152:$BC$157,COLUMN()-COLUMN($BC$4),FALSE)</f>
        <v>1</v>
      </c>
      <c r="CB40" s="39">
        <f>VLOOKUP($F40,Assumptions!$E$152:$BC$157,COLUMN()-COLUMN($BC$4),FALSE)</f>
        <v>1</v>
      </c>
      <c r="CC40" s="39">
        <f>VLOOKUP($F40,Assumptions!$E$152:$BC$157,COLUMN()-COLUMN($BC$4),FALSE)</f>
        <v>1</v>
      </c>
      <c r="CD40" s="39">
        <f>VLOOKUP($F40,Assumptions!$E$152:$BC$157,COLUMN()-COLUMN($BC$4),FALSE)</f>
        <v>1</v>
      </c>
      <c r="CE40" s="39">
        <f>VLOOKUP($F40,Assumptions!$E$152:$BC$157,COLUMN()-COLUMN($BC$4),FALSE)</f>
        <v>1</v>
      </c>
      <c r="CF40" s="39">
        <f>VLOOKUP($F40,Assumptions!$E$152:$BC$157,COLUMN()-COLUMN($BC$4),FALSE)</f>
        <v>1</v>
      </c>
      <c r="CG40" s="39">
        <f>VLOOKUP($F40,Assumptions!$E$152:$BC$157,COLUMN()-COLUMN($BC$4),FALSE)</f>
        <v>1</v>
      </c>
      <c r="CH40" s="39">
        <f>VLOOKUP($F40,Assumptions!$E$152:$BC$157,COLUMN()-COLUMN($BC$4),FALSE)</f>
        <v>1</v>
      </c>
      <c r="CI40" s="39">
        <f>VLOOKUP($F40,Assumptions!$E$152:$BC$157,COLUMN()-COLUMN($BC$4),FALSE)</f>
        <v>1</v>
      </c>
      <c r="CJ40" s="39">
        <f>VLOOKUP($F40,Assumptions!$E$152:$BC$157,COLUMN()-COLUMN($BC$4),FALSE)</f>
        <v>1</v>
      </c>
      <c r="CK40" s="39">
        <f>VLOOKUP($F40,Assumptions!$E$152:$BC$157,COLUMN()-COLUMN($BC$4),FALSE)</f>
        <v>1</v>
      </c>
      <c r="CL40" s="39">
        <f>VLOOKUP($F40,Assumptions!$E$152:$BC$157,COLUMN()-COLUMN($BC$4),FALSE)</f>
        <v>1</v>
      </c>
      <c r="CM40" s="39">
        <f>VLOOKUP($F40,Assumptions!$E$152:$BC$157,COLUMN()-COLUMN($BC$4),FALSE)</f>
        <v>1</v>
      </c>
      <c r="CN40" s="39">
        <f>VLOOKUP($F40,Assumptions!$E$152:$BC$157,COLUMN()-COLUMN($BC$4),FALSE)</f>
        <v>1</v>
      </c>
      <c r="CO40" s="39">
        <f>VLOOKUP($F40,Assumptions!$E$152:$BC$157,COLUMN()-COLUMN($BC$4),FALSE)</f>
        <v>1</v>
      </c>
      <c r="CP40" s="39">
        <f>VLOOKUP($F40,Assumptions!$E$152:$BC$157,COLUMN()-COLUMN($BC$4),FALSE)</f>
        <v>1</v>
      </c>
      <c r="CQ40" s="39">
        <f>VLOOKUP($F40,Assumptions!$E$152:$BC$157,COLUMN()-COLUMN($BC$4),FALSE)</f>
        <v>1</v>
      </c>
      <c r="CR40" s="39">
        <f>VLOOKUP($F40,Assumptions!$E$152:$BC$157,COLUMN()-COLUMN($BC$4),FALSE)</f>
        <v>1</v>
      </c>
      <c r="CS40" s="39">
        <f>VLOOKUP($F40,Assumptions!$E$152:$BC$157,COLUMN()-COLUMN($BC$4),FALSE)</f>
        <v>1</v>
      </c>
      <c r="CT40" s="39">
        <f>VLOOKUP($F40,Assumptions!$E$152:$BC$157,COLUMN()-COLUMN($BC$4),FALSE)</f>
        <v>1</v>
      </c>
      <c r="CU40" s="39">
        <f>VLOOKUP($F40,Assumptions!$E$152:$BC$157,COLUMN()-COLUMN($BC$4),FALSE)</f>
        <v>1</v>
      </c>
      <c r="CV40" s="39">
        <f>VLOOKUP($F40,Assumptions!$E$152:$BC$157,COLUMN()-COLUMN($BC$4),FALSE)</f>
        <v>1</v>
      </c>
      <c r="CW40" s="39">
        <f>VLOOKUP($F40,Assumptions!$E$152:$BC$157,COLUMN()-COLUMN($BC$4),FALSE)</f>
        <v>1</v>
      </c>
      <c r="CX40" s="39">
        <f>VLOOKUP($F40,Assumptions!$E$152:$BC$157,COLUMN()-COLUMN($BC$4),FALSE)</f>
        <v>1</v>
      </c>
      <c r="CY40" s="38"/>
      <c r="CZ40" s="38"/>
      <c r="DA40" s="38"/>
      <c r="DB40" s="38"/>
      <c r="DC40" s="38"/>
      <c r="DD40" s="38"/>
      <c r="DE40" s="38"/>
      <c r="DF40" s="38"/>
      <c r="DG40" s="38"/>
      <c r="DH40" s="38"/>
      <c r="DI40" s="38"/>
      <c r="DJ40" s="38"/>
      <c r="DK40" s="38"/>
      <c r="DL40" s="38"/>
      <c r="DM40" s="38"/>
      <c r="DN40" s="38"/>
      <c r="DO40" s="38"/>
      <c r="DP40" s="38"/>
      <c r="DQ40" s="38"/>
      <c r="DR40" s="38"/>
      <c r="DS40" s="38"/>
      <c r="DT40" s="38"/>
      <c r="DU40" s="38"/>
      <c r="DV40" s="38"/>
      <c r="DW40" s="38"/>
      <c r="DX40" s="38"/>
      <c r="DY40" s="38"/>
      <c r="DZ40" s="38"/>
      <c r="EA40" s="38"/>
      <c r="EB40" s="38"/>
      <c r="EC40" s="38"/>
      <c r="ED40" s="38"/>
      <c r="EE40" s="38"/>
      <c r="EF40" s="38"/>
      <c r="EG40" s="38"/>
      <c r="EH40" s="38"/>
      <c r="EI40" s="38"/>
      <c r="EJ40" s="38"/>
      <c r="EK40" s="38"/>
      <c r="EL40" s="38"/>
      <c r="EM40" s="38"/>
      <c r="EN40" s="38"/>
      <c r="EO40" s="38"/>
      <c r="EP40" s="38"/>
      <c r="EQ40" s="38"/>
      <c r="ER40" s="38"/>
      <c r="ES40" s="38"/>
      <c r="ET40" s="38"/>
      <c r="EU40" s="38"/>
      <c r="EV40" s="38"/>
      <c r="EW40" s="38" t="str">
        <f t="shared" si="48"/>
        <v>DMD</v>
      </c>
      <c r="EX40" s="38" t="str">
        <f t="shared" si="68"/>
        <v>NEU_Generic</v>
      </c>
      <c r="EY40" s="38" t="s">
        <v>452</v>
      </c>
      <c r="EZ40" s="38" t="s">
        <v>85</v>
      </c>
      <c r="FA40" s="38" t="s">
        <v>440</v>
      </c>
    </row>
    <row r="41" spans="3:157">
      <c r="C41" s="38" t="str">
        <f t="shared" si="54"/>
        <v>NEU_Generic</v>
      </c>
      <c r="D41" s="38" t="s">
        <v>42</v>
      </c>
      <c r="E41" s="38"/>
      <c r="F41" s="38" t="s">
        <v>41</v>
      </c>
      <c r="G41" s="39">
        <f>IFERROR(SUMIFS(Assumptions!BD$105:BD$135,Assumptions!$BB$105:$BB$135,'non-road'!$F41,Assumptions!$BC$105:$BC$135,'non-road'!$D41)/SUMIF(Assumptions!$BB$105:$BB$135,'non-road'!$F41,Assumptions!BD$105:BD$135),"")</f>
        <v>0</v>
      </c>
      <c r="H41" s="39">
        <f>IFERROR(SUMIFS(Assumptions!BE$105:BE$135,Assumptions!$BB$105:$BB$135,'non-road'!$F41,Assumptions!$BC$105:$BC$135,'non-road'!$D41)/SUMIF(Assumptions!$BB$105:$BB$135,'non-road'!$F41,Assumptions!BE$105:BE$135),"")</f>
        <v>0</v>
      </c>
      <c r="I41" s="39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9">
        <f>IFERROR(SUMIFS(Assumptions!BG$105:BG$135,Assumptions!$BB$105:$BB$135,'non-road'!$F41,Assumptions!$BC$105:$BC$135,'non-road'!$D41)/SUMIF(Assumptions!$BB$105:$BB$135,'non-road'!$F41,Assumptions!BG$105:BG$135),"")</f>
        <v>0</v>
      </c>
      <c r="K41" s="39">
        <f>IFERROR(SUMIFS(Assumptions!BH$105:BH$135,Assumptions!$BB$105:$BB$135,'non-road'!$F41,Assumptions!$BC$105:$BC$135,'non-road'!$D41)/SUMIF(Assumptions!$BB$105:$BB$135,'non-road'!$F41,Assumptions!BH$105:BH$135),"")</f>
        <v>0</v>
      </c>
      <c r="L41" s="39">
        <f>IFERROR(SUMIFS(Assumptions!BI$105:BI$135,Assumptions!$BB$105:$BB$135,'non-road'!$F41,Assumptions!$BC$105:$BC$135,'non-road'!$D41)/SUMIF(Assumptions!$BB$105:$BB$135,'non-road'!$F41,Assumptions!BI$105:BI$135),"")</f>
        <v>0</v>
      </c>
      <c r="M41" s="39">
        <f>IFERROR(SUMIFS(Assumptions!BJ$105:BJ$135,Assumptions!$BB$105:$BB$135,'non-road'!$F41,Assumptions!$BC$105:$BC$135,'non-road'!$D41)/SUMIF(Assumptions!$BB$105:$BB$135,'non-road'!$F41,Assumptions!BJ$105:BJ$135),"")</f>
        <v>1</v>
      </c>
      <c r="N41" s="39">
        <f>IFERROR(SUMIFS(Assumptions!BK$105:BK$135,Assumptions!$BB$105:$BB$135,'non-road'!$F41,Assumptions!$BC$105:$BC$135,'non-road'!$D41)/SUMIF(Assumptions!$BB$105:$BB$135,'non-road'!$F41,Assumptions!BK$105:BK$135),"")</f>
        <v>0</v>
      </c>
      <c r="O41" s="39">
        <f>IFERROR(SUMIFS(Assumptions!BL$105:BL$135,Assumptions!$BB$105:$BB$135,'non-road'!$F41,Assumptions!$BC$105:$BC$135,'non-road'!$D41)/SUMIF(Assumptions!$BB$105:$BB$135,'non-road'!$F41,Assumptions!BL$105:BL$135),"")</f>
        <v>0</v>
      </c>
      <c r="P41" s="39">
        <f>IFERROR(SUMIFS(Assumptions!BM$105:BM$135,Assumptions!$BB$105:$BB$135,'non-road'!$F41,Assumptions!$BC$105:$BC$135,'non-road'!$D41)/SUMIF(Assumptions!$BB$105:$BB$135,'non-road'!$F41,Assumptions!BM$105:BM$135),"")</f>
        <v>0</v>
      </c>
      <c r="Q41" s="39">
        <f>IFERROR(SUMIFS(Assumptions!BN$105:BN$135,Assumptions!$BB$105:$BB$135,'non-road'!$F41,Assumptions!$BC$105:$BC$135,'non-road'!$D41)/SUMIF(Assumptions!$BB$105:$BB$135,'non-road'!$F41,Assumptions!BN$105:BN$135),"")</f>
        <v>0</v>
      </c>
      <c r="R41" s="39">
        <f>IFERROR(SUMIFS(Assumptions!BO$105:BO$135,Assumptions!$BB$105:$BB$135,'non-road'!$F41,Assumptions!$BC$105:$BC$135,'non-road'!$D41)/SUMIF(Assumptions!$BB$105:$BB$135,'non-road'!$F41,Assumptions!BO$105:BO$135),"")</f>
        <v>0</v>
      </c>
      <c r="S41" s="39">
        <f>IFERROR(SUMIFS(Assumptions!BP$105:BP$135,Assumptions!$BB$105:$BB$135,'non-road'!$F41,Assumptions!$BC$105:$BC$135,'non-road'!$D41)/SUMIF(Assumptions!$BB$105:$BB$135,'non-road'!$F41,Assumptions!BP$105:BP$135),"")</f>
        <v>0</v>
      </c>
      <c r="T41" s="39">
        <f>IFERROR(SUMIFS(Assumptions!BQ$105:BQ$135,Assumptions!$BB$105:$BB$135,'non-road'!$F41,Assumptions!$BC$105:$BC$135,'non-road'!$D41)/SUMIF(Assumptions!$BB$105:$BB$135,'non-road'!$F41,Assumptions!BQ$105:BQ$135),"")</f>
        <v>0</v>
      </c>
      <c r="U41" s="39">
        <f>IFERROR(SUMIFS(Assumptions!BR$105:BR$135,Assumptions!$BB$105:$BB$135,'non-road'!$F41,Assumptions!$BC$105:$BC$135,'non-road'!$D41)/SUMIF(Assumptions!$BB$105:$BB$135,'non-road'!$F41,Assumptions!BR$105:BR$135),"")</f>
        <v>0</v>
      </c>
      <c r="V41" s="39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9">
        <f>IFERROR(SUMIFS(Assumptions!BT$105:BT$135,Assumptions!$BB$105:$BB$135,'non-road'!$F41,Assumptions!$BC$105:$BC$135,'non-road'!$D41)/SUMIF(Assumptions!$BB$105:$BB$135,'non-road'!$F41,Assumptions!BT$105:BT$135),"")</f>
        <v>0</v>
      </c>
      <c r="X41" s="39">
        <f>IFERROR(SUMIFS(Assumptions!BU$105:BU$135,Assumptions!$BB$105:$BB$135,'non-road'!$F41,Assumptions!$BC$105:$BC$135,'non-road'!$D41)/SUMIF(Assumptions!$BB$105:$BB$135,'non-road'!$F41,Assumptions!BU$105:BU$135),"")</f>
        <v>0</v>
      </c>
      <c r="Y41" s="39">
        <f>IFERROR(SUMIFS(Assumptions!BV$105:BV$135,Assumptions!$BB$105:$BB$135,'non-road'!$F41,Assumptions!$BC$105:$BC$135,'non-road'!$D41)/SUMIF(Assumptions!$BB$105:$BB$135,'non-road'!$F41,Assumptions!BV$105:BV$135),"")</f>
        <v>0</v>
      </c>
      <c r="Z41" s="39">
        <f>IFERROR(SUMIFS(Assumptions!BW$105:BW$135,Assumptions!$BB$105:$BB$135,'non-road'!$F41,Assumptions!$BC$105:$BC$135,'non-road'!$D41)/SUMIF(Assumptions!$BB$105:$BB$135,'non-road'!$F41,Assumptions!BW$105:BW$135),"")</f>
        <v>0</v>
      </c>
      <c r="AA41" s="39">
        <f>IFERROR(SUMIFS(Assumptions!BX$105:BX$135,Assumptions!$BB$105:$BB$135,'non-road'!$F41,Assumptions!$BC$105:$BC$135,'non-road'!$D41)/SUMIF(Assumptions!$BB$105:$BB$135,'non-road'!$F41,Assumptions!BX$105:BX$135),"")</f>
        <v>0</v>
      </c>
      <c r="AB41" s="39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9">
        <f>IFERROR(SUMIFS(Assumptions!BZ$105:BZ$135,Assumptions!$BB$105:$BB$135,'non-road'!$F41,Assumptions!$BC$105:$BC$135,'non-road'!$D41)/SUMIF(Assumptions!$BB$105:$BB$135,'non-road'!$F41,Assumptions!BZ$105:BZ$135),"")</f>
        <v>0</v>
      </c>
      <c r="AD41" s="39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9">
        <f>IFERROR(SUMIFS(Assumptions!CB$105:CB$135,Assumptions!$BB$105:$BB$135,'non-road'!$F41,Assumptions!$BC$105:$BC$135,'non-road'!$D41)/SUMIF(Assumptions!$BB$105:$BB$135,'non-road'!$F41,Assumptions!CB$105:CB$135),"")</f>
        <v>0</v>
      </c>
      <c r="AF41" s="39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9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9">
        <f>IFERROR(SUMIFS(Assumptions!CE$105:CE$135,Assumptions!$BB$105:$BB$135,'non-road'!$F41,Assumptions!$BC$105:$BC$135,'non-road'!$D41)/SUMIF(Assumptions!$BB$105:$BB$135,'non-road'!$F41,Assumptions!CE$105:CE$135),"")</f>
        <v>0</v>
      </c>
      <c r="AI41" s="39">
        <f>IFERROR(SUMIFS(Assumptions!CF$105:CF$135,Assumptions!$BB$105:$BB$135,'non-road'!$F41,Assumptions!$BC$105:$BC$135,'non-road'!$D41)/SUMIF(Assumptions!$BB$105:$BB$135,'non-road'!$F41,Assumptions!CF$105:CF$135),"")</f>
        <v>0</v>
      </c>
      <c r="AJ41" s="39">
        <f>IFERROR(SUMIFS(Assumptions!CG$105:CG$135,Assumptions!$BB$105:$BB$135,'non-road'!$F41,Assumptions!$BC$105:$BC$135,'non-road'!$D41)/SUMIF(Assumptions!$BB$105:$BB$135,'non-road'!$F41,Assumptions!CG$105:CG$135),"")</f>
        <v>0</v>
      </c>
      <c r="AK41" s="39">
        <f>IFERROR(SUMIFS(Assumptions!CH$105:CH$135,Assumptions!$BB$105:$BB$135,'non-road'!$F41,Assumptions!$BC$105:$BC$135,'non-road'!$D41)/SUMIF(Assumptions!$BB$105:$BB$135,'non-road'!$F41,Assumptions!CH$105:CH$135),"")</f>
        <v>0</v>
      </c>
      <c r="AL41" s="39">
        <f>IFERROR(SUMIFS(Assumptions!CI$105:CI$135,Assumptions!$BB$105:$BB$135,'non-road'!$F41,Assumptions!$BC$105:$BC$135,'non-road'!$D41)/SUMIF(Assumptions!$BB$105:$BB$135,'non-road'!$F41,Assumptions!CI$105:CI$135),"")</f>
        <v>0</v>
      </c>
      <c r="AM41" s="39">
        <f>IFERROR(SUMIFS(Assumptions!CJ$105:CJ$135,Assumptions!$BB$105:$BB$135,'non-road'!$F41,Assumptions!$BC$105:$BC$135,'non-road'!$D41)/SUMIF(Assumptions!$BB$105:$BB$135,'non-road'!$F41,Assumptions!CJ$105:CJ$135),"")</f>
        <v>0</v>
      </c>
      <c r="AN41" s="39">
        <f>IFERROR(SUMIFS(Assumptions!CK$105:CK$135,Assumptions!$BB$105:$BB$135,'non-road'!$F41,Assumptions!$BC$105:$BC$135,'non-road'!$D41)/SUMIF(Assumptions!$BB$105:$BB$135,'non-road'!$F41,Assumptions!CK$105:CK$135),"")</f>
        <v>0</v>
      </c>
      <c r="AO41" s="39">
        <f>IFERROR(SUMIFS(Assumptions!CL$105:CL$135,Assumptions!$BB$105:$BB$135,'non-road'!$F41,Assumptions!$BC$105:$BC$135,'non-road'!$D41)/SUMIF(Assumptions!$BB$105:$BB$135,'non-road'!$F41,Assumptions!CL$105:CL$135),"")</f>
        <v>0</v>
      </c>
      <c r="AP41" s="39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9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9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9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9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9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9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9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9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9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9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8" t="str">
        <f t="shared" si="55"/>
        <v>NEU_Generic</v>
      </c>
      <c r="BE41" s="39">
        <v>1</v>
      </c>
      <c r="BF41" s="39">
        <v>1</v>
      </c>
      <c r="BG41" s="39">
        <v>1</v>
      </c>
      <c r="BH41" s="39">
        <v>1</v>
      </c>
      <c r="BI41" s="39">
        <v>1</v>
      </c>
      <c r="BJ41" s="39">
        <v>1</v>
      </c>
      <c r="BK41" s="39">
        <v>1</v>
      </c>
      <c r="BL41" s="39">
        <v>1</v>
      </c>
      <c r="BM41" s="39">
        <v>1</v>
      </c>
      <c r="BN41" s="39">
        <v>1</v>
      </c>
      <c r="BO41" s="39">
        <v>1</v>
      </c>
      <c r="BP41" s="39">
        <v>1</v>
      </c>
      <c r="BQ41" s="39">
        <v>1</v>
      </c>
      <c r="BR41" s="39">
        <v>1</v>
      </c>
      <c r="BS41" s="39">
        <v>1</v>
      </c>
      <c r="BT41" s="39">
        <v>1</v>
      </c>
      <c r="BU41" s="39">
        <v>1</v>
      </c>
      <c r="BV41" s="39">
        <v>1</v>
      </c>
      <c r="BW41" s="39">
        <v>1</v>
      </c>
      <c r="BX41" s="39">
        <v>1</v>
      </c>
      <c r="BY41" s="39">
        <v>1</v>
      </c>
      <c r="BZ41" s="39">
        <v>1</v>
      </c>
      <c r="CA41" s="39">
        <v>1</v>
      </c>
      <c r="CB41" s="39">
        <v>1</v>
      </c>
      <c r="CC41" s="39">
        <v>1</v>
      </c>
      <c r="CD41" s="39">
        <v>1</v>
      </c>
      <c r="CE41" s="39">
        <v>1</v>
      </c>
      <c r="CF41" s="39">
        <v>1</v>
      </c>
      <c r="CG41" s="39">
        <v>1</v>
      </c>
      <c r="CH41" s="39">
        <v>1</v>
      </c>
      <c r="CI41" s="39">
        <v>1</v>
      </c>
      <c r="CJ41" s="39">
        <v>1</v>
      </c>
      <c r="CK41" s="39">
        <v>1</v>
      </c>
      <c r="CL41" s="39">
        <v>1</v>
      </c>
      <c r="CM41" s="39">
        <v>1</v>
      </c>
      <c r="CN41" s="39">
        <v>1</v>
      </c>
      <c r="CO41" s="39">
        <v>1</v>
      </c>
      <c r="CP41" s="39">
        <v>1</v>
      </c>
      <c r="CQ41" s="39">
        <v>1</v>
      </c>
      <c r="CR41" s="39">
        <v>1</v>
      </c>
      <c r="CS41" s="39">
        <v>1</v>
      </c>
      <c r="CT41" s="39">
        <v>1</v>
      </c>
      <c r="CU41" s="39">
        <v>1</v>
      </c>
      <c r="CV41" s="39">
        <v>1</v>
      </c>
      <c r="CW41" s="39">
        <v>1</v>
      </c>
      <c r="CX41" s="39">
        <v>1</v>
      </c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</row>
    <row r="42" spans="3:157">
      <c r="D42" t="s">
        <v>260</v>
      </c>
      <c r="F42" s="38" t="s">
        <v>41</v>
      </c>
      <c r="G42" s="39">
        <f>IFERROR(SUMIFS(Assumptions!BD$105:BD$135,Assumptions!$BB$105:$BB$135,'non-road'!$F42,Assumptions!$BC$105:$BC$135,'non-road'!$D42)/SUMIF(Assumptions!$BB$105:$BB$135,'non-road'!$F42,Assumptions!BD$105:BD$135),"")</f>
        <v>0</v>
      </c>
      <c r="H42" s="39">
        <f>IFERROR(SUMIFS(Assumptions!BE$105:BE$135,Assumptions!$BB$105:$BB$135,'non-road'!$F42,Assumptions!$BC$105:$BC$135,'non-road'!$D42)/SUMIF(Assumptions!$BB$105:$BB$135,'non-road'!$F42,Assumptions!BE$105:BE$135),"")</f>
        <v>0</v>
      </c>
      <c r="I42" s="39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9">
        <f>IFERROR(SUMIFS(Assumptions!BG$105:BG$135,Assumptions!$BB$105:$BB$135,'non-road'!$F42,Assumptions!$BC$105:$BC$135,'non-road'!$D42)/SUMIF(Assumptions!$BB$105:$BB$135,'non-road'!$F42,Assumptions!BG$105:BG$135),"")</f>
        <v>0</v>
      </c>
      <c r="K42" s="39">
        <f>IFERROR(SUMIFS(Assumptions!BH$105:BH$135,Assumptions!$BB$105:$BB$135,'non-road'!$F42,Assumptions!$BC$105:$BC$135,'non-road'!$D42)/SUMIF(Assumptions!$BB$105:$BB$135,'non-road'!$F42,Assumptions!BH$105:BH$135),"")</f>
        <v>0</v>
      </c>
      <c r="L42" s="39">
        <f>IFERROR(SUMIFS(Assumptions!BI$105:BI$135,Assumptions!$BB$105:$BB$135,'non-road'!$F42,Assumptions!$BC$105:$BC$135,'non-road'!$D42)/SUMIF(Assumptions!$BB$105:$BB$135,'non-road'!$F42,Assumptions!BI$105:BI$135),"")</f>
        <v>0</v>
      </c>
      <c r="M42" s="39">
        <f>IFERROR(SUMIFS(Assumptions!BJ$105:BJ$135,Assumptions!$BB$105:$BB$135,'non-road'!$F42,Assumptions!$BC$105:$BC$135,'non-road'!$D42)/SUMIF(Assumptions!$BB$105:$BB$135,'non-road'!$F42,Assumptions!BJ$105:BJ$135),"")</f>
        <v>0</v>
      </c>
      <c r="N42" s="39">
        <f>IFERROR(SUMIFS(Assumptions!BK$105:BK$135,Assumptions!$BB$105:$BB$135,'non-road'!$F42,Assumptions!$BC$105:$BC$135,'non-road'!$D42)/SUMIF(Assumptions!$BB$105:$BB$135,'non-road'!$F42,Assumptions!BK$105:BK$135),"")</f>
        <v>0</v>
      </c>
      <c r="O42" s="39">
        <f>IFERROR(SUMIFS(Assumptions!BL$105:BL$135,Assumptions!$BB$105:$BB$135,'non-road'!$F42,Assumptions!$BC$105:$BC$135,'non-road'!$D42)/SUMIF(Assumptions!$BB$105:$BB$135,'non-road'!$F42,Assumptions!BL$105:BL$135),"")</f>
        <v>0</v>
      </c>
      <c r="P42" s="39">
        <f>IFERROR(SUMIFS(Assumptions!BM$105:BM$135,Assumptions!$BB$105:$BB$135,'non-road'!$F42,Assumptions!$BC$105:$BC$135,'non-road'!$D42)/SUMIF(Assumptions!$BB$105:$BB$135,'non-road'!$F42,Assumptions!BM$105:BM$135),"")</f>
        <v>0</v>
      </c>
      <c r="Q42" s="39">
        <f>IFERROR(SUMIFS(Assumptions!BN$105:BN$135,Assumptions!$BB$105:$BB$135,'non-road'!$F42,Assumptions!$BC$105:$BC$135,'non-road'!$D42)/SUMIF(Assumptions!$BB$105:$BB$135,'non-road'!$F42,Assumptions!BN$105:BN$135),"")</f>
        <v>0</v>
      </c>
      <c r="R42" s="39">
        <f>IFERROR(SUMIFS(Assumptions!BO$105:BO$135,Assumptions!$BB$105:$BB$135,'non-road'!$F42,Assumptions!$BC$105:$BC$135,'non-road'!$D42)/SUMIF(Assumptions!$BB$105:$BB$135,'non-road'!$F42,Assumptions!BO$105:BO$135),"")</f>
        <v>0</v>
      </c>
      <c r="S42" s="39">
        <f>IFERROR(SUMIFS(Assumptions!BP$105:BP$135,Assumptions!$BB$105:$BB$135,'non-road'!$F42,Assumptions!$BC$105:$BC$135,'non-road'!$D42)/SUMIF(Assumptions!$BB$105:$BB$135,'non-road'!$F42,Assumptions!BP$105:BP$135),"")</f>
        <v>0</v>
      </c>
      <c r="T42" s="39">
        <f>IFERROR(SUMIFS(Assumptions!BQ$105:BQ$135,Assumptions!$BB$105:$BB$135,'non-road'!$F42,Assumptions!$BC$105:$BC$135,'non-road'!$D42)/SUMIF(Assumptions!$BB$105:$BB$135,'non-road'!$F42,Assumptions!BQ$105:BQ$135),"")</f>
        <v>0</v>
      </c>
      <c r="U42" s="39">
        <f>IFERROR(SUMIFS(Assumptions!BR$105:BR$135,Assumptions!$BB$105:$BB$135,'non-road'!$F42,Assumptions!$BC$105:$BC$135,'non-road'!$D42)/SUMIF(Assumptions!$BB$105:$BB$135,'non-road'!$F42,Assumptions!BR$105:BR$135),"")</f>
        <v>0</v>
      </c>
      <c r="V42" s="39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9">
        <f>IFERROR(SUMIFS(Assumptions!BT$105:BT$135,Assumptions!$BB$105:$BB$135,'non-road'!$F42,Assumptions!$BC$105:$BC$135,'non-road'!$D42)/SUMIF(Assumptions!$BB$105:$BB$135,'non-road'!$F42,Assumptions!BT$105:BT$135),"")</f>
        <v>0</v>
      </c>
      <c r="X42" s="39">
        <f>IFERROR(SUMIFS(Assumptions!BU$105:BU$135,Assumptions!$BB$105:$BB$135,'non-road'!$F42,Assumptions!$BC$105:$BC$135,'non-road'!$D42)/SUMIF(Assumptions!$BB$105:$BB$135,'non-road'!$F42,Assumptions!BU$105:BU$135),"")</f>
        <v>0</v>
      </c>
      <c r="Y42" s="39">
        <f>IFERROR(SUMIFS(Assumptions!BV$105:BV$135,Assumptions!$BB$105:$BB$135,'non-road'!$F42,Assumptions!$BC$105:$BC$135,'non-road'!$D42)/SUMIF(Assumptions!$BB$105:$BB$135,'non-road'!$F42,Assumptions!BV$105:BV$135),"")</f>
        <v>0</v>
      </c>
      <c r="Z42" s="39">
        <f>IFERROR(SUMIFS(Assumptions!BW$105:BW$135,Assumptions!$BB$105:$BB$135,'non-road'!$F42,Assumptions!$BC$105:$BC$135,'non-road'!$D42)/SUMIF(Assumptions!$BB$105:$BB$135,'non-road'!$F42,Assumptions!BW$105:BW$135),"")</f>
        <v>0</v>
      </c>
      <c r="AA42" s="39">
        <f>IFERROR(SUMIFS(Assumptions!BX$105:BX$135,Assumptions!$BB$105:$BB$135,'non-road'!$F42,Assumptions!$BC$105:$BC$135,'non-road'!$D42)/SUMIF(Assumptions!$BB$105:$BB$135,'non-road'!$F42,Assumptions!BX$105:BX$135),"")</f>
        <v>0</v>
      </c>
      <c r="AB42" s="39">
        <f>IFERROR(SUMIFS(Assumptions!BY$105:BY$135,Assumptions!$BB$105:$BB$135,'non-road'!$F42,Assumptions!$BC$105:$BC$135,'non-road'!$D42)/SUMIF(Assumptions!$BB$105:$BB$135,'non-road'!$F42,Assumptions!BY$105:BY$135),"")</f>
        <v>0</v>
      </c>
      <c r="AC42" s="39">
        <f>IFERROR(SUMIFS(Assumptions!BZ$105:BZ$135,Assumptions!$BB$105:$BB$135,'non-road'!$F42,Assumptions!$BC$105:$BC$135,'non-road'!$D42)/SUMIF(Assumptions!$BB$105:$BB$135,'non-road'!$F42,Assumptions!BZ$105:BZ$135),"")</f>
        <v>0</v>
      </c>
      <c r="AD42" s="39">
        <f>IFERROR(SUMIFS(Assumptions!CA$105:CA$135,Assumptions!$BB$105:$BB$135,'non-road'!$F42,Assumptions!$BC$105:$BC$135,'non-road'!$D42)/SUMIF(Assumptions!$BB$105:$BB$135,'non-road'!$F42,Assumptions!CA$105:CA$135),"")</f>
        <v>0</v>
      </c>
      <c r="AE42" s="39">
        <f>IFERROR(SUMIFS(Assumptions!CB$105:CB$135,Assumptions!$BB$105:$BB$135,'non-road'!$F42,Assumptions!$BC$105:$BC$135,'non-road'!$D42)/SUMIF(Assumptions!$BB$105:$BB$135,'non-road'!$F42,Assumptions!CB$105:CB$135),"")</f>
        <v>0</v>
      </c>
      <c r="AF42" s="39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9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9">
        <f>IFERROR(SUMIFS(Assumptions!CE$105:CE$135,Assumptions!$BB$105:$BB$135,'non-road'!$F42,Assumptions!$BC$105:$BC$135,'non-road'!$D42)/SUMIF(Assumptions!$BB$105:$BB$135,'non-road'!$F42,Assumptions!CE$105:CE$135),"")</f>
        <v>0</v>
      </c>
      <c r="AI42" s="39">
        <f>IFERROR(SUMIFS(Assumptions!CF$105:CF$135,Assumptions!$BB$105:$BB$135,'non-road'!$F42,Assumptions!$BC$105:$BC$135,'non-road'!$D42)/SUMIF(Assumptions!$BB$105:$BB$135,'non-road'!$F42,Assumptions!CF$105:CF$135),"")</f>
        <v>0</v>
      </c>
      <c r="AJ42" s="39">
        <f>IFERROR(SUMIFS(Assumptions!CG$105:CG$135,Assumptions!$BB$105:$BB$135,'non-road'!$F42,Assumptions!$BC$105:$BC$135,'non-road'!$D42)/SUMIF(Assumptions!$BB$105:$BB$135,'non-road'!$F42,Assumptions!CG$105:CG$135),"")</f>
        <v>0</v>
      </c>
      <c r="AK42" s="39">
        <f>IFERROR(SUMIFS(Assumptions!CH$105:CH$135,Assumptions!$BB$105:$BB$135,'non-road'!$F42,Assumptions!$BC$105:$BC$135,'non-road'!$D42)/SUMIF(Assumptions!$BB$105:$BB$135,'non-road'!$F42,Assumptions!CH$105:CH$135),"")</f>
        <v>0</v>
      </c>
      <c r="AL42" s="39">
        <f>IFERROR(SUMIFS(Assumptions!CI$105:CI$135,Assumptions!$BB$105:$BB$135,'non-road'!$F42,Assumptions!$BC$105:$BC$135,'non-road'!$D42)/SUMIF(Assumptions!$BB$105:$BB$135,'non-road'!$F42,Assumptions!CI$105:CI$135),"")</f>
        <v>0</v>
      </c>
      <c r="AM42" s="39">
        <f>IFERROR(SUMIFS(Assumptions!CJ$105:CJ$135,Assumptions!$BB$105:$BB$135,'non-road'!$F42,Assumptions!$BC$105:$BC$135,'non-road'!$D42)/SUMIF(Assumptions!$BB$105:$BB$135,'non-road'!$F42,Assumptions!CJ$105:CJ$135),"")</f>
        <v>0</v>
      </c>
      <c r="AN42" s="39">
        <f>IFERROR(SUMIFS(Assumptions!CK$105:CK$135,Assumptions!$BB$105:$BB$135,'non-road'!$F42,Assumptions!$BC$105:$BC$135,'non-road'!$D42)/SUMIF(Assumptions!$BB$105:$BB$135,'non-road'!$F42,Assumptions!CK$105:CK$135),"")</f>
        <v>0</v>
      </c>
      <c r="AO42" s="39">
        <f>IFERROR(SUMIFS(Assumptions!CL$105:CL$135,Assumptions!$BB$105:$BB$135,'non-road'!$F42,Assumptions!$BC$105:$BC$135,'non-road'!$D42)/SUMIF(Assumptions!$BB$105:$BB$135,'non-road'!$F42,Assumptions!CL$105:CL$135),"")</f>
        <v>0</v>
      </c>
      <c r="AP42" s="39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9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9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9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9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9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9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9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9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9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9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8"/>
      <c r="CZ42" s="38"/>
      <c r="DA42" s="38"/>
      <c r="DB42" s="38"/>
      <c r="DC42" s="38"/>
      <c r="DD42" s="38"/>
      <c r="DE42" s="38"/>
      <c r="DF42" s="38"/>
      <c r="DG42" s="38"/>
      <c r="DH42" s="38"/>
      <c r="DI42" s="38"/>
      <c r="DJ42" s="38"/>
      <c r="DK42" s="38"/>
      <c r="DL42" s="38"/>
      <c r="DM42" s="38"/>
      <c r="DN42" s="38"/>
      <c r="DO42" s="38"/>
      <c r="DP42" s="38"/>
      <c r="DQ42" s="38"/>
      <c r="DR42" s="38"/>
      <c r="DS42" s="38"/>
      <c r="DT42" s="38"/>
      <c r="DU42" s="38"/>
      <c r="DV42" s="38"/>
      <c r="DW42" s="38"/>
      <c r="DX42" s="38"/>
      <c r="DY42" s="38"/>
      <c r="DZ42" s="38"/>
      <c r="EA42" s="38"/>
      <c r="EB42" s="38"/>
      <c r="EC42" s="38"/>
      <c r="ED42" s="38"/>
      <c r="EE42" s="38"/>
      <c r="EF42" s="38"/>
      <c r="EG42" s="38"/>
      <c r="EH42" s="38"/>
      <c r="EI42" s="38"/>
      <c r="EJ42" s="38"/>
      <c r="EK42" s="38"/>
      <c r="EL42" s="38"/>
      <c r="EM42" s="38"/>
      <c r="EN42" s="38"/>
      <c r="EO42" s="38"/>
      <c r="EP42" s="38"/>
      <c r="EQ42" s="38"/>
      <c r="ER42" s="38"/>
      <c r="ES42" s="38"/>
      <c r="ET42" s="38"/>
      <c r="EU42" s="38"/>
      <c r="EV42" s="38"/>
    </row>
    <row r="43" spans="3:157">
      <c r="D43" t="s">
        <v>46</v>
      </c>
      <c r="F43" s="38" t="s">
        <v>41</v>
      </c>
      <c r="G43" s="39">
        <f>IFERROR(SUMIFS(Assumptions!BD$105:BD$135,Assumptions!$BB$105:$BB$135,'non-road'!$F43,Assumptions!$BC$105:$BC$135,'non-road'!$D43)/SUMIF(Assumptions!$BB$105:$BB$135,'non-road'!$F43,Assumptions!BD$105:BD$135),"")</f>
        <v>0</v>
      </c>
      <c r="H43" s="39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9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9">
        <f>IFERROR(SUMIFS(Assumptions!BG$105:BG$135,Assumptions!$BB$105:$BB$135,'non-road'!$F43,Assumptions!$BC$105:$BC$135,'non-road'!$D43)/SUMIF(Assumptions!$BB$105:$BB$135,'non-road'!$F43,Assumptions!BG$105:BG$135),"")</f>
        <v>0</v>
      </c>
      <c r="K43" s="39">
        <f>IFERROR(SUMIFS(Assumptions!BH$105:BH$135,Assumptions!$BB$105:$BB$135,'non-road'!$F43,Assumptions!$BC$105:$BC$135,'non-road'!$D43)/SUMIF(Assumptions!$BB$105:$BB$135,'non-road'!$F43,Assumptions!BH$105:BH$135),"")</f>
        <v>0</v>
      </c>
      <c r="L43" s="39">
        <f>IFERROR(SUMIFS(Assumptions!BI$105:BI$135,Assumptions!$BB$105:$BB$135,'non-road'!$F43,Assumptions!$BC$105:$BC$135,'non-road'!$D43)/SUMIF(Assumptions!$BB$105:$BB$135,'non-road'!$F43,Assumptions!BI$105:BI$135),"")</f>
        <v>0</v>
      </c>
      <c r="M43" s="39">
        <f>IFERROR(SUMIFS(Assumptions!BJ$105:BJ$135,Assumptions!$BB$105:$BB$135,'non-road'!$F43,Assumptions!$BC$105:$BC$135,'non-road'!$D43)/SUMIF(Assumptions!$BB$105:$BB$135,'non-road'!$F43,Assumptions!BJ$105:BJ$135),"")</f>
        <v>0</v>
      </c>
      <c r="N43" s="39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9">
        <f>IFERROR(SUMIFS(Assumptions!BL$105:BL$135,Assumptions!$BB$105:$BB$135,'non-road'!$F43,Assumptions!$BC$105:$BC$135,'non-road'!$D43)/SUMIF(Assumptions!$BB$105:$BB$135,'non-road'!$F43,Assumptions!BL$105:BL$135),"")</f>
        <v>0</v>
      </c>
      <c r="P43" s="39">
        <f>IFERROR(SUMIFS(Assumptions!BM$105:BM$135,Assumptions!$BB$105:$BB$135,'non-road'!$F43,Assumptions!$BC$105:$BC$135,'non-road'!$D43)/SUMIF(Assumptions!$BB$105:$BB$135,'non-road'!$F43,Assumptions!BM$105:BM$135),"")</f>
        <v>0</v>
      </c>
      <c r="Q43" s="39">
        <f>IFERROR(SUMIFS(Assumptions!BN$105:BN$135,Assumptions!$BB$105:$BB$135,'non-road'!$F43,Assumptions!$BC$105:$BC$135,'non-road'!$D43)/SUMIF(Assumptions!$BB$105:$BB$135,'non-road'!$F43,Assumptions!BN$105:BN$135),"")</f>
        <v>0</v>
      </c>
      <c r="R43" s="39">
        <f>IFERROR(SUMIFS(Assumptions!BO$105:BO$135,Assumptions!$BB$105:$BB$135,'non-road'!$F43,Assumptions!$BC$105:$BC$135,'non-road'!$D43)/SUMIF(Assumptions!$BB$105:$BB$135,'non-road'!$F43,Assumptions!BO$105:BO$135),"")</f>
        <v>0</v>
      </c>
      <c r="S43" s="39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9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9">
        <f>IFERROR(SUMIFS(Assumptions!BR$105:BR$135,Assumptions!$BB$105:$BB$135,'non-road'!$F43,Assumptions!$BC$105:$BC$135,'non-road'!$D43)/SUMIF(Assumptions!$BB$105:$BB$135,'non-road'!$F43,Assumptions!BR$105:BR$135),"")</f>
        <v>0</v>
      </c>
      <c r="V43" s="39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9">
        <f>IFERROR(SUMIFS(Assumptions!BT$105:BT$135,Assumptions!$BB$105:$BB$135,'non-road'!$F43,Assumptions!$BC$105:$BC$135,'non-road'!$D43)/SUMIF(Assumptions!$BB$105:$BB$135,'non-road'!$F43,Assumptions!BT$105:BT$135),"")</f>
        <v>0</v>
      </c>
      <c r="X43" s="39">
        <f>IFERROR(SUMIFS(Assumptions!BU$105:BU$135,Assumptions!$BB$105:$BB$135,'non-road'!$F43,Assumptions!$BC$105:$BC$135,'non-road'!$D43)/SUMIF(Assumptions!$BB$105:$BB$135,'non-road'!$F43,Assumptions!BU$105:BU$135),"")</f>
        <v>0</v>
      </c>
      <c r="Y43" s="39">
        <f>IFERROR(SUMIFS(Assumptions!BV$105:BV$135,Assumptions!$BB$105:$BB$135,'non-road'!$F43,Assumptions!$BC$105:$BC$135,'non-road'!$D43)/SUMIF(Assumptions!$BB$105:$BB$135,'non-road'!$F43,Assumptions!BV$105:BV$135),"")</f>
        <v>0</v>
      </c>
      <c r="Z43" s="39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9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9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9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9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9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9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9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9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9">
        <f>IFERROR(SUMIFS(Assumptions!CF$105:CF$135,Assumptions!$BB$105:$BB$135,'non-road'!$F43,Assumptions!$BC$105:$BC$135,'non-road'!$D43)/SUMIF(Assumptions!$BB$105:$BB$135,'non-road'!$F43,Assumptions!CF$105:CF$135),"")</f>
        <v>0</v>
      </c>
      <c r="AJ43" s="39">
        <f>IFERROR(SUMIFS(Assumptions!CG$105:CG$135,Assumptions!$BB$105:$BB$135,'non-road'!$F43,Assumptions!$BC$105:$BC$135,'non-road'!$D43)/SUMIF(Assumptions!$BB$105:$BB$135,'non-road'!$F43,Assumptions!CG$105:CG$135),"")</f>
        <v>0</v>
      </c>
      <c r="AK43" s="39">
        <f>IFERROR(SUMIFS(Assumptions!CH$105:CH$135,Assumptions!$BB$105:$BB$135,'non-road'!$F43,Assumptions!$BC$105:$BC$135,'non-road'!$D43)/SUMIF(Assumptions!$BB$105:$BB$135,'non-road'!$F43,Assumptions!CH$105:CH$135),"")</f>
        <v>0</v>
      </c>
      <c r="AL43" s="39">
        <f>IFERROR(SUMIFS(Assumptions!CI$105:CI$135,Assumptions!$BB$105:$BB$135,'non-road'!$F43,Assumptions!$BC$105:$BC$135,'non-road'!$D43)/SUMIF(Assumptions!$BB$105:$BB$135,'non-road'!$F43,Assumptions!CI$105:CI$135),"")</f>
        <v>0</v>
      </c>
      <c r="AM43" s="39">
        <f>IFERROR(SUMIFS(Assumptions!CJ$105:CJ$135,Assumptions!$BB$105:$BB$135,'non-road'!$F43,Assumptions!$BC$105:$BC$135,'non-road'!$D43)/SUMIF(Assumptions!$BB$105:$BB$135,'non-road'!$F43,Assumptions!CJ$105:CJ$135),"")</f>
        <v>0</v>
      </c>
      <c r="AN43" s="39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9">
        <f>IFERROR(SUMIFS(Assumptions!CL$105:CL$135,Assumptions!$BB$105:$BB$135,'non-road'!$F43,Assumptions!$BC$105:$BC$135,'non-road'!$D43)/SUMIF(Assumptions!$BB$105:$BB$135,'non-road'!$F43,Assumptions!CL$105:CL$135),"")</f>
        <v>0</v>
      </c>
      <c r="AP43" s="39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9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9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9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9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9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9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9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9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9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9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8"/>
      <c r="CZ43" s="38"/>
      <c r="DA43" s="38"/>
      <c r="DB43" s="38"/>
      <c r="DC43" s="38"/>
      <c r="DD43" s="38"/>
      <c r="DE43" s="38"/>
      <c r="DF43" s="38"/>
      <c r="DG43" s="38"/>
      <c r="DH43" s="38"/>
      <c r="DI43" s="38"/>
      <c r="DJ43" s="38"/>
      <c r="DK43" s="38"/>
      <c r="DL43" s="38"/>
      <c r="DM43" s="38"/>
      <c r="DN43" s="38"/>
      <c r="DO43" s="38"/>
      <c r="DP43" s="38"/>
      <c r="DQ43" s="38"/>
      <c r="DR43" s="38"/>
      <c r="DS43" s="38"/>
      <c r="DT43" s="38"/>
      <c r="DU43" s="38"/>
      <c r="DV43" s="38"/>
      <c r="DW43" s="38"/>
      <c r="DX43" s="38"/>
      <c r="DY43" s="38"/>
      <c r="DZ43" s="38"/>
      <c r="EA43" s="38"/>
      <c r="EB43" s="38"/>
      <c r="EC43" s="38"/>
      <c r="ED43" s="38"/>
      <c r="EE43" s="38"/>
      <c r="EF43" s="38"/>
      <c r="EG43" s="38"/>
      <c r="EH43" s="38"/>
      <c r="EI43" s="38"/>
      <c r="EJ43" s="38"/>
      <c r="EK43" s="38"/>
      <c r="EL43" s="38"/>
      <c r="EM43" s="38"/>
      <c r="EN43" s="38"/>
      <c r="EO43" s="38"/>
      <c r="EP43" s="38"/>
      <c r="EQ43" s="38"/>
      <c r="ER43" s="38"/>
      <c r="ES43" s="38"/>
      <c r="ET43" s="38"/>
      <c r="EU43" s="38"/>
      <c r="EV43" s="38"/>
    </row>
    <row r="44" spans="3:157">
      <c r="D44" t="s">
        <v>263</v>
      </c>
      <c r="F44" s="38" t="s">
        <v>41</v>
      </c>
      <c r="G44" s="39">
        <f>IFERROR(SUMIFS(Assumptions!BD$105:BD$135,Assumptions!$BB$105:$BB$135,'non-road'!$F44,Assumptions!$BC$105:$BC$135,'non-road'!$D44)/SUMIF(Assumptions!$BB$105:$BB$135,'non-road'!$F44,Assumptions!BD$105:BD$135),"")</f>
        <v>0</v>
      </c>
      <c r="H44" s="39">
        <f>IFERROR(SUMIFS(Assumptions!BE$105:BE$135,Assumptions!$BB$105:$BB$135,'non-road'!$F44,Assumptions!$BC$105:$BC$135,'non-road'!$D44)/SUMIF(Assumptions!$BB$105:$BB$135,'non-road'!$F44,Assumptions!BE$105:BE$135),"")</f>
        <v>0</v>
      </c>
      <c r="I44" s="39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9">
        <f>IFERROR(SUMIFS(Assumptions!BG$105:BG$135,Assumptions!$BB$105:$BB$135,'non-road'!$F44,Assumptions!$BC$105:$BC$135,'non-road'!$D44)/SUMIF(Assumptions!$BB$105:$BB$135,'non-road'!$F44,Assumptions!BG$105:BG$135),"")</f>
        <v>0</v>
      </c>
      <c r="K44" s="39">
        <f>IFERROR(SUMIFS(Assumptions!BH$105:BH$135,Assumptions!$BB$105:$BB$135,'non-road'!$F44,Assumptions!$BC$105:$BC$135,'non-road'!$D44)/SUMIF(Assumptions!$BB$105:$BB$135,'non-road'!$F44,Assumptions!BH$105:BH$135),"")</f>
        <v>0</v>
      </c>
      <c r="L44" s="39">
        <f>IFERROR(SUMIFS(Assumptions!BI$105:BI$135,Assumptions!$BB$105:$BB$135,'non-road'!$F44,Assumptions!$BC$105:$BC$135,'non-road'!$D44)/SUMIF(Assumptions!$BB$105:$BB$135,'non-road'!$F44,Assumptions!BI$105:BI$135),"")</f>
        <v>0</v>
      </c>
      <c r="M44" s="39">
        <f>IFERROR(SUMIFS(Assumptions!BJ$105:BJ$135,Assumptions!$BB$105:$BB$135,'non-road'!$F44,Assumptions!$BC$105:$BC$135,'non-road'!$D44)/SUMIF(Assumptions!$BB$105:$BB$135,'non-road'!$F44,Assumptions!BJ$105:BJ$135),"")</f>
        <v>0</v>
      </c>
      <c r="N44" s="39">
        <f>IFERROR(SUMIFS(Assumptions!BK$105:BK$135,Assumptions!$BB$105:$BB$135,'non-road'!$F44,Assumptions!$BC$105:$BC$135,'non-road'!$D44)/SUMIF(Assumptions!$BB$105:$BB$135,'non-road'!$F44,Assumptions!BK$105:BK$135),"")</f>
        <v>0</v>
      </c>
      <c r="O44" s="39">
        <f>IFERROR(SUMIFS(Assumptions!BL$105:BL$135,Assumptions!$BB$105:$BB$135,'non-road'!$F44,Assumptions!$BC$105:$BC$135,'non-road'!$D44)/SUMIF(Assumptions!$BB$105:$BB$135,'non-road'!$F44,Assumptions!BL$105:BL$135),"")</f>
        <v>0</v>
      </c>
      <c r="P44" s="39">
        <f>IFERROR(SUMIFS(Assumptions!BM$105:BM$135,Assumptions!$BB$105:$BB$135,'non-road'!$F44,Assumptions!$BC$105:$BC$135,'non-road'!$D44)/SUMIF(Assumptions!$BB$105:$BB$135,'non-road'!$F44,Assumptions!BM$105:BM$135),"")</f>
        <v>0</v>
      </c>
      <c r="Q44" s="39">
        <f>IFERROR(SUMIFS(Assumptions!BN$105:BN$135,Assumptions!$BB$105:$BB$135,'non-road'!$F44,Assumptions!$BC$105:$BC$135,'non-road'!$D44)/SUMIF(Assumptions!$BB$105:$BB$135,'non-road'!$F44,Assumptions!BN$105:BN$135),"")</f>
        <v>0</v>
      </c>
      <c r="R44" s="39">
        <f>IFERROR(SUMIFS(Assumptions!BO$105:BO$135,Assumptions!$BB$105:$BB$135,'non-road'!$F44,Assumptions!$BC$105:$BC$135,'non-road'!$D44)/SUMIF(Assumptions!$BB$105:$BB$135,'non-road'!$F44,Assumptions!BO$105:BO$135),"")</f>
        <v>0</v>
      </c>
      <c r="S44" s="39">
        <f>IFERROR(SUMIFS(Assumptions!BP$105:BP$135,Assumptions!$BB$105:$BB$135,'non-road'!$F44,Assumptions!$BC$105:$BC$135,'non-road'!$D44)/SUMIF(Assumptions!$BB$105:$BB$135,'non-road'!$F44,Assumptions!BP$105:BP$135),"")</f>
        <v>0</v>
      </c>
      <c r="T44" s="39">
        <f>IFERROR(SUMIFS(Assumptions!BQ$105:BQ$135,Assumptions!$BB$105:$BB$135,'non-road'!$F44,Assumptions!$BC$105:$BC$135,'non-road'!$D44)/SUMIF(Assumptions!$BB$105:$BB$135,'non-road'!$F44,Assumptions!BQ$105:BQ$135),"")</f>
        <v>0</v>
      </c>
      <c r="U44" s="39">
        <f>IFERROR(SUMIFS(Assumptions!BR$105:BR$135,Assumptions!$BB$105:$BB$135,'non-road'!$F44,Assumptions!$BC$105:$BC$135,'non-road'!$D44)/SUMIF(Assumptions!$BB$105:$BB$135,'non-road'!$F44,Assumptions!BR$105:BR$135),"")</f>
        <v>0</v>
      </c>
      <c r="V44" s="39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9">
        <f>IFERROR(SUMIFS(Assumptions!BT$105:BT$135,Assumptions!$BB$105:$BB$135,'non-road'!$F44,Assumptions!$BC$105:$BC$135,'non-road'!$D44)/SUMIF(Assumptions!$BB$105:$BB$135,'non-road'!$F44,Assumptions!BT$105:BT$135),"")</f>
        <v>0</v>
      </c>
      <c r="X44" s="39">
        <f>IFERROR(SUMIFS(Assumptions!BU$105:BU$135,Assumptions!$BB$105:$BB$135,'non-road'!$F44,Assumptions!$BC$105:$BC$135,'non-road'!$D44)/SUMIF(Assumptions!$BB$105:$BB$135,'non-road'!$F44,Assumptions!BU$105:BU$135),"")</f>
        <v>0</v>
      </c>
      <c r="Y44" s="39">
        <f>IFERROR(SUMIFS(Assumptions!BV$105:BV$135,Assumptions!$BB$105:$BB$135,'non-road'!$F44,Assumptions!$BC$105:$BC$135,'non-road'!$D44)/SUMIF(Assumptions!$BB$105:$BB$135,'non-road'!$F44,Assumptions!BV$105:BV$135),"")</f>
        <v>0</v>
      </c>
      <c r="Z44" s="39">
        <f>IFERROR(SUMIFS(Assumptions!BW$105:BW$135,Assumptions!$BB$105:$BB$135,'non-road'!$F44,Assumptions!$BC$105:$BC$135,'non-road'!$D44)/SUMIF(Assumptions!$BB$105:$BB$135,'non-road'!$F44,Assumptions!BW$105:BW$135),"")</f>
        <v>0</v>
      </c>
      <c r="AA44" s="39">
        <f>IFERROR(SUMIFS(Assumptions!BX$105:BX$135,Assumptions!$BB$105:$BB$135,'non-road'!$F44,Assumptions!$BC$105:$BC$135,'non-road'!$D44)/SUMIF(Assumptions!$BB$105:$BB$135,'non-road'!$F44,Assumptions!BX$105:BX$135),"")</f>
        <v>0</v>
      </c>
      <c r="AB44" s="39">
        <f>IFERROR(SUMIFS(Assumptions!BY$105:BY$135,Assumptions!$BB$105:$BB$135,'non-road'!$F44,Assumptions!$BC$105:$BC$135,'non-road'!$D44)/SUMIF(Assumptions!$BB$105:$BB$135,'non-road'!$F44,Assumptions!BY$105:BY$135),"")</f>
        <v>0</v>
      </c>
      <c r="AC44" s="39">
        <f>IFERROR(SUMIFS(Assumptions!BZ$105:BZ$135,Assumptions!$BB$105:$BB$135,'non-road'!$F44,Assumptions!$BC$105:$BC$135,'non-road'!$D44)/SUMIF(Assumptions!$BB$105:$BB$135,'non-road'!$F44,Assumptions!BZ$105:BZ$135),"")</f>
        <v>0</v>
      </c>
      <c r="AD44" s="39">
        <f>IFERROR(SUMIFS(Assumptions!CA$105:CA$135,Assumptions!$BB$105:$BB$135,'non-road'!$F44,Assumptions!$BC$105:$BC$135,'non-road'!$D44)/SUMIF(Assumptions!$BB$105:$BB$135,'non-road'!$F44,Assumptions!CA$105:CA$135),"")</f>
        <v>0</v>
      </c>
      <c r="AE44" s="39">
        <f>IFERROR(SUMIFS(Assumptions!CB$105:CB$135,Assumptions!$BB$105:$BB$135,'non-road'!$F44,Assumptions!$BC$105:$BC$135,'non-road'!$D44)/SUMIF(Assumptions!$BB$105:$BB$135,'non-road'!$F44,Assumptions!CB$105:CB$135),"")</f>
        <v>0</v>
      </c>
      <c r="AF44" s="39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9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9">
        <f>IFERROR(SUMIFS(Assumptions!CE$105:CE$135,Assumptions!$BB$105:$BB$135,'non-road'!$F44,Assumptions!$BC$105:$BC$135,'non-road'!$D44)/SUMIF(Assumptions!$BB$105:$BB$135,'non-road'!$F44,Assumptions!CE$105:CE$135),"")</f>
        <v>0</v>
      </c>
      <c r="AI44" s="39">
        <f>IFERROR(SUMIFS(Assumptions!CF$105:CF$135,Assumptions!$BB$105:$BB$135,'non-road'!$F44,Assumptions!$BC$105:$BC$135,'non-road'!$D44)/SUMIF(Assumptions!$BB$105:$BB$135,'non-road'!$F44,Assumptions!CF$105:CF$135),"")</f>
        <v>0</v>
      </c>
      <c r="AJ44" s="39">
        <f>IFERROR(SUMIFS(Assumptions!CG$105:CG$135,Assumptions!$BB$105:$BB$135,'non-road'!$F44,Assumptions!$BC$105:$BC$135,'non-road'!$D44)/SUMIF(Assumptions!$BB$105:$BB$135,'non-road'!$F44,Assumptions!CG$105:CG$135),"")</f>
        <v>0</v>
      </c>
      <c r="AK44" s="39">
        <f>IFERROR(SUMIFS(Assumptions!CH$105:CH$135,Assumptions!$BB$105:$BB$135,'non-road'!$F44,Assumptions!$BC$105:$BC$135,'non-road'!$D44)/SUMIF(Assumptions!$BB$105:$BB$135,'non-road'!$F44,Assumptions!CH$105:CH$135),"")</f>
        <v>0</v>
      </c>
      <c r="AL44" s="39">
        <f>IFERROR(SUMIFS(Assumptions!CI$105:CI$135,Assumptions!$BB$105:$BB$135,'non-road'!$F44,Assumptions!$BC$105:$BC$135,'non-road'!$D44)/SUMIF(Assumptions!$BB$105:$BB$135,'non-road'!$F44,Assumptions!CI$105:CI$135),"")</f>
        <v>0</v>
      </c>
      <c r="AM44" s="39">
        <f>IFERROR(SUMIFS(Assumptions!CJ$105:CJ$135,Assumptions!$BB$105:$BB$135,'non-road'!$F44,Assumptions!$BC$105:$BC$135,'non-road'!$D44)/SUMIF(Assumptions!$BB$105:$BB$135,'non-road'!$F44,Assumptions!CJ$105:CJ$135),"")</f>
        <v>0</v>
      </c>
      <c r="AN44" s="39">
        <f>IFERROR(SUMIFS(Assumptions!CK$105:CK$135,Assumptions!$BB$105:$BB$135,'non-road'!$F44,Assumptions!$BC$105:$BC$135,'non-road'!$D44)/SUMIF(Assumptions!$BB$105:$BB$135,'non-road'!$F44,Assumptions!CK$105:CK$135),"")</f>
        <v>0</v>
      </c>
      <c r="AO44" s="39">
        <f>IFERROR(SUMIFS(Assumptions!CL$105:CL$135,Assumptions!$BB$105:$BB$135,'non-road'!$F44,Assumptions!$BC$105:$BC$135,'non-road'!$D44)/SUMIF(Assumptions!$BB$105:$BB$135,'non-road'!$F44,Assumptions!CL$105:CL$135),"")</f>
        <v>0</v>
      </c>
      <c r="AP44" s="39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9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9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9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9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9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9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9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9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9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9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8"/>
      <c r="CZ44" s="38"/>
      <c r="DA44" s="38"/>
      <c r="DB44" s="38"/>
      <c r="DC44" s="38"/>
      <c r="DD44" s="38"/>
      <c r="DE44" s="38"/>
      <c r="DF44" s="38"/>
      <c r="DG44" s="38"/>
      <c r="DH44" s="38"/>
      <c r="DI44" s="38"/>
      <c r="DJ44" s="38"/>
      <c r="DK44" s="38"/>
      <c r="DL44" s="38"/>
      <c r="DM44" s="38"/>
      <c r="DN44" s="38"/>
      <c r="DO44" s="38"/>
      <c r="DP44" s="38"/>
      <c r="DQ44" s="38"/>
      <c r="DR44" s="38"/>
      <c r="DS44" s="38"/>
      <c r="DT44" s="38"/>
      <c r="DU44" s="38"/>
      <c r="DV44" s="38"/>
      <c r="DW44" s="38"/>
      <c r="DX44" s="38"/>
      <c r="DY44" s="38"/>
      <c r="DZ44" s="38"/>
      <c r="EA44" s="38"/>
      <c r="EB44" s="38"/>
      <c r="EC44" s="38"/>
      <c r="ED44" s="38"/>
      <c r="EE44" s="38"/>
      <c r="EF44" s="38"/>
      <c r="EG44" s="38"/>
      <c r="EH44" s="38"/>
      <c r="EI44" s="38"/>
      <c r="EJ44" s="38"/>
      <c r="EK44" s="38"/>
      <c r="EL44" s="38"/>
      <c r="EM44" s="38"/>
      <c r="EN44" s="38"/>
      <c r="EO44" s="38"/>
      <c r="EP44" s="38"/>
      <c r="EQ44" s="38"/>
      <c r="ER44" s="38"/>
      <c r="ES44" s="38"/>
      <c r="ET44" s="38"/>
      <c r="EU44" s="38"/>
      <c r="EV44" s="38"/>
    </row>
    <row r="45" spans="3:157">
      <c r="D45" t="s">
        <v>50</v>
      </c>
      <c r="F45" s="38" t="s">
        <v>41</v>
      </c>
      <c r="G45" s="39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9">
        <f>IFERROR(SUMIFS(Assumptions!BE$105:BE$135,Assumptions!$BB$105:$BB$135,'non-road'!$F45,Assumptions!$BC$105:$BC$135,'non-road'!$D45)/SUMIF(Assumptions!$BB$105:$BB$135,'non-road'!$F45,Assumptions!BE$105:BE$135),"")</f>
        <v>0</v>
      </c>
      <c r="I45" s="39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9">
        <f>IFERROR(SUMIFS(Assumptions!BG$105:BG$135,Assumptions!$BB$105:$BB$135,'non-road'!$F45,Assumptions!$BC$105:$BC$135,'non-road'!$D45)/SUMIF(Assumptions!$BB$105:$BB$135,'non-road'!$F45,Assumptions!BG$105:BG$135),"")</f>
        <v>0</v>
      </c>
      <c r="K45" s="39">
        <f>IFERROR(SUMIFS(Assumptions!BH$105:BH$135,Assumptions!$BB$105:$BB$135,'non-road'!$F45,Assumptions!$BC$105:$BC$135,'non-road'!$D45)/SUMIF(Assumptions!$BB$105:$BB$135,'non-road'!$F45,Assumptions!BH$105:BH$135),"")</f>
        <v>0</v>
      </c>
      <c r="L45" s="39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9">
        <f>IFERROR(SUMIFS(Assumptions!BJ$105:BJ$135,Assumptions!$BB$105:$BB$135,'non-road'!$F45,Assumptions!$BC$105:$BC$135,'non-road'!$D45)/SUMIF(Assumptions!$BB$105:$BB$135,'non-road'!$F45,Assumptions!BJ$105:BJ$135),"")</f>
        <v>0</v>
      </c>
      <c r="N45" s="39">
        <f>IFERROR(SUMIFS(Assumptions!BK$105:BK$135,Assumptions!$BB$105:$BB$135,'non-road'!$F45,Assumptions!$BC$105:$BC$135,'non-road'!$D45)/SUMIF(Assumptions!$BB$105:$BB$135,'non-road'!$F45,Assumptions!BK$105:BK$135),"")</f>
        <v>0</v>
      </c>
      <c r="O45" s="39">
        <f>IFERROR(SUMIFS(Assumptions!BL$105:BL$135,Assumptions!$BB$105:$BB$135,'non-road'!$F45,Assumptions!$BC$105:$BC$135,'non-road'!$D45)/SUMIF(Assumptions!$BB$105:$BB$135,'non-road'!$F45,Assumptions!BL$105:BL$135),"")</f>
        <v>0</v>
      </c>
      <c r="P45" s="39">
        <f>IFERROR(SUMIFS(Assumptions!BM$105:BM$135,Assumptions!$BB$105:$BB$135,'non-road'!$F45,Assumptions!$BC$105:$BC$135,'non-road'!$D45)/SUMIF(Assumptions!$BB$105:$BB$135,'non-road'!$F45,Assumptions!BM$105:BM$135),"")</f>
        <v>0</v>
      </c>
      <c r="Q45" s="39">
        <f>IFERROR(SUMIFS(Assumptions!BN$105:BN$135,Assumptions!$BB$105:$BB$135,'non-road'!$F45,Assumptions!$BC$105:$BC$135,'non-road'!$D45)/SUMIF(Assumptions!$BB$105:$BB$135,'non-road'!$F45,Assumptions!BN$105:BN$135),"")</f>
        <v>0</v>
      </c>
      <c r="R45" s="39">
        <f>IFERROR(SUMIFS(Assumptions!BO$105:BO$135,Assumptions!$BB$105:$BB$135,'non-road'!$F45,Assumptions!$BC$105:$BC$135,'non-road'!$D45)/SUMIF(Assumptions!$BB$105:$BB$135,'non-road'!$F45,Assumptions!BO$105:BO$135),"")</f>
        <v>0</v>
      </c>
      <c r="S45" s="39">
        <f>IFERROR(SUMIFS(Assumptions!BP$105:BP$135,Assumptions!$BB$105:$BB$135,'non-road'!$F45,Assumptions!$BC$105:$BC$135,'non-road'!$D45)/SUMIF(Assumptions!$BB$105:$BB$135,'non-road'!$F45,Assumptions!BP$105:BP$135),"")</f>
        <v>0</v>
      </c>
      <c r="T45" s="39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9">
        <f>IFERROR(SUMIFS(Assumptions!BR$105:BR$135,Assumptions!$BB$105:$BB$135,'non-road'!$F45,Assumptions!$BC$105:$BC$135,'non-road'!$D45)/SUMIF(Assumptions!$BB$105:$BB$135,'non-road'!$F45,Assumptions!BR$105:BR$135),"")</f>
        <v>0</v>
      </c>
      <c r="V45" s="39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9">
        <f>IFERROR(SUMIFS(Assumptions!BT$105:BT$135,Assumptions!$BB$105:$BB$135,'non-road'!$F45,Assumptions!$BC$105:$BC$135,'non-road'!$D45)/SUMIF(Assumptions!$BB$105:$BB$135,'non-road'!$F45,Assumptions!BT$105:BT$135),"")</f>
        <v>0</v>
      </c>
      <c r="X45" s="39">
        <f>IFERROR(SUMIFS(Assumptions!BU$105:BU$135,Assumptions!$BB$105:$BB$135,'non-road'!$F45,Assumptions!$BC$105:$BC$135,'non-road'!$D45)/SUMIF(Assumptions!$BB$105:$BB$135,'non-road'!$F45,Assumptions!BU$105:BU$135),"")</f>
        <v>0</v>
      </c>
      <c r="Y45" s="39">
        <f>IFERROR(SUMIFS(Assumptions!BV$105:BV$135,Assumptions!$BB$105:$BB$135,'non-road'!$F45,Assumptions!$BC$105:$BC$135,'non-road'!$D45)/SUMIF(Assumptions!$BB$105:$BB$135,'non-road'!$F45,Assumptions!BV$105:BV$135),"")</f>
        <v>0</v>
      </c>
      <c r="Z45" s="39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9">
        <f>IFERROR(SUMIFS(Assumptions!BX$105:BX$135,Assumptions!$BB$105:$BB$135,'non-road'!$F45,Assumptions!$BC$105:$BC$135,'non-road'!$D45)/SUMIF(Assumptions!$BB$105:$BB$135,'non-road'!$F45,Assumptions!BX$105:BX$135),"")</f>
        <v>0</v>
      </c>
      <c r="AB45" s="39">
        <f>IFERROR(SUMIFS(Assumptions!BY$105:BY$135,Assumptions!$BB$105:$BB$135,'non-road'!$F45,Assumptions!$BC$105:$BC$135,'non-road'!$D45)/SUMIF(Assumptions!$BB$105:$BB$135,'non-road'!$F45,Assumptions!BY$105:BY$135),"")</f>
        <v>0</v>
      </c>
      <c r="AC45" s="39">
        <f>IFERROR(SUMIFS(Assumptions!BZ$105:BZ$135,Assumptions!$BB$105:$BB$135,'non-road'!$F45,Assumptions!$BC$105:$BC$135,'non-road'!$D45)/SUMIF(Assumptions!$BB$105:$BB$135,'non-road'!$F45,Assumptions!BZ$105:BZ$135),"")</f>
        <v>0</v>
      </c>
      <c r="AD45" s="39">
        <f>IFERROR(SUMIFS(Assumptions!CA$105:CA$135,Assumptions!$BB$105:$BB$135,'non-road'!$F45,Assumptions!$BC$105:$BC$135,'non-road'!$D45)/SUMIF(Assumptions!$BB$105:$BB$135,'non-road'!$F45,Assumptions!CA$105:CA$135),"")</f>
        <v>0</v>
      </c>
      <c r="AE45" s="39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9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9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9">
        <f>IFERROR(SUMIFS(Assumptions!CE$105:CE$135,Assumptions!$BB$105:$BB$135,'non-road'!$F45,Assumptions!$BC$105:$BC$135,'non-road'!$D45)/SUMIF(Assumptions!$BB$105:$BB$135,'non-road'!$F45,Assumptions!CE$105:CE$135),"")</f>
        <v>0</v>
      </c>
      <c r="AI45" s="39">
        <f>IFERROR(SUMIFS(Assumptions!CF$105:CF$135,Assumptions!$BB$105:$BB$135,'non-road'!$F45,Assumptions!$BC$105:$BC$135,'non-road'!$D45)/SUMIF(Assumptions!$BB$105:$BB$135,'non-road'!$F45,Assumptions!CF$105:CF$135),"")</f>
        <v>0</v>
      </c>
      <c r="AJ45" s="39">
        <f>IFERROR(SUMIFS(Assumptions!CG$105:CG$135,Assumptions!$BB$105:$BB$135,'non-road'!$F45,Assumptions!$BC$105:$BC$135,'non-road'!$D45)/SUMIF(Assumptions!$BB$105:$BB$135,'non-road'!$F45,Assumptions!CG$105:CG$135),"")</f>
        <v>0</v>
      </c>
      <c r="AK45" s="39">
        <f>IFERROR(SUMIFS(Assumptions!CH$105:CH$135,Assumptions!$BB$105:$BB$135,'non-road'!$F45,Assumptions!$BC$105:$BC$135,'non-road'!$D45)/SUMIF(Assumptions!$BB$105:$BB$135,'non-road'!$F45,Assumptions!CH$105:CH$135),"")</f>
        <v>0</v>
      </c>
      <c r="AL45" s="39">
        <f>IFERROR(SUMIFS(Assumptions!CI$105:CI$135,Assumptions!$BB$105:$BB$135,'non-road'!$F45,Assumptions!$BC$105:$BC$135,'non-road'!$D45)/SUMIF(Assumptions!$BB$105:$BB$135,'non-road'!$F45,Assumptions!CI$105:CI$135),"")</f>
        <v>0</v>
      </c>
      <c r="AM45" s="39">
        <f>IFERROR(SUMIFS(Assumptions!CJ$105:CJ$135,Assumptions!$BB$105:$BB$135,'non-road'!$F45,Assumptions!$BC$105:$BC$135,'non-road'!$D45)/SUMIF(Assumptions!$BB$105:$BB$135,'non-road'!$F45,Assumptions!CJ$105:CJ$135),"")</f>
        <v>0</v>
      </c>
      <c r="AN45" s="39">
        <f>IFERROR(SUMIFS(Assumptions!CK$105:CK$135,Assumptions!$BB$105:$BB$135,'non-road'!$F45,Assumptions!$BC$105:$BC$135,'non-road'!$D45)/SUMIF(Assumptions!$BB$105:$BB$135,'non-road'!$F45,Assumptions!CK$105:CK$135),"")</f>
        <v>0</v>
      </c>
      <c r="AO45" s="39">
        <f>IFERROR(SUMIFS(Assumptions!CL$105:CL$135,Assumptions!$BB$105:$BB$135,'non-road'!$F45,Assumptions!$BC$105:$BC$135,'non-road'!$D45)/SUMIF(Assumptions!$BB$105:$BB$135,'non-road'!$F45,Assumptions!CL$105:CL$135),"")</f>
        <v>0</v>
      </c>
      <c r="AP45" s="39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9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9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9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9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9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9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9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9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9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9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8"/>
      <c r="CZ45" s="38"/>
      <c r="DA45" s="38"/>
      <c r="DB45" s="38"/>
      <c r="DC45" s="38"/>
      <c r="DD45" s="38"/>
      <c r="DE45" s="38"/>
      <c r="DF45" s="38"/>
      <c r="DG45" s="38"/>
      <c r="DH45" s="38"/>
      <c r="DI45" s="38"/>
      <c r="DJ45" s="38"/>
      <c r="DK45" s="38"/>
      <c r="DL45" s="38"/>
      <c r="DM45" s="38"/>
      <c r="DN45" s="38"/>
      <c r="DO45" s="38"/>
      <c r="DP45" s="38"/>
      <c r="DQ45" s="38"/>
      <c r="DR45" s="38"/>
      <c r="DS45" s="38"/>
      <c r="DT45" s="38"/>
      <c r="DU45" s="38"/>
      <c r="DV45" s="38"/>
      <c r="DW45" s="38"/>
      <c r="DX45" s="38"/>
      <c r="DY45" s="38"/>
      <c r="DZ45" s="38"/>
      <c r="EA45" s="38"/>
      <c r="EB45" s="38"/>
      <c r="EC45" s="38"/>
      <c r="ED45" s="38"/>
      <c r="EE45" s="38"/>
      <c r="EF45" s="38"/>
      <c r="EG45" s="38"/>
      <c r="EH45" s="38"/>
      <c r="EI45" s="38"/>
      <c r="EJ45" s="38"/>
      <c r="EK45" s="38"/>
      <c r="EL45" s="38"/>
      <c r="EM45" s="38"/>
      <c r="EN45" s="38"/>
      <c r="EO45" s="38"/>
      <c r="EP45" s="38"/>
      <c r="EQ45" s="38"/>
      <c r="ER45" s="38"/>
      <c r="ES45" s="38"/>
      <c r="ET45" s="38"/>
      <c r="EU45" s="38"/>
      <c r="EV45" s="38"/>
    </row>
    <row r="46" spans="3:157">
      <c r="D46" t="s">
        <v>54</v>
      </c>
      <c r="F46" s="38" t="s">
        <v>41</v>
      </c>
      <c r="G46" s="39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9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9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9">
        <f>IFERROR(SUMIFS(Assumptions!BG$105:BG$135,Assumptions!$BB$105:$BB$135,'non-road'!$F46,Assumptions!$BC$105:$BC$135,'non-road'!$D46)/SUMIF(Assumptions!$BB$105:$BB$135,'non-road'!$F46,Assumptions!BG$105:BG$135),"")</f>
        <v>1</v>
      </c>
      <c r="K46" s="39">
        <f>IFERROR(SUMIFS(Assumptions!BH$105:BH$135,Assumptions!$BB$105:$BB$135,'non-road'!$F46,Assumptions!$BC$105:$BC$135,'non-road'!$D46)/SUMIF(Assumptions!$BB$105:$BB$135,'non-road'!$F46,Assumptions!BH$105:BH$135),"")</f>
        <v>1</v>
      </c>
      <c r="L46" s="39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9">
        <f>IFERROR(SUMIFS(Assumptions!BJ$105:BJ$135,Assumptions!$BB$105:$BB$135,'non-road'!$F46,Assumptions!$BC$105:$BC$135,'non-road'!$D46)/SUMIF(Assumptions!$BB$105:$BB$135,'non-road'!$F46,Assumptions!BJ$105:BJ$135),"")</f>
        <v>0</v>
      </c>
      <c r="N46" s="39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9">
        <f>IFERROR(SUMIFS(Assumptions!BL$105:BL$135,Assumptions!$BB$105:$BB$135,'non-road'!$F46,Assumptions!$BC$105:$BC$135,'non-road'!$D46)/SUMIF(Assumptions!$BB$105:$BB$135,'non-road'!$F46,Assumptions!BL$105:BL$135),"")</f>
        <v>1</v>
      </c>
      <c r="P46" s="39">
        <f>IFERROR(SUMIFS(Assumptions!BM$105:BM$135,Assumptions!$BB$105:$BB$135,'non-road'!$F46,Assumptions!$BC$105:$BC$135,'non-road'!$D46)/SUMIF(Assumptions!$BB$105:$BB$135,'non-road'!$F46,Assumptions!BM$105:BM$135),"")</f>
        <v>1</v>
      </c>
      <c r="Q46" s="39">
        <f>IFERROR(SUMIFS(Assumptions!BN$105:BN$135,Assumptions!$BB$105:$BB$135,'non-road'!$F46,Assumptions!$BC$105:$BC$135,'non-road'!$D46)/SUMIF(Assumptions!$BB$105:$BB$135,'non-road'!$F46,Assumptions!BN$105:BN$135),"")</f>
        <v>1</v>
      </c>
      <c r="R46" s="39">
        <f>IFERROR(SUMIFS(Assumptions!BO$105:BO$135,Assumptions!$BB$105:$BB$135,'non-road'!$F46,Assumptions!$BC$105:$BC$135,'non-road'!$D46)/SUMIF(Assumptions!$BB$105:$BB$135,'non-road'!$F46,Assumptions!BO$105:BO$135),"")</f>
        <v>1</v>
      </c>
      <c r="S46" s="39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9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9">
        <f>IFERROR(SUMIFS(Assumptions!BR$105:BR$135,Assumptions!$BB$105:$BB$135,'non-road'!$F46,Assumptions!$BC$105:$BC$135,'non-road'!$D46)/SUMIF(Assumptions!$BB$105:$BB$135,'non-road'!$F46,Assumptions!BR$105:BR$135),"")</f>
        <v>1</v>
      </c>
      <c r="V46" s="39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9">
        <f>IFERROR(SUMIFS(Assumptions!BT$105:BT$135,Assumptions!$BB$105:$BB$135,'non-road'!$F46,Assumptions!$BC$105:$BC$135,'non-road'!$D46)/SUMIF(Assumptions!$BB$105:$BB$135,'non-road'!$F46,Assumptions!BT$105:BT$135),"")</f>
        <v>1</v>
      </c>
      <c r="X46" s="39">
        <f>IFERROR(SUMIFS(Assumptions!BU$105:BU$135,Assumptions!$BB$105:$BB$135,'non-road'!$F46,Assumptions!$BC$105:$BC$135,'non-road'!$D46)/SUMIF(Assumptions!$BB$105:$BB$135,'non-road'!$F46,Assumptions!BU$105:BU$135),"")</f>
        <v>1</v>
      </c>
      <c r="Y46" s="39">
        <f>IFERROR(SUMIFS(Assumptions!BV$105:BV$135,Assumptions!$BB$105:$BB$135,'non-road'!$F46,Assumptions!$BC$105:$BC$135,'non-road'!$D46)/SUMIF(Assumptions!$BB$105:$BB$135,'non-road'!$F46,Assumptions!BV$105:BV$135),"")</f>
        <v>1</v>
      </c>
      <c r="Z46" s="39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9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9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9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9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9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9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9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9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9">
        <f>IFERROR(SUMIFS(Assumptions!CF$105:CF$135,Assumptions!$BB$105:$BB$135,'non-road'!$F46,Assumptions!$BC$105:$BC$135,'non-road'!$D46)/SUMIF(Assumptions!$BB$105:$BB$135,'non-road'!$F46,Assumptions!CF$105:CF$135),"")</f>
        <v>1</v>
      </c>
      <c r="AJ46" s="39">
        <f>IFERROR(SUMIFS(Assumptions!CG$105:CG$135,Assumptions!$BB$105:$BB$135,'non-road'!$F46,Assumptions!$BC$105:$BC$135,'non-road'!$D46)/SUMIF(Assumptions!$BB$105:$BB$135,'non-road'!$F46,Assumptions!CG$105:CG$135),"")</f>
        <v>1</v>
      </c>
      <c r="AK46" s="39">
        <f>IFERROR(SUMIFS(Assumptions!CH$105:CH$135,Assumptions!$BB$105:$BB$135,'non-road'!$F46,Assumptions!$BC$105:$BC$135,'non-road'!$D46)/SUMIF(Assumptions!$BB$105:$BB$135,'non-road'!$F46,Assumptions!CH$105:CH$135),"")</f>
        <v>1</v>
      </c>
      <c r="AL46" s="39">
        <f>IFERROR(SUMIFS(Assumptions!CI$105:CI$135,Assumptions!$BB$105:$BB$135,'non-road'!$F46,Assumptions!$BC$105:$BC$135,'non-road'!$D46)/SUMIF(Assumptions!$BB$105:$BB$135,'non-road'!$F46,Assumptions!CI$105:CI$135),"")</f>
        <v>1</v>
      </c>
      <c r="AM46" s="39">
        <f>IFERROR(SUMIFS(Assumptions!CJ$105:CJ$135,Assumptions!$BB$105:$BB$135,'non-road'!$F46,Assumptions!$BC$105:$BC$135,'non-road'!$D46)/SUMIF(Assumptions!$BB$105:$BB$135,'non-road'!$F46,Assumptions!CJ$105:CJ$135),"")</f>
        <v>1</v>
      </c>
      <c r="AN46" s="39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9">
        <f>IFERROR(SUMIFS(Assumptions!CL$105:CL$135,Assumptions!$BB$105:$BB$135,'non-road'!$F46,Assumptions!$BC$105:$BC$135,'non-road'!$D46)/SUMIF(Assumptions!$BB$105:$BB$135,'non-road'!$F46,Assumptions!CL$105:CL$135),"")</f>
        <v>1</v>
      </c>
      <c r="AP46" s="39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9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9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9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9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9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9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9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9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9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9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8"/>
      <c r="CZ46" s="38"/>
      <c r="DB46" s="38"/>
      <c r="DC46" s="38"/>
      <c r="DD46" s="38"/>
      <c r="DE46" s="38"/>
      <c r="DF46" s="38"/>
      <c r="DG46" s="38"/>
      <c r="DH46" s="38"/>
      <c r="DI46" s="38"/>
      <c r="DJ46" s="38"/>
      <c r="DK46" s="38"/>
      <c r="DL46" s="38"/>
      <c r="DM46" s="38"/>
      <c r="DN46" s="38"/>
      <c r="DO46" s="38"/>
      <c r="DP46" s="38"/>
      <c r="DQ46" s="38"/>
      <c r="DR46" s="38"/>
      <c r="DS46" s="38"/>
      <c r="DT46" s="38"/>
      <c r="DU46" s="38"/>
      <c r="DV46" s="38"/>
      <c r="DW46" s="38"/>
      <c r="DX46" s="38"/>
      <c r="DY46" s="38"/>
      <c r="DZ46" s="38"/>
      <c r="EA46" s="38"/>
      <c r="EB46" s="38"/>
      <c r="EC46" s="38"/>
      <c r="ED46" s="38"/>
      <c r="EE46" s="38"/>
      <c r="EF46" s="38"/>
      <c r="EG46" s="38"/>
      <c r="EH46" s="38"/>
      <c r="EI46" s="38"/>
      <c r="EJ46" s="38"/>
      <c r="EK46" s="38"/>
      <c r="EL46" s="38"/>
      <c r="EM46" s="38"/>
      <c r="EN46" s="38"/>
      <c r="EO46" s="38"/>
      <c r="EP46" s="38"/>
      <c r="EQ46" s="38"/>
      <c r="ER46" s="38"/>
      <c r="ES46" s="38"/>
      <c r="ET46" s="38"/>
      <c r="EU46" s="38"/>
      <c r="EV46" s="38"/>
    </row>
    <row r="47" spans="3:157">
      <c r="D47" t="s">
        <v>58</v>
      </c>
      <c r="F47" s="38" t="s">
        <v>41</v>
      </c>
      <c r="G47" s="39">
        <f>IFERROR(SUMIFS(Assumptions!BD$105:BD$135,Assumptions!$BB$105:$BB$135,'non-road'!$F47,Assumptions!$BC$105:$BC$135,'non-road'!$D47)/SUMIF(Assumptions!$BB$105:$BB$135,'non-road'!$F47,Assumptions!BD$105:BD$135),"")</f>
        <v>0</v>
      </c>
      <c r="H47" s="39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9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9">
        <f>IFERROR(SUMIFS(Assumptions!BG$105:BG$135,Assumptions!$BB$105:$BB$135,'non-road'!$F47,Assumptions!$BC$105:$BC$135,'non-road'!$D47)/SUMIF(Assumptions!$BB$105:$BB$135,'non-road'!$F47,Assumptions!BG$105:BG$135),"")</f>
        <v>0</v>
      </c>
      <c r="K47" s="39">
        <f>IFERROR(SUMIFS(Assumptions!BH$105:BH$135,Assumptions!$BB$105:$BB$135,'non-road'!$F47,Assumptions!$BC$105:$BC$135,'non-road'!$D47)/SUMIF(Assumptions!$BB$105:$BB$135,'non-road'!$F47,Assumptions!BH$105:BH$135),"")</f>
        <v>0</v>
      </c>
      <c r="L47" s="39">
        <f>IFERROR(SUMIFS(Assumptions!BI$105:BI$135,Assumptions!$BB$105:$BB$135,'non-road'!$F47,Assumptions!$BC$105:$BC$135,'non-road'!$D47)/SUMIF(Assumptions!$BB$105:$BB$135,'non-road'!$F47,Assumptions!BI$105:BI$135),"")</f>
        <v>0</v>
      </c>
      <c r="M47" s="39">
        <f>IFERROR(SUMIFS(Assumptions!BJ$105:BJ$135,Assumptions!$BB$105:$BB$135,'non-road'!$F47,Assumptions!$BC$105:$BC$135,'non-road'!$D47)/SUMIF(Assumptions!$BB$105:$BB$135,'non-road'!$F47,Assumptions!BJ$105:BJ$135),"")</f>
        <v>0</v>
      </c>
      <c r="N47" s="39">
        <f>IFERROR(SUMIFS(Assumptions!BK$105:BK$135,Assumptions!$BB$105:$BB$135,'non-road'!$F47,Assumptions!$BC$105:$BC$135,'non-road'!$D47)/SUMIF(Assumptions!$BB$105:$BB$135,'non-road'!$F47,Assumptions!BK$105:BK$135),"")</f>
        <v>0</v>
      </c>
      <c r="O47" s="39">
        <f>IFERROR(SUMIFS(Assumptions!BL$105:BL$135,Assumptions!$BB$105:$BB$135,'non-road'!$F47,Assumptions!$BC$105:$BC$135,'non-road'!$D47)/SUMIF(Assumptions!$BB$105:$BB$135,'non-road'!$F47,Assumptions!BL$105:BL$135),"")</f>
        <v>0</v>
      </c>
      <c r="P47" s="39">
        <f>IFERROR(SUMIFS(Assumptions!BM$105:BM$135,Assumptions!$BB$105:$BB$135,'non-road'!$F47,Assumptions!$BC$105:$BC$135,'non-road'!$D47)/SUMIF(Assumptions!$BB$105:$BB$135,'non-road'!$F47,Assumptions!BM$105:BM$135),"")</f>
        <v>0</v>
      </c>
      <c r="Q47" s="39">
        <f>IFERROR(SUMIFS(Assumptions!BN$105:BN$135,Assumptions!$BB$105:$BB$135,'non-road'!$F47,Assumptions!$BC$105:$BC$135,'non-road'!$D47)/SUMIF(Assumptions!$BB$105:$BB$135,'non-road'!$F47,Assumptions!BN$105:BN$135),"")</f>
        <v>0</v>
      </c>
      <c r="R47" s="39">
        <f>IFERROR(SUMIFS(Assumptions!BO$105:BO$135,Assumptions!$BB$105:$BB$135,'non-road'!$F47,Assumptions!$BC$105:$BC$135,'non-road'!$D47)/SUMIF(Assumptions!$BB$105:$BB$135,'non-road'!$F47,Assumptions!BO$105:BO$135),"")</f>
        <v>0</v>
      </c>
      <c r="S47" s="39">
        <f>IFERROR(SUMIFS(Assumptions!BP$105:BP$135,Assumptions!$BB$105:$BB$135,'non-road'!$F47,Assumptions!$BC$105:$BC$135,'non-road'!$D47)/SUMIF(Assumptions!$BB$105:$BB$135,'non-road'!$F47,Assumptions!BP$105:BP$135),"")</f>
        <v>0</v>
      </c>
      <c r="T47" s="39">
        <f>IFERROR(SUMIFS(Assumptions!BQ$105:BQ$135,Assumptions!$BB$105:$BB$135,'non-road'!$F47,Assumptions!$BC$105:$BC$135,'non-road'!$D47)/SUMIF(Assumptions!$BB$105:$BB$135,'non-road'!$F47,Assumptions!BQ$105:BQ$135),"")</f>
        <v>0</v>
      </c>
      <c r="U47" s="39">
        <f>IFERROR(SUMIFS(Assumptions!BR$105:BR$135,Assumptions!$BB$105:$BB$135,'non-road'!$F47,Assumptions!$BC$105:$BC$135,'non-road'!$D47)/SUMIF(Assumptions!$BB$105:$BB$135,'non-road'!$F47,Assumptions!BR$105:BR$135),"")</f>
        <v>0</v>
      </c>
      <c r="V47" s="39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9">
        <f>IFERROR(SUMIFS(Assumptions!BT$105:BT$135,Assumptions!$BB$105:$BB$135,'non-road'!$F47,Assumptions!$BC$105:$BC$135,'non-road'!$D47)/SUMIF(Assumptions!$BB$105:$BB$135,'non-road'!$F47,Assumptions!BT$105:BT$135),"")</f>
        <v>0</v>
      </c>
      <c r="X47" s="39">
        <f>IFERROR(SUMIFS(Assumptions!BU$105:BU$135,Assumptions!$BB$105:$BB$135,'non-road'!$F47,Assumptions!$BC$105:$BC$135,'non-road'!$D47)/SUMIF(Assumptions!$BB$105:$BB$135,'non-road'!$F47,Assumptions!BU$105:BU$135),"")</f>
        <v>0</v>
      </c>
      <c r="Y47" s="39">
        <f>IFERROR(SUMIFS(Assumptions!BV$105:BV$135,Assumptions!$BB$105:$BB$135,'non-road'!$F47,Assumptions!$BC$105:$BC$135,'non-road'!$D47)/SUMIF(Assumptions!$BB$105:$BB$135,'non-road'!$F47,Assumptions!BV$105:BV$135),"")</f>
        <v>0</v>
      </c>
      <c r="Z47" s="39">
        <f>IFERROR(SUMIFS(Assumptions!BW$105:BW$135,Assumptions!$BB$105:$BB$135,'non-road'!$F47,Assumptions!$BC$105:$BC$135,'non-road'!$D47)/SUMIF(Assumptions!$BB$105:$BB$135,'non-road'!$F47,Assumptions!BW$105:BW$135),"")</f>
        <v>0</v>
      </c>
      <c r="AA47" s="39">
        <f>IFERROR(SUMIFS(Assumptions!BX$105:BX$135,Assumptions!$BB$105:$BB$135,'non-road'!$F47,Assumptions!$BC$105:$BC$135,'non-road'!$D47)/SUMIF(Assumptions!$BB$105:$BB$135,'non-road'!$F47,Assumptions!BX$105:BX$135),"")</f>
        <v>0</v>
      </c>
      <c r="AB47" s="39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9">
        <f>IFERROR(SUMIFS(Assumptions!BZ$105:BZ$135,Assumptions!$BB$105:$BB$135,'non-road'!$F47,Assumptions!$BC$105:$BC$135,'non-road'!$D47)/SUMIF(Assumptions!$BB$105:$BB$135,'non-road'!$F47,Assumptions!BZ$105:BZ$135),"")</f>
        <v>0</v>
      </c>
      <c r="AD47" s="39">
        <f>IFERROR(SUMIFS(Assumptions!CA$105:CA$135,Assumptions!$BB$105:$BB$135,'non-road'!$F47,Assumptions!$BC$105:$BC$135,'non-road'!$D47)/SUMIF(Assumptions!$BB$105:$BB$135,'non-road'!$F47,Assumptions!CA$105:CA$135),"")</f>
        <v>0</v>
      </c>
      <c r="AE47" s="39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9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9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9">
        <f>IFERROR(SUMIFS(Assumptions!CE$105:CE$135,Assumptions!$BB$105:$BB$135,'non-road'!$F47,Assumptions!$BC$105:$BC$135,'non-road'!$D47)/SUMIF(Assumptions!$BB$105:$BB$135,'non-road'!$F47,Assumptions!CE$105:CE$135),"")</f>
        <v>0</v>
      </c>
      <c r="AI47" s="39">
        <f>IFERROR(SUMIFS(Assumptions!CF$105:CF$135,Assumptions!$BB$105:$BB$135,'non-road'!$F47,Assumptions!$BC$105:$BC$135,'non-road'!$D47)/SUMIF(Assumptions!$BB$105:$BB$135,'non-road'!$F47,Assumptions!CF$105:CF$135),"")</f>
        <v>0</v>
      </c>
      <c r="AJ47" s="39">
        <f>IFERROR(SUMIFS(Assumptions!CG$105:CG$135,Assumptions!$BB$105:$BB$135,'non-road'!$F47,Assumptions!$BC$105:$BC$135,'non-road'!$D47)/SUMIF(Assumptions!$BB$105:$BB$135,'non-road'!$F47,Assumptions!CG$105:CG$135),"")</f>
        <v>0</v>
      </c>
      <c r="AK47" s="39">
        <f>IFERROR(SUMIFS(Assumptions!CH$105:CH$135,Assumptions!$BB$105:$BB$135,'non-road'!$F47,Assumptions!$BC$105:$BC$135,'non-road'!$D47)/SUMIF(Assumptions!$BB$105:$BB$135,'non-road'!$F47,Assumptions!CH$105:CH$135),"")</f>
        <v>0</v>
      </c>
      <c r="AL47" s="39">
        <f>IFERROR(SUMIFS(Assumptions!CI$105:CI$135,Assumptions!$BB$105:$BB$135,'non-road'!$F47,Assumptions!$BC$105:$BC$135,'non-road'!$D47)/SUMIF(Assumptions!$BB$105:$BB$135,'non-road'!$F47,Assumptions!CI$105:CI$135),"")</f>
        <v>0</v>
      </c>
      <c r="AM47" s="39">
        <f>IFERROR(SUMIFS(Assumptions!CJ$105:CJ$135,Assumptions!$BB$105:$BB$135,'non-road'!$F47,Assumptions!$BC$105:$BC$135,'non-road'!$D47)/SUMIF(Assumptions!$BB$105:$BB$135,'non-road'!$F47,Assumptions!CJ$105:CJ$135),"")</f>
        <v>0</v>
      </c>
      <c r="AN47" s="39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9">
        <f>IFERROR(SUMIFS(Assumptions!CL$105:CL$135,Assumptions!$BB$105:$BB$135,'non-road'!$F47,Assumptions!$BC$105:$BC$135,'non-road'!$D47)/SUMIF(Assumptions!$BB$105:$BB$135,'non-road'!$F47,Assumptions!CL$105:CL$135),"")</f>
        <v>0</v>
      </c>
      <c r="AP47" s="39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9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9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9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9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9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9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9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9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9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9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8"/>
      <c r="CZ47" s="38"/>
      <c r="DB47" s="38"/>
      <c r="DC47" s="38"/>
      <c r="DD47" s="38"/>
      <c r="DE47" s="38"/>
      <c r="DF47" s="38"/>
      <c r="DG47" s="38"/>
      <c r="DH47" s="38"/>
      <c r="DI47" s="38"/>
      <c r="DJ47" s="38"/>
      <c r="DK47" s="38"/>
      <c r="DL47" s="38"/>
      <c r="DM47" s="38"/>
      <c r="DN47" s="38"/>
      <c r="DO47" s="38"/>
      <c r="DP47" s="38"/>
      <c r="DQ47" s="38"/>
      <c r="DR47" s="38"/>
      <c r="DS47" s="38"/>
      <c r="DT47" s="38"/>
      <c r="DU47" s="38"/>
      <c r="DV47" s="38"/>
      <c r="DW47" s="38"/>
      <c r="DX47" s="38"/>
      <c r="DY47" s="38"/>
      <c r="DZ47" s="38"/>
      <c r="EA47" s="38"/>
      <c r="EB47" s="38"/>
      <c r="EC47" s="38"/>
      <c r="ED47" s="38"/>
      <c r="EE47" s="38"/>
      <c r="EF47" s="38"/>
      <c r="EG47" s="38"/>
      <c r="EH47" s="38"/>
      <c r="EI47" s="38"/>
      <c r="EJ47" s="38"/>
      <c r="EK47" s="38"/>
      <c r="EL47" s="38"/>
      <c r="EM47" s="38"/>
      <c r="EN47" s="38"/>
      <c r="EO47" s="38"/>
      <c r="EP47" s="38"/>
      <c r="EQ47" s="38"/>
      <c r="ER47" s="38"/>
      <c r="ES47" s="38"/>
      <c r="ET47" s="38"/>
      <c r="EU47" s="38"/>
      <c r="EV47" s="38"/>
    </row>
    <row r="48" spans="3:157">
      <c r="D48" t="s">
        <v>268</v>
      </c>
      <c r="F48" s="38" t="s">
        <v>41</v>
      </c>
      <c r="G48" s="39">
        <f>IFERROR(SUMIFS(Assumptions!BD$105:BD$135,Assumptions!$BB$105:$BB$135,'non-road'!$F48,Assumptions!$BC$105:$BC$135,'non-road'!$D48)/SUMIF(Assumptions!$BB$105:$BB$135,'non-road'!$F48,Assumptions!BD$105:BD$135),"")</f>
        <v>0</v>
      </c>
      <c r="H48" s="39">
        <f>IFERROR(SUMIFS(Assumptions!BE$105:BE$135,Assumptions!$BB$105:$BB$135,'non-road'!$F48,Assumptions!$BC$105:$BC$135,'non-road'!$D48)/SUMIF(Assumptions!$BB$105:$BB$135,'non-road'!$F48,Assumptions!BE$105:BE$135),"")</f>
        <v>0</v>
      </c>
      <c r="I48" s="39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9">
        <f>IFERROR(SUMIFS(Assumptions!BG$105:BG$135,Assumptions!$BB$105:$BB$135,'non-road'!$F48,Assumptions!$BC$105:$BC$135,'non-road'!$D48)/SUMIF(Assumptions!$BB$105:$BB$135,'non-road'!$F48,Assumptions!BG$105:BG$135),"")</f>
        <v>0</v>
      </c>
      <c r="K48" s="39">
        <f>IFERROR(SUMIFS(Assumptions!BH$105:BH$135,Assumptions!$BB$105:$BB$135,'non-road'!$F48,Assumptions!$BC$105:$BC$135,'non-road'!$D48)/SUMIF(Assumptions!$BB$105:$BB$135,'non-road'!$F48,Assumptions!BH$105:BH$135),"")</f>
        <v>0</v>
      </c>
      <c r="L48" s="39">
        <f>IFERROR(SUMIFS(Assumptions!BI$105:BI$135,Assumptions!$BB$105:$BB$135,'non-road'!$F48,Assumptions!$BC$105:$BC$135,'non-road'!$D48)/SUMIF(Assumptions!$BB$105:$BB$135,'non-road'!$F48,Assumptions!BI$105:BI$135),"")</f>
        <v>0</v>
      </c>
      <c r="M48" s="39">
        <f>IFERROR(SUMIFS(Assumptions!BJ$105:BJ$135,Assumptions!$BB$105:$BB$135,'non-road'!$F48,Assumptions!$BC$105:$BC$135,'non-road'!$D48)/SUMIF(Assumptions!$BB$105:$BB$135,'non-road'!$F48,Assumptions!BJ$105:BJ$135),"")</f>
        <v>0</v>
      </c>
      <c r="N48" s="39">
        <f>IFERROR(SUMIFS(Assumptions!BK$105:BK$135,Assumptions!$BB$105:$BB$135,'non-road'!$F48,Assumptions!$BC$105:$BC$135,'non-road'!$D48)/SUMIF(Assumptions!$BB$105:$BB$135,'non-road'!$F48,Assumptions!BK$105:BK$135),"")</f>
        <v>0</v>
      </c>
      <c r="O48" s="39">
        <f>IFERROR(SUMIFS(Assumptions!BL$105:BL$135,Assumptions!$BB$105:$BB$135,'non-road'!$F48,Assumptions!$BC$105:$BC$135,'non-road'!$D48)/SUMIF(Assumptions!$BB$105:$BB$135,'non-road'!$F48,Assumptions!BL$105:BL$135),"")</f>
        <v>0</v>
      </c>
      <c r="P48" s="39">
        <f>IFERROR(SUMIFS(Assumptions!BM$105:BM$135,Assumptions!$BB$105:$BB$135,'non-road'!$F48,Assumptions!$BC$105:$BC$135,'non-road'!$D48)/SUMIF(Assumptions!$BB$105:$BB$135,'non-road'!$F48,Assumptions!BM$105:BM$135),"")</f>
        <v>0</v>
      </c>
      <c r="Q48" s="39">
        <f>IFERROR(SUMIFS(Assumptions!BN$105:BN$135,Assumptions!$BB$105:$BB$135,'non-road'!$F48,Assumptions!$BC$105:$BC$135,'non-road'!$D48)/SUMIF(Assumptions!$BB$105:$BB$135,'non-road'!$F48,Assumptions!BN$105:BN$135),"")</f>
        <v>0</v>
      </c>
      <c r="R48" s="39">
        <f>IFERROR(SUMIFS(Assumptions!BO$105:BO$135,Assumptions!$BB$105:$BB$135,'non-road'!$F48,Assumptions!$BC$105:$BC$135,'non-road'!$D48)/SUMIF(Assumptions!$BB$105:$BB$135,'non-road'!$F48,Assumptions!BO$105:BO$135),"")</f>
        <v>0</v>
      </c>
      <c r="S48" s="39">
        <f>IFERROR(SUMIFS(Assumptions!BP$105:BP$135,Assumptions!$BB$105:$BB$135,'non-road'!$F48,Assumptions!$BC$105:$BC$135,'non-road'!$D48)/SUMIF(Assumptions!$BB$105:$BB$135,'non-road'!$F48,Assumptions!BP$105:BP$135),"")</f>
        <v>0</v>
      </c>
      <c r="T48" s="39">
        <f>IFERROR(SUMIFS(Assumptions!BQ$105:BQ$135,Assumptions!$BB$105:$BB$135,'non-road'!$F48,Assumptions!$BC$105:$BC$135,'non-road'!$D48)/SUMIF(Assumptions!$BB$105:$BB$135,'non-road'!$F48,Assumptions!BQ$105:BQ$135),"")</f>
        <v>0</v>
      </c>
      <c r="U48" s="39">
        <f>IFERROR(SUMIFS(Assumptions!BR$105:BR$135,Assumptions!$BB$105:$BB$135,'non-road'!$F48,Assumptions!$BC$105:$BC$135,'non-road'!$D48)/SUMIF(Assumptions!$BB$105:$BB$135,'non-road'!$F48,Assumptions!BR$105:BR$135),"")</f>
        <v>0</v>
      </c>
      <c r="V48" s="39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9">
        <f>IFERROR(SUMIFS(Assumptions!BT$105:BT$135,Assumptions!$BB$105:$BB$135,'non-road'!$F48,Assumptions!$BC$105:$BC$135,'non-road'!$D48)/SUMIF(Assumptions!$BB$105:$BB$135,'non-road'!$F48,Assumptions!BT$105:BT$135),"")</f>
        <v>0</v>
      </c>
      <c r="X48" s="39">
        <f>IFERROR(SUMIFS(Assumptions!BU$105:BU$135,Assumptions!$BB$105:$BB$135,'non-road'!$F48,Assumptions!$BC$105:$BC$135,'non-road'!$D48)/SUMIF(Assumptions!$BB$105:$BB$135,'non-road'!$F48,Assumptions!BU$105:BU$135),"")</f>
        <v>0</v>
      </c>
      <c r="Y48" s="39">
        <f>IFERROR(SUMIFS(Assumptions!BV$105:BV$135,Assumptions!$BB$105:$BB$135,'non-road'!$F48,Assumptions!$BC$105:$BC$135,'non-road'!$D48)/SUMIF(Assumptions!$BB$105:$BB$135,'non-road'!$F48,Assumptions!BV$105:BV$135),"")</f>
        <v>0</v>
      </c>
      <c r="Z48" s="39">
        <f>IFERROR(SUMIFS(Assumptions!BW$105:BW$135,Assumptions!$BB$105:$BB$135,'non-road'!$F48,Assumptions!$BC$105:$BC$135,'non-road'!$D48)/SUMIF(Assumptions!$BB$105:$BB$135,'non-road'!$F48,Assumptions!BW$105:BW$135),"")</f>
        <v>0</v>
      </c>
      <c r="AA48" s="39">
        <f>IFERROR(SUMIFS(Assumptions!BX$105:BX$135,Assumptions!$BB$105:$BB$135,'non-road'!$F48,Assumptions!$BC$105:$BC$135,'non-road'!$D48)/SUMIF(Assumptions!$BB$105:$BB$135,'non-road'!$F48,Assumptions!BX$105:BX$135),"")</f>
        <v>0</v>
      </c>
      <c r="AB48" s="39">
        <f>IFERROR(SUMIFS(Assumptions!BY$105:BY$135,Assumptions!$BB$105:$BB$135,'non-road'!$F48,Assumptions!$BC$105:$BC$135,'non-road'!$D48)/SUMIF(Assumptions!$BB$105:$BB$135,'non-road'!$F48,Assumptions!BY$105:BY$135),"")</f>
        <v>0</v>
      </c>
      <c r="AC48" s="39">
        <f>IFERROR(SUMIFS(Assumptions!BZ$105:BZ$135,Assumptions!$BB$105:$BB$135,'non-road'!$F48,Assumptions!$BC$105:$BC$135,'non-road'!$D48)/SUMIF(Assumptions!$BB$105:$BB$135,'non-road'!$F48,Assumptions!BZ$105:BZ$135),"")</f>
        <v>0</v>
      </c>
      <c r="AD48" s="39">
        <f>IFERROR(SUMIFS(Assumptions!CA$105:CA$135,Assumptions!$BB$105:$BB$135,'non-road'!$F48,Assumptions!$BC$105:$BC$135,'non-road'!$D48)/SUMIF(Assumptions!$BB$105:$BB$135,'non-road'!$F48,Assumptions!CA$105:CA$135),"")</f>
        <v>0</v>
      </c>
      <c r="AE48" s="39">
        <f>IFERROR(SUMIFS(Assumptions!CB$105:CB$135,Assumptions!$BB$105:$BB$135,'non-road'!$F48,Assumptions!$BC$105:$BC$135,'non-road'!$D48)/SUMIF(Assumptions!$BB$105:$BB$135,'non-road'!$F48,Assumptions!CB$105:CB$135),"")</f>
        <v>0</v>
      </c>
      <c r="AF48" s="39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9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9">
        <f>IFERROR(SUMIFS(Assumptions!CE$105:CE$135,Assumptions!$BB$105:$BB$135,'non-road'!$F48,Assumptions!$BC$105:$BC$135,'non-road'!$D48)/SUMIF(Assumptions!$BB$105:$BB$135,'non-road'!$F48,Assumptions!CE$105:CE$135),"")</f>
        <v>0</v>
      </c>
      <c r="AI48" s="39">
        <f>IFERROR(SUMIFS(Assumptions!CF$105:CF$135,Assumptions!$BB$105:$BB$135,'non-road'!$F48,Assumptions!$BC$105:$BC$135,'non-road'!$D48)/SUMIF(Assumptions!$BB$105:$BB$135,'non-road'!$F48,Assumptions!CF$105:CF$135),"")</f>
        <v>0</v>
      </c>
      <c r="AJ48" s="39">
        <f>IFERROR(SUMIFS(Assumptions!CG$105:CG$135,Assumptions!$BB$105:$BB$135,'non-road'!$F48,Assumptions!$BC$105:$BC$135,'non-road'!$D48)/SUMIF(Assumptions!$BB$105:$BB$135,'non-road'!$F48,Assumptions!CG$105:CG$135),"")</f>
        <v>0</v>
      </c>
      <c r="AK48" s="39">
        <f>IFERROR(SUMIFS(Assumptions!CH$105:CH$135,Assumptions!$BB$105:$BB$135,'non-road'!$F48,Assumptions!$BC$105:$BC$135,'non-road'!$D48)/SUMIF(Assumptions!$BB$105:$BB$135,'non-road'!$F48,Assumptions!CH$105:CH$135),"")</f>
        <v>0</v>
      </c>
      <c r="AL48" s="39">
        <f>IFERROR(SUMIFS(Assumptions!CI$105:CI$135,Assumptions!$BB$105:$BB$135,'non-road'!$F48,Assumptions!$BC$105:$BC$135,'non-road'!$D48)/SUMIF(Assumptions!$BB$105:$BB$135,'non-road'!$F48,Assumptions!CI$105:CI$135),"")</f>
        <v>0</v>
      </c>
      <c r="AM48" s="39">
        <f>IFERROR(SUMIFS(Assumptions!CJ$105:CJ$135,Assumptions!$BB$105:$BB$135,'non-road'!$F48,Assumptions!$BC$105:$BC$135,'non-road'!$D48)/SUMIF(Assumptions!$BB$105:$BB$135,'non-road'!$F48,Assumptions!CJ$105:CJ$135),"")</f>
        <v>0</v>
      </c>
      <c r="AN48" s="39">
        <f>IFERROR(SUMIFS(Assumptions!CK$105:CK$135,Assumptions!$BB$105:$BB$135,'non-road'!$F48,Assumptions!$BC$105:$BC$135,'non-road'!$D48)/SUMIF(Assumptions!$BB$105:$BB$135,'non-road'!$F48,Assumptions!CK$105:CK$135),"")</f>
        <v>0</v>
      </c>
      <c r="AO48" s="39">
        <f>IFERROR(SUMIFS(Assumptions!CL$105:CL$135,Assumptions!$BB$105:$BB$135,'non-road'!$F48,Assumptions!$BC$105:$BC$135,'non-road'!$D48)/SUMIF(Assumptions!$BB$105:$BB$135,'non-road'!$F48,Assumptions!CL$105:CL$135),"")</f>
        <v>0</v>
      </c>
      <c r="AP48" s="39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9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9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9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9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9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9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9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9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9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9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8"/>
      <c r="CZ48" s="38"/>
      <c r="DB48" s="38"/>
      <c r="DC48" s="38"/>
      <c r="DD48" s="38"/>
      <c r="DE48" s="38"/>
      <c r="DF48" s="38"/>
      <c r="DG48" s="38"/>
      <c r="DH48" s="38"/>
      <c r="DI48" s="38"/>
      <c r="DJ48" s="38"/>
      <c r="DK48" s="38"/>
      <c r="DL48" s="38"/>
      <c r="DM48" s="38"/>
      <c r="DN48" s="38"/>
      <c r="DO48" s="38"/>
      <c r="DP48" s="38"/>
      <c r="DQ48" s="38"/>
      <c r="DR48" s="38"/>
      <c r="DS48" s="38"/>
      <c r="DT48" s="38"/>
      <c r="DU48" s="38"/>
      <c r="DV48" s="38"/>
      <c r="DW48" s="38"/>
      <c r="DX48" s="38"/>
      <c r="DY48" s="38"/>
      <c r="DZ48" s="38"/>
      <c r="EA48" s="38"/>
      <c r="EB48" s="38"/>
      <c r="EC48" s="38"/>
      <c r="ED48" s="38"/>
      <c r="EE48" s="38"/>
      <c r="EF48" s="38"/>
      <c r="EG48" s="38"/>
      <c r="EH48" s="38"/>
      <c r="EI48" s="38"/>
      <c r="EJ48" s="38"/>
      <c r="EK48" s="38"/>
      <c r="EL48" s="38"/>
      <c r="EM48" s="38"/>
      <c r="EN48" s="38"/>
      <c r="EO48" s="38"/>
      <c r="EP48" s="38"/>
      <c r="EQ48" s="38"/>
      <c r="ER48" s="38"/>
      <c r="ES48" s="38"/>
      <c r="ET48" s="38"/>
      <c r="EU48" s="38"/>
      <c r="EV48" s="38"/>
    </row>
    <row r="49" spans="3:152">
      <c r="C49" s="45" t="s">
        <v>453</v>
      </c>
      <c r="D49" s="46" t="s">
        <v>44</v>
      </c>
      <c r="E49" s="45" t="s">
        <v>454</v>
      </c>
      <c r="F49" s="45"/>
      <c r="G49" s="47">
        <v>1</v>
      </c>
      <c r="H49" s="47">
        <v>1</v>
      </c>
      <c r="I49" s="47">
        <v>1</v>
      </c>
      <c r="J49" s="47">
        <v>1</v>
      </c>
      <c r="K49" s="47">
        <v>1</v>
      </c>
      <c r="L49" s="47">
        <v>1</v>
      </c>
      <c r="M49" s="47">
        <v>1</v>
      </c>
      <c r="N49" s="47">
        <v>1</v>
      </c>
      <c r="O49" s="47">
        <v>1</v>
      </c>
      <c r="P49" s="47">
        <v>1</v>
      </c>
      <c r="Q49" s="47">
        <v>1</v>
      </c>
      <c r="R49" s="47">
        <v>1</v>
      </c>
      <c r="S49" s="47">
        <v>1</v>
      </c>
      <c r="T49" s="47">
        <v>1</v>
      </c>
      <c r="U49" s="47">
        <v>1</v>
      </c>
      <c r="V49" s="47">
        <v>1</v>
      </c>
      <c r="W49" s="47">
        <v>1</v>
      </c>
      <c r="X49" s="47">
        <v>1</v>
      </c>
      <c r="Y49" s="47">
        <v>1</v>
      </c>
      <c r="Z49" s="47">
        <v>1</v>
      </c>
      <c r="AA49" s="47">
        <v>1</v>
      </c>
      <c r="AB49" s="47">
        <v>1</v>
      </c>
      <c r="AC49" s="47">
        <v>1</v>
      </c>
      <c r="AD49" s="47">
        <v>1</v>
      </c>
      <c r="AE49" s="47">
        <v>1</v>
      </c>
      <c r="AF49" s="47">
        <v>1</v>
      </c>
      <c r="AG49" s="47">
        <v>1</v>
      </c>
      <c r="AH49" s="47">
        <v>1</v>
      </c>
      <c r="AI49" s="47">
        <v>1</v>
      </c>
      <c r="AJ49" s="47">
        <v>1</v>
      </c>
      <c r="AK49" s="47">
        <v>1</v>
      </c>
      <c r="AL49" s="47">
        <v>1</v>
      </c>
      <c r="AM49" s="47">
        <v>1</v>
      </c>
      <c r="AN49" s="47">
        <v>1</v>
      </c>
      <c r="AO49" s="47">
        <v>1</v>
      </c>
      <c r="CY49" s="38"/>
      <c r="CZ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</row>
    <row r="50" spans="3:152">
      <c r="C50" s="45" t="s">
        <v>455</v>
      </c>
      <c r="D50" s="46" t="s">
        <v>44</v>
      </c>
      <c r="E50" s="45" t="s">
        <v>454</v>
      </c>
      <c r="F50" s="45"/>
      <c r="G50" s="47">
        <v>1</v>
      </c>
      <c r="H50" s="47">
        <v>1</v>
      </c>
      <c r="I50" s="47">
        <v>1</v>
      </c>
      <c r="J50" s="47">
        <v>1</v>
      </c>
      <c r="K50" s="47">
        <v>1</v>
      </c>
      <c r="L50" s="47">
        <v>1</v>
      </c>
      <c r="M50" s="47">
        <v>1</v>
      </c>
      <c r="N50" s="47">
        <v>1</v>
      </c>
      <c r="O50" s="47">
        <v>1</v>
      </c>
      <c r="P50" s="47">
        <v>1</v>
      </c>
      <c r="Q50" s="47">
        <v>1</v>
      </c>
      <c r="R50" s="47">
        <v>1</v>
      </c>
      <c r="S50" s="47">
        <v>1</v>
      </c>
      <c r="T50" s="47">
        <v>1</v>
      </c>
      <c r="U50" s="47">
        <v>1</v>
      </c>
      <c r="V50" s="47">
        <v>1</v>
      </c>
      <c r="W50" s="47">
        <v>1</v>
      </c>
      <c r="X50" s="47">
        <v>1</v>
      </c>
      <c r="Y50" s="47">
        <v>1</v>
      </c>
      <c r="Z50" s="47">
        <v>1</v>
      </c>
      <c r="AA50" s="47">
        <v>1</v>
      </c>
      <c r="AB50" s="47">
        <v>1</v>
      </c>
      <c r="AC50" s="47">
        <v>1</v>
      </c>
      <c r="AD50" s="47">
        <v>1</v>
      </c>
      <c r="AE50" s="47">
        <v>1</v>
      </c>
      <c r="AF50" s="47">
        <v>1</v>
      </c>
      <c r="AG50" s="47">
        <v>1</v>
      </c>
      <c r="AH50" s="47">
        <v>1</v>
      </c>
      <c r="AI50" s="47">
        <v>1</v>
      </c>
      <c r="AJ50" s="47">
        <v>1</v>
      </c>
      <c r="AK50" s="47">
        <v>1</v>
      </c>
      <c r="AL50" s="47">
        <v>1</v>
      </c>
      <c r="AM50" s="47">
        <v>1</v>
      </c>
      <c r="AN50" s="47">
        <v>1</v>
      </c>
      <c r="AO50" s="47">
        <v>1</v>
      </c>
      <c r="CY50" s="38"/>
      <c r="CZ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</row>
    <row r="51" spans="3:152">
      <c r="C51" s="45" t="s">
        <v>456</v>
      </c>
      <c r="D51" s="46" t="s">
        <v>44</v>
      </c>
      <c r="E51" s="45" t="s">
        <v>454</v>
      </c>
      <c r="F51" s="45"/>
      <c r="G51" s="47">
        <v>1</v>
      </c>
      <c r="H51" s="47">
        <v>1</v>
      </c>
      <c r="I51" s="47">
        <v>1</v>
      </c>
      <c r="J51" s="47">
        <v>1</v>
      </c>
      <c r="K51" s="47">
        <v>1</v>
      </c>
      <c r="L51" s="47">
        <v>1</v>
      </c>
      <c r="M51" s="47">
        <v>1</v>
      </c>
      <c r="N51" s="47">
        <v>1</v>
      </c>
      <c r="O51" s="47">
        <v>1</v>
      </c>
      <c r="P51" s="47">
        <v>1</v>
      </c>
      <c r="Q51" s="47">
        <v>1</v>
      </c>
      <c r="R51" s="47">
        <v>1</v>
      </c>
      <c r="S51" s="47">
        <v>1</v>
      </c>
      <c r="T51" s="47">
        <v>1</v>
      </c>
      <c r="U51" s="47">
        <v>1</v>
      </c>
      <c r="V51" s="47">
        <v>1</v>
      </c>
      <c r="W51" s="47">
        <v>1</v>
      </c>
      <c r="X51" s="47">
        <v>1</v>
      </c>
      <c r="Y51" s="47">
        <v>1</v>
      </c>
      <c r="Z51" s="47">
        <v>1</v>
      </c>
      <c r="AA51" s="47">
        <v>1</v>
      </c>
      <c r="AB51" s="47">
        <v>1</v>
      </c>
      <c r="AC51" s="47">
        <v>1</v>
      </c>
      <c r="AD51" s="47">
        <v>1</v>
      </c>
      <c r="AE51" s="47">
        <v>1</v>
      </c>
      <c r="AF51" s="47">
        <v>1</v>
      </c>
      <c r="AG51" s="47">
        <v>1</v>
      </c>
      <c r="AH51" s="47">
        <v>1</v>
      </c>
      <c r="AI51" s="47">
        <v>1</v>
      </c>
      <c r="AJ51" s="47">
        <v>1</v>
      </c>
      <c r="AK51" s="47">
        <v>1</v>
      </c>
      <c r="AL51" s="47">
        <v>1</v>
      </c>
      <c r="AM51" s="47">
        <v>1</v>
      </c>
      <c r="AN51" s="47">
        <v>1</v>
      </c>
      <c r="AO51" s="47">
        <v>1</v>
      </c>
      <c r="CY51" s="38"/>
      <c r="CZ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</row>
    <row r="52" spans="3:152">
      <c r="C52" s="45" t="s">
        <v>457</v>
      </c>
      <c r="D52" s="46" t="s">
        <v>44</v>
      </c>
      <c r="E52" s="45" t="s">
        <v>454</v>
      </c>
      <c r="F52" s="45"/>
      <c r="G52" s="47">
        <v>1</v>
      </c>
      <c r="H52" s="47">
        <v>1</v>
      </c>
      <c r="I52" s="47">
        <v>1</v>
      </c>
      <c r="J52" s="47">
        <v>1</v>
      </c>
      <c r="K52" s="47">
        <v>1</v>
      </c>
      <c r="L52" s="47">
        <v>1</v>
      </c>
      <c r="M52" s="47">
        <v>1</v>
      </c>
      <c r="N52" s="47">
        <v>1</v>
      </c>
      <c r="O52" s="47">
        <v>1</v>
      </c>
      <c r="P52" s="47">
        <v>1</v>
      </c>
      <c r="Q52" s="47">
        <v>1</v>
      </c>
      <c r="R52" s="47">
        <v>1</v>
      </c>
      <c r="S52" s="47">
        <v>1</v>
      </c>
      <c r="T52" s="47">
        <v>1</v>
      </c>
      <c r="U52" s="47">
        <v>1</v>
      </c>
      <c r="V52" s="47">
        <v>1</v>
      </c>
      <c r="W52" s="47">
        <v>1</v>
      </c>
      <c r="X52" s="47">
        <v>1</v>
      </c>
      <c r="Y52" s="47">
        <v>1</v>
      </c>
      <c r="Z52" s="47">
        <v>1</v>
      </c>
      <c r="AA52" s="47">
        <v>1</v>
      </c>
      <c r="AB52" s="47">
        <v>1</v>
      </c>
      <c r="AC52" s="47">
        <v>1</v>
      </c>
      <c r="AD52" s="47">
        <v>1</v>
      </c>
      <c r="AE52" s="47">
        <v>1</v>
      </c>
      <c r="AF52" s="47">
        <v>1</v>
      </c>
      <c r="AG52" s="47">
        <v>1</v>
      </c>
      <c r="AH52" s="47">
        <v>1</v>
      </c>
      <c r="AI52" s="47">
        <v>1</v>
      </c>
      <c r="AJ52" s="47">
        <v>1</v>
      </c>
      <c r="AK52" s="47">
        <v>1</v>
      </c>
      <c r="AL52" s="47">
        <v>1</v>
      </c>
      <c r="AM52" s="47">
        <v>1</v>
      </c>
      <c r="AN52" s="47">
        <v>1</v>
      </c>
      <c r="AO52" s="47">
        <v>1</v>
      </c>
      <c r="CY52" s="38"/>
      <c r="CZ52" s="38"/>
      <c r="DA52" s="38"/>
      <c r="DB52" s="38"/>
      <c r="DC52" s="38"/>
      <c r="DD52" s="38"/>
      <c r="DE52" s="38"/>
      <c r="DF52" s="38"/>
      <c r="DG52" s="38"/>
      <c r="DH52" s="38"/>
      <c r="DI52" s="38"/>
      <c r="DJ52" s="38"/>
      <c r="DK52" s="38"/>
      <c r="DL52" s="38"/>
      <c r="DM52" s="38"/>
      <c r="DN52" s="38"/>
      <c r="DO52" s="38"/>
      <c r="DP52" s="38"/>
      <c r="DQ52" s="38"/>
      <c r="DR52" s="38"/>
      <c r="DS52" s="38"/>
      <c r="DT52" s="38"/>
      <c r="DU52" s="38"/>
      <c r="DV52" s="38"/>
      <c r="DW52" s="38"/>
      <c r="DX52" s="38"/>
      <c r="DY52" s="38"/>
      <c r="DZ52" s="38"/>
      <c r="EA52" s="38"/>
      <c r="EB52" s="38"/>
      <c r="EC52" s="38"/>
      <c r="ED52" s="38"/>
      <c r="EE52" s="38"/>
      <c r="EF52" s="38"/>
      <c r="EG52" s="38"/>
      <c r="EH52" s="38"/>
      <c r="EI52" s="38"/>
      <c r="EJ52" s="38"/>
      <c r="EK52" s="38"/>
      <c r="EL52" s="38"/>
      <c r="EM52" s="38"/>
      <c r="EN52" s="38"/>
      <c r="EO52" s="38"/>
      <c r="EP52" s="38"/>
      <c r="EQ52" s="38"/>
      <c r="ER52" s="38"/>
      <c r="ES52" s="38"/>
      <c r="ET52" s="38"/>
      <c r="EU52" s="38"/>
      <c r="EV52" s="38"/>
    </row>
    <row r="53" spans="3:152">
      <c r="C53" s="48" t="s">
        <v>455</v>
      </c>
      <c r="D53" s="48" t="s">
        <v>64</v>
      </c>
      <c r="E53" s="4" t="s">
        <v>454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8"/>
      <c r="CZ53" s="38"/>
      <c r="DA53" s="38"/>
      <c r="DB53" s="38"/>
      <c r="DC53" s="38"/>
      <c r="DD53" s="38"/>
      <c r="DE53" s="38"/>
      <c r="DF53" s="38"/>
      <c r="DG53" s="38"/>
      <c r="DH53" s="38"/>
      <c r="DI53" s="38"/>
      <c r="DJ53" s="38"/>
      <c r="DK53" s="38"/>
      <c r="DL53" s="38"/>
      <c r="DM53" s="38"/>
      <c r="DN53" s="38"/>
      <c r="DO53" s="38"/>
      <c r="DP53" s="38"/>
      <c r="DQ53" s="38"/>
      <c r="DR53" s="38"/>
      <c r="DS53" s="38"/>
      <c r="DT53" s="38"/>
      <c r="DU53" s="38"/>
      <c r="DV53" s="38"/>
      <c r="DW53" s="38"/>
      <c r="DX53" s="38"/>
      <c r="DY53" s="38"/>
      <c r="DZ53" s="38"/>
      <c r="EA53" s="38"/>
      <c r="EB53" s="38"/>
      <c r="EC53" s="38"/>
      <c r="ED53" s="38"/>
      <c r="EE53" s="38"/>
      <c r="EF53" s="38"/>
      <c r="EG53" s="38"/>
      <c r="EH53" s="38"/>
      <c r="EI53" s="38"/>
      <c r="EJ53" s="38"/>
      <c r="EK53" s="38"/>
      <c r="EL53" s="38"/>
      <c r="EM53" s="38"/>
      <c r="EN53" s="38"/>
      <c r="EO53" s="38"/>
      <c r="EP53" s="38"/>
      <c r="EQ53" s="38"/>
      <c r="ER53" s="38"/>
      <c r="ES53" s="38"/>
      <c r="ET53" s="38"/>
      <c r="EU53" s="38"/>
      <c r="EV53" s="38"/>
    </row>
    <row r="54" spans="3:152">
      <c r="CY54" s="38"/>
      <c r="CZ54" s="38"/>
      <c r="DA54" s="38"/>
      <c r="DB54" s="38"/>
      <c r="DC54" s="38"/>
      <c r="DD54" s="38"/>
      <c r="DE54" s="38"/>
      <c r="DF54" s="38"/>
      <c r="DG54" s="38"/>
      <c r="DH54" s="38"/>
      <c r="DI54" s="38"/>
      <c r="DJ54" s="38"/>
      <c r="DK54" s="38"/>
      <c r="DL54" s="38"/>
      <c r="DM54" s="38"/>
      <c r="DN54" s="38"/>
      <c r="DO54" s="38"/>
      <c r="DP54" s="38"/>
      <c r="DQ54" s="38"/>
      <c r="DR54" s="38"/>
      <c r="DS54" s="38"/>
      <c r="DT54" s="38"/>
      <c r="DU54" s="38"/>
      <c r="DV54" s="38"/>
      <c r="DW54" s="38"/>
      <c r="DX54" s="38"/>
      <c r="DY54" s="38"/>
      <c r="DZ54" s="38"/>
      <c r="EA54" s="38"/>
      <c r="EB54" s="38"/>
      <c r="EC54" s="38"/>
      <c r="ED54" s="38"/>
      <c r="EE54" s="38"/>
      <c r="EF54" s="38"/>
      <c r="EG54" s="38"/>
      <c r="EH54" s="38"/>
      <c r="EI54" s="38"/>
      <c r="EJ54" s="38"/>
      <c r="EK54" s="38"/>
      <c r="EL54" s="38"/>
      <c r="EM54" s="38"/>
      <c r="EN54" s="38"/>
      <c r="EO54" s="38"/>
      <c r="EP54" s="38"/>
      <c r="EQ54" s="38"/>
      <c r="ER54" s="38"/>
      <c r="ES54" s="38"/>
      <c r="ET54" s="38"/>
      <c r="EU54" s="38"/>
      <c r="EV54" s="38"/>
    </row>
    <row r="55" spans="3:152">
      <c r="CY55" s="38"/>
      <c r="CZ55" s="38"/>
      <c r="DA55" s="38"/>
      <c r="DB55" s="38"/>
      <c r="DC55" s="38"/>
      <c r="DD55" s="38"/>
      <c r="DE55" s="38"/>
      <c r="DF55" s="38"/>
      <c r="DG55" s="38"/>
      <c r="DH55" s="38"/>
      <c r="DI55" s="38"/>
      <c r="DJ55" s="38"/>
      <c r="DK55" s="38"/>
      <c r="DL55" s="38"/>
      <c r="DM55" s="38"/>
      <c r="DN55" s="38"/>
      <c r="DO55" s="38"/>
      <c r="DP55" s="38"/>
      <c r="DQ55" s="38"/>
      <c r="DR55" s="38"/>
      <c r="DS55" s="38"/>
      <c r="DT55" s="38"/>
      <c r="DU55" s="38"/>
      <c r="DV55" s="38"/>
      <c r="DW55" s="38"/>
      <c r="DX55" s="38"/>
      <c r="DY55" s="38"/>
      <c r="DZ55" s="38"/>
      <c r="EA55" s="38"/>
      <c r="EB55" s="38"/>
      <c r="EC55" s="38"/>
      <c r="ED55" s="38"/>
      <c r="EE55" s="38"/>
      <c r="EF55" s="38"/>
      <c r="EG55" s="38"/>
      <c r="EH55" s="38"/>
      <c r="EI55" s="38"/>
      <c r="EJ55" s="38"/>
      <c r="EK55" s="38"/>
      <c r="EL55" s="38"/>
      <c r="EM55" s="38"/>
      <c r="EN55" s="38"/>
      <c r="EO55" s="38"/>
      <c r="EP55" s="38"/>
      <c r="EQ55" s="38"/>
      <c r="ER55" s="38"/>
      <c r="ES55" s="38"/>
      <c r="ET55" s="38"/>
      <c r="EU55" s="38"/>
      <c r="EV55" s="38"/>
    </row>
    <row r="56" spans="3:152">
      <c r="C56" s="45" t="str">
        <f>C27</f>
        <v>TWD_Generic</v>
      </c>
      <c r="D56" s="46" t="s">
        <v>44</v>
      </c>
      <c r="E56" s="46" t="s">
        <v>445</v>
      </c>
      <c r="F56" s="46" t="s">
        <v>87</v>
      </c>
      <c r="G56" s="49">
        <f>SUMIFS(Assumptions!BD$105:BD$128,Assumptions!$BB$105:$BB$128,'non-road'!$F56,Assumptions!$BC$105:$BC$128,'non-road'!$D56)/SUMIF(Assumptions!$BB$105:$BB$128,'non-road'!$F56,Assumptions!BD$105:BD$128)</f>
        <v>0</v>
      </c>
      <c r="H56" s="49">
        <f>SUMIFS(Assumptions!BE$105:BE$128,Assumptions!$BB$105:$BB$128,'non-road'!$F56,Assumptions!$BC$105:$BC$128,'non-road'!$D56)/SUMIF(Assumptions!$BB$105:$BB$128,'non-road'!$F56,Assumptions!BE$105:BE$128)</f>
        <v>0</v>
      </c>
      <c r="I56" s="49">
        <f>SUMIFS(Assumptions!BF$105:BF$128,Assumptions!$BB$105:$BB$128,'non-road'!$F56,Assumptions!$BC$105:$BC$128,'non-road'!$D56)/SUMIF(Assumptions!$BB$105:$BB$128,'non-road'!$F56,Assumptions!BF$105:BF$128)</f>
        <v>0</v>
      </c>
      <c r="J56" s="49">
        <f>SUMIFS(Assumptions!BG$105:BG$128,Assumptions!$BB$105:$BB$128,'non-road'!$F56,Assumptions!$BC$105:$BC$128,'non-road'!$D56)/SUMIF(Assumptions!$BB$105:$BB$128,'non-road'!$F56,Assumptions!BG$105:BG$128)</f>
        <v>0</v>
      </c>
      <c r="K56" s="49">
        <f>SUMIFS(Assumptions!BH$105:BH$128,Assumptions!$BB$105:$BB$128,'non-road'!$F56,Assumptions!$BC$105:$BC$128,'non-road'!$D56)/SUMIF(Assumptions!$BB$105:$BB$128,'non-road'!$F56,Assumptions!BH$105:BH$128)</f>
        <v>0</v>
      </c>
      <c r="L56" s="49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49">
        <f>SUMIFS(Assumptions!BJ$105:BJ$128,Assumptions!$BB$105:$BB$128,'non-road'!$F56,Assumptions!$BC$105:$BC$128,'non-road'!$D56)/SUMIF(Assumptions!$BB$105:$BB$128,'non-road'!$F56,Assumptions!BJ$105:BJ$128)</f>
        <v>0</v>
      </c>
      <c r="N56" s="49">
        <f>SUMIFS(Assumptions!BK$105:BK$128,Assumptions!$BB$105:$BB$128,'non-road'!$F56,Assumptions!$BC$105:$BC$128,'non-road'!$D56)/SUMIF(Assumptions!$BB$105:$BB$128,'non-road'!$F56,Assumptions!BK$105:BK$128)</f>
        <v>0</v>
      </c>
      <c r="O56" s="49">
        <f>SUMIFS(Assumptions!BL$105:BL$128,Assumptions!$BB$105:$BB$128,'non-road'!$F56,Assumptions!$BC$105:$BC$128,'non-road'!$D56)/SUMIF(Assumptions!$BB$105:$BB$128,'non-road'!$F56,Assumptions!BL$105:BL$128)</f>
        <v>0</v>
      </c>
      <c r="P56" s="49">
        <f>SUMIFS(Assumptions!BM$105:BM$128,Assumptions!$BB$105:$BB$128,'non-road'!$F56,Assumptions!$BC$105:$BC$128,'non-road'!$D56)/SUMIF(Assumptions!$BB$105:$BB$128,'non-road'!$F56,Assumptions!BM$105:BM$128)</f>
        <v>0</v>
      </c>
      <c r="Q56" s="49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49">
        <f>SUMIFS(Assumptions!BO$105:BO$128,Assumptions!$BB$105:$BB$128,'non-road'!$F56,Assumptions!$BC$105:$BC$128,'non-road'!$D56)/SUMIF(Assumptions!$BB$105:$BB$128,'non-road'!$F56,Assumptions!BO$105:BO$128)</f>
        <v>0</v>
      </c>
      <c r="S56" s="49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49">
        <f>SUMIFS(Assumptions!BQ$105:BQ$128,Assumptions!$BB$105:$BB$128,'non-road'!$F56,Assumptions!$BC$105:$BC$128,'non-road'!$D56)/SUMIF(Assumptions!$BB$105:$BB$128,'non-road'!$F56,Assumptions!BQ$105:BQ$128)</f>
        <v>0</v>
      </c>
      <c r="U56" s="49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49">
        <f>SUMIFS(Assumptions!BS$105:BS$128,Assumptions!$BB$105:$BB$128,'non-road'!$F56,Assumptions!$BC$105:$BC$128,'non-road'!$D56)/SUMIF(Assumptions!$BB$105:$BB$128,'non-road'!$F56,Assumptions!BS$105:BS$128)</f>
        <v>0</v>
      </c>
      <c r="W56" s="49">
        <f>SUMIFS(Assumptions!BT$105:BT$128,Assumptions!$BB$105:$BB$128,'non-road'!$F56,Assumptions!$BC$105:$BC$128,'non-road'!$D56)/SUMIF(Assumptions!$BB$105:$BB$128,'non-road'!$F56,Assumptions!BT$105:BT$128)</f>
        <v>0</v>
      </c>
      <c r="X56" s="49">
        <f>SUMIFS(Assumptions!BU$105:BU$128,Assumptions!$BB$105:$BB$128,'non-road'!$F56,Assumptions!$BC$105:$BC$128,'non-road'!$D56)/SUMIF(Assumptions!$BB$105:$BB$128,'non-road'!$F56,Assumptions!BU$105:BU$128)</f>
        <v>0</v>
      </c>
      <c r="Y56" s="49">
        <f>SUMIFS(Assumptions!BV$105:BV$128,Assumptions!$BB$105:$BB$128,'non-road'!$F56,Assumptions!$BC$105:$BC$128,'non-road'!$D56)/SUMIF(Assumptions!$BB$105:$BB$128,'non-road'!$F56,Assumptions!BV$105:BV$128)</f>
        <v>0</v>
      </c>
      <c r="Z56" s="49">
        <f>SUMIFS(Assumptions!BW$105:BW$128,Assumptions!$BB$105:$BB$128,'non-road'!$F56,Assumptions!$BC$105:$BC$128,'non-road'!$D56)/SUMIF(Assumptions!$BB$105:$BB$128,'non-road'!$F56,Assumptions!BW$105:BW$128)</f>
        <v>0</v>
      </c>
      <c r="AA56" s="49" t="e">
        <f>SUMIFS(Assumptions!BX$105:BX$128,Assumptions!$BB$105:$BB$128,'non-road'!$F56,Assumptions!$BC$105:$BC$128,'non-road'!$D56)/SUMIF(Assumptions!$BB$105:$BB$128,'non-road'!$F56,Assumptions!BX$105:BX$128)</f>
        <v>#DIV/0!</v>
      </c>
      <c r="AB56" s="49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49">
        <f>SUMIFS(Assumptions!BZ$105:BZ$128,Assumptions!$BB$105:$BB$128,'non-road'!$F56,Assumptions!$BC$105:$BC$128,'non-road'!$D56)/SUMIF(Assumptions!$BB$105:$BB$128,'non-road'!$F56,Assumptions!BZ$105:BZ$128)</f>
        <v>0</v>
      </c>
      <c r="AD56" s="49">
        <f>SUMIFS(Assumptions!CA$105:CA$128,Assumptions!$BB$105:$BB$128,'non-road'!$F56,Assumptions!$BC$105:$BC$128,'non-road'!$D56)/SUMIF(Assumptions!$BB$105:$BB$128,'non-road'!$F56,Assumptions!CA$105:CA$128)</f>
        <v>0</v>
      </c>
      <c r="AE56" s="49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49">
        <f>SUMIFS(Assumptions!CC$105:CC$128,Assumptions!$BB$105:$BB$128,'non-road'!$F56,Assumptions!$BC$105:$BC$128,'non-road'!$D56)/SUMIF(Assumptions!$BB$105:$BB$128,'non-road'!$F56,Assumptions!CC$105:CC$128)</f>
        <v>0</v>
      </c>
      <c r="AG56" s="49" t="e">
        <f>SUMIFS(Assumptions!CD$105:CD$128,Assumptions!$BB$105:$BB$128,'non-road'!$F56,Assumptions!$BC$105:$BC$128,'non-road'!$D56)/SUMIF(Assumptions!$BB$105:$BB$128,'non-road'!$F56,Assumptions!CD$105:CD$128)</f>
        <v>#DIV/0!</v>
      </c>
      <c r="AH56" s="49">
        <f>SUMIFS(Assumptions!CE$105:CE$128,Assumptions!$BB$105:$BB$128,'non-road'!$F56,Assumptions!$BC$105:$BC$128,'non-road'!$D56)/SUMIF(Assumptions!$BB$105:$BB$128,'non-road'!$F56,Assumptions!CE$105:CE$128)</f>
        <v>0</v>
      </c>
      <c r="AI56" s="49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49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49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49">
        <f>SUMIFS(Assumptions!CI$105:CI$128,Assumptions!$BB$105:$BB$128,'non-road'!$F56,Assumptions!$BC$105:$BC$128,'non-road'!$D56)/SUMIF(Assumptions!$BB$105:$BB$128,'non-road'!$F56,Assumptions!CI$105:CI$128)</f>
        <v>0</v>
      </c>
      <c r="AM56" s="49">
        <f>SUMIFS(Assumptions!CJ$105:CJ$128,Assumptions!$BB$105:$BB$128,'non-road'!$F56,Assumptions!$BC$105:$BC$128,'non-road'!$D56)/SUMIF(Assumptions!$BB$105:$BB$128,'non-road'!$F56,Assumptions!CJ$105:CJ$128)</f>
        <v>0</v>
      </c>
      <c r="AN56" s="49">
        <f>SUMIFS(Assumptions!CK$105:CK$128,Assumptions!$BB$105:$BB$128,'non-road'!$F56,Assumptions!$BC$105:$BC$128,'non-road'!$D56)/SUMIF(Assumptions!$BB$105:$BB$128,'non-road'!$F56,Assumptions!CK$105:CK$128)</f>
        <v>0</v>
      </c>
      <c r="AO56" s="49">
        <f>SUMIFS(Assumptions!CL$105:CL$128,Assumptions!$BB$105:$BB$128,'non-road'!$F56,Assumptions!$BC$105:$BC$128,'non-road'!$D56)/SUMIF(Assumptions!$BB$105:$BB$128,'non-road'!$F56,Assumptions!CL$105:CL$128)</f>
        <v>0</v>
      </c>
      <c r="AP56" s="49" t="e">
        <f>SUMIFS(Assumptions!CM$105:CM$128,Assumptions!$BB$105:$BB$128,'non-road'!$F56,Assumptions!$BC$105:$BC$128,'non-road'!$D56)/SUMIF(Assumptions!$BB$105:$BB$128,'non-road'!$F56,Assumptions!CM$105:CM$128)</f>
        <v>#DIV/0!</v>
      </c>
      <c r="AQ56" s="49" t="e">
        <f>SUMIFS(Assumptions!CN$105:CN$128,Assumptions!$BB$105:$BB$128,'non-road'!$F56,Assumptions!$BC$105:$BC$128,'non-road'!$D56)/SUMIF(Assumptions!$BB$105:$BB$128,'non-road'!$F56,Assumptions!CN$105:CN$128)</f>
        <v>#DIV/0!</v>
      </c>
      <c r="AR56" s="49" t="e">
        <f>SUMIFS(Assumptions!CO$105:CO$128,Assumptions!$BB$105:$BB$128,'non-road'!$F56,Assumptions!$BC$105:$BC$128,'non-road'!$D56)/SUMIF(Assumptions!$BB$105:$BB$128,'non-road'!$F56,Assumptions!CO$105:CO$128)</f>
        <v>#DIV/0!</v>
      </c>
      <c r="AS56" s="49" t="e">
        <f>SUMIFS(Assumptions!CP$105:CP$128,Assumptions!$BB$105:$BB$128,'non-road'!$F56,Assumptions!$BC$105:$BC$128,'non-road'!$D56)/SUMIF(Assumptions!$BB$105:$BB$128,'non-road'!$F56,Assumptions!CP$105:CP$128)</f>
        <v>#DIV/0!</v>
      </c>
      <c r="AT56" s="49" t="e">
        <f>SUMIFS(Assumptions!CQ$105:CQ$128,Assumptions!$BB$105:$BB$128,'non-road'!$F56,Assumptions!$BC$105:$BC$128,'non-road'!$D56)/SUMIF(Assumptions!$BB$105:$BB$128,'non-road'!$F56,Assumptions!CQ$105:CQ$128)</f>
        <v>#DIV/0!</v>
      </c>
      <c r="AU56" s="49" t="e">
        <f>SUMIFS(Assumptions!CR$105:CR$128,Assumptions!$BB$105:$BB$128,'non-road'!$F56,Assumptions!$BC$105:$BC$128,'non-road'!$D56)/SUMIF(Assumptions!$BB$105:$BB$128,'non-road'!$F56,Assumptions!CR$105:CR$128)</f>
        <v>#DIV/0!</v>
      </c>
      <c r="AV56" s="49" t="e">
        <f>SUMIFS(Assumptions!CS$105:CS$128,Assumptions!$BB$105:$BB$128,'non-road'!$F56,Assumptions!$BC$105:$BC$128,'non-road'!$D56)/SUMIF(Assumptions!$BB$105:$BB$128,'non-road'!$F56,Assumptions!CS$105:CS$128)</f>
        <v>#DIV/0!</v>
      </c>
      <c r="AW56" s="49" t="e">
        <f>SUMIFS(Assumptions!CT$105:CT$128,Assumptions!$BB$105:$BB$128,'non-road'!$F56,Assumptions!$BC$105:$BC$128,'non-road'!$D56)/SUMIF(Assumptions!$BB$105:$BB$128,'non-road'!$F56,Assumptions!CT$105:CT$128)</f>
        <v>#DIV/0!</v>
      </c>
      <c r="AX56" s="49" t="e">
        <f>SUMIFS(Assumptions!CU$105:CU$128,Assumptions!$BB$105:$BB$128,'non-road'!$F56,Assumptions!$BC$105:$BC$128,'non-road'!$D56)/SUMIF(Assumptions!$BB$105:$BB$128,'non-road'!$F56,Assumptions!CU$105:CU$128)</f>
        <v>#DIV/0!</v>
      </c>
      <c r="AY56" s="49" t="e">
        <f>SUMIFS(Assumptions!CV$105:CV$128,Assumptions!$BB$105:$BB$128,'non-road'!$F56,Assumptions!$BC$105:$BC$128,'non-road'!$D56)/SUMIF(Assumptions!$BB$105:$BB$128,'non-road'!$F56,Assumptions!CV$105:CV$128)</f>
        <v>#DIV/0!</v>
      </c>
      <c r="AZ56" s="49" t="e">
        <f>SUMIFS(Assumptions!CW$105:CW$128,Assumptions!$BB$105:$BB$128,'non-road'!$F56,Assumptions!$BC$105:$BC$128,'non-road'!$D56)/SUMIF(Assumptions!$BB$105:$BB$128,'non-road'!$F56,Assumptions!CW$105:CW$128)</f>
        <v>#DIV/0!</v>
      </c>
      <c r="CY56" s="38"/>
      <c r="CZ56" s="38"/>
      <c r="DA56" s="38"/>
      <c r="DB56" s="38"/>
      <c r="DC56" s="38"/>
      <c r="DD56" s="38"/>
      <c r="DE56" s="38"/>
      <c r="DF56" s="38"/>
      <c r="DG56" s="38"/>
      <c r="DH56" s="38"/>
      <c r="DI56" s="38"/>
      <c r="DJ56" s="38"/>
      <c r="DK56" s="38"/>
      <c r="DL56" s="38"/>
      <c r="DM56" s="38"/>
      <c r="DN56" s="38"/>
      <c r="DO56" s="38"/>
      <c r="DP56" s="38"/>
      <c r="DQ56" s="38"/>
      <c r="DR56" s="38"/>
      <c r="DS56" s="38"/>
      <c r="DT56" s="38"/>
      <c r="DU56" s="38"/>
      <c r="DV56" s="38"/>
      <c r="DW56" s="38"/>
      <c r="DX56" s="38"/>
      <c r="DY56" s="38"/>
      <c r="DZ56" s="38"/>
      <c r="EA56" s="38"/>
      <c r="EB56" s="38"/>
      <c r="EC56" s="38"/>
      <c r="ED56" s="38"/>
      <c r="EE56" s="38"/>
      <c r="EF56" s="38"/>
      <c r="EG56" s="38"/>
      <c r="EH56" s="38"/>
      <c r="EI56" s="38"/>
      <c r="EJ56" s="38"/>
      <c r="EK56" s="38"/>
      <c r="EL56" s="38"/>
      <c r="EM56" s="38"/>
      <c r="EN56" s="38"/>
      <c r="EO56" s="38"/>
      <c r="EP56" s="38"/>
      <c r="EQ56" s="38"/>
      <c r="ER56" s="38"/>
      <c r="ES56" s="38"/>
      <c r="ET56" s="38"/>
      <c r="EU56" s="38"/>
      <c r="EV56" s="38"/>
    </row>
    <row r="57" spans="3:152">
      <c r="C57" s="45"/>
      <c r="D57" s="46" t="s">
        <v>48</v>
      </c>
      <c r="E57" s="46" t="s">
        <v>445</v>
      </c>
      <c r="F57" s="46" t="s">
        <v>87</v>
      </c>
      <c r="G57" s="49">
        <f>SUMIFS(Assumptions!BD$105:BD$128,Assumptions!$BB$105:$BB$128,'non-road'!$F57,Assumptions!$BC$105:$BC$128,'non-road'!$D57)/SUMIF(Assumptions!$BB$105:$BB$128,'non-road'!$F57,Assumptions!BD$105:BD$128)</f>
        <v>0</v>
      </c>
      <c r="H57" s="49">
        <f>SUMIFS(Assumptions!BE$105:BE$128,Assumptions!$BB$105:$BB$128,'non-road'!$F57,Assumptions!$BC$105:$BC$128,'non-road'!$D57)/SUMIF(Assumptions!$BB$105:$BB$128,'non-road'!$F57,Assumptions!BE$105:BE$128)</f>
        <v>0</v>
      </c>
      <c r="I57" s="49">
        <f>SUMIFS(Assumptions!BF$105:BF$128,Assumptions!$BB$105:$BB$128,'non-road'!$F57,Assumptions!$BC$105:$BC$128,'non-road'!$D57)/SUMIF(Assumptions!$BB$105:$BB$128,'non-road'!$F57,Assumptions!BF$105:BF$128)</f>
        <v>0</v>
      </c>
      <c r="J57" s="49">
        <f>SUMIFS(Assumptions!BG$105:BG$128,Assumptions!$BB$105:$BB$128,'non-road'!$F57,Assumptions!$BC$105:$BC$128,'non-road'!$D57)/SUMIF(Assumptions!$BB$105:$BB$128,'non-road'!$F57,Assumptions!BG$105:BG$128)</f>
        <v>0</v>
      </c>
      <c r="K57" s="49">
        <f>SUMIFS(Assumptions!BH$105:BH$128,Assumptions!$BB$105:$BB$128,'non-road'!$F57,Assumptions!$BC$105:$BC$128,'non-road'!$D57)/SUMIF(Assumptions!$BB$105:$BB$128,'non-road'!$F57,Assumptions!BH$105:BH$128)</f>
        <v>0</v>
      </c>
      <c r="L57" s="49">
        <f>SUMIFS(Assumptions!BI$105:BI$128,Assumptions!$BB$105:$BB$128,'non-road'!$F57,Assumptions!$BC$105:$BC$128,'non-road'!$D57)/SUMIF(Assumptions!$BB$105:$BB$128,'non-road'!$F57,Assumptions!BI$105:BI$128)</f>
        <v>0</v>
      </c>
      <c r="M57" s="49">
        <f>SUMIFS(Assumptions!BJ$105:BJ$128,Assumptions!$BB$105:$BB$128,'non-road'!$F57,Assumptions!$BC$105:$BC$128,'non-road'!$D57)/SUMIF(Assumptions!$BB$105:$BB$128,'non-road'!$F57,Assumptions!BJ$105:BJ$128)</f>
        <v>0</v>
      </c>
      <c r="N57" s="49">
        <f>SUMIFS(Assumptions!BK$105:BK$128,Assumptions!$BB$105:$BB$128,'non-road'!$F57,Assumptions!$BC$105:$BC$128,'non-road'!$D57)/SUMIF(Assumptions!$BB$105:$BB$128,'non-road'!$F57,Assumptions!BK$105:BK$128)</f>
        <v>0</v>
      </c>
      <c r="O57" s="49">
        <f>SUMIFS(Assumptions!BL$105:BL$128,Assumptions!$BB$105:$BB$128,'non-road'!$F57,Assumptions!$BC$105:$BC$128,'non-road'!$D57)/SUMIF(Assumptions!$BB$105:$BB$128,'non-road'!$F57,Assumptions!BL$105:BL$128)</f>
        <v>0</v>
      </c>
      <c r="P57" s="49">
        <f>SUMIFS(Assumptions!BM$105:BM$128,Assumptions!$BB$105:$BB$128,'non-road'!$F57,Assumptions!$BC$105:$BC$128,'non-road'!$D57)/SUMIF(Assumptions!$BB$105:$BB$128,'non-road'!$F57,Assumptions!BM$105:BM$128)</f>
        <v>0</v>
      </c>
      <c r="Q57" s="49">
        <f>SUMIFS(Assumptions!BN$105:BN$128,Assumptions!$BB$105:$BB$128,'non-road'!$F57,Assumptions!$BC$105:$BC$128,'non-road'!$D57)/SUMIF(Assumptions!$BB$105:$BB$128,'non-road'!$F57,Assumptions!BN$105:BN$128)</f>
        <v>0</v>
      </c>
      <c r="R57" s="49">
        <f>SUMIFS(Assumptions!BO$105:BO$128,Assumptions!$BB$105:$BB$128,'non-road'!$F57,Assumptions!$BC$105:$BC$128,'non-road'!$D57)/SUMIF(Assumptions!$BB$105:$BB$128,'non-road'!$F57,Assumptions!BO$105:BO$128)</f>
        <v>0</v>
      </c>
      <c r="S57" s="49">
        <f>SUMIFS(Assumptions!BP$105:BP$128,Assumptions!$BB$105:$BB$128,'non-road'!$F57,Assumptions!$BC$105:$BC$128,'non-road'!$D57)/SUMIF(Assumptions!$BB$105:$BB$128,'non-road'!$F57,Assumptions!BP$105:BP$128)</f>
        <v>0</v>
      </c>
      <c r="T57" s="49">
        <f>SUMIFS(Assumptions!BQ$105:BQ$128,Assumptions!$BB$105:$BB$128,'non-road'!$F57,Assumptions!$BC$105:$BC$128,'non-road'!$D57)/SUMIF(Assumptions!$BB$105:$BB$128,'non-road'!$F57,Assumptions!BQ$105:BQ$128)</f>
        <v>0</v>
      </c>
      <c r="U57" s="49">
        <f>SUMIFS(Assumptions!BR$105:BR$128,Assumptions!$BB$105:$BB$128,'non-road'!$F57,Assumptions!$BC$105:$BC$128,'non-road'!$D57)/SUMIF(Assumptions!$BB$105:$BB$128,'non-road'!$F57,Assumptions!BR$105:BR$128)</f>
        <v>0</v>
      </c>
      <c r="V57" s="49">
        <f>SUMIFS(Assumptions!BS$105:BS$128,Assumptions!$BB$105:$BB$128,'non-road'!$F57,Assumptions!$BC$105:$BC$128,'non-road'!$D57)/SUMIF(Assumptions!$BB$105:$BB$128,'non-road'!$F57,Assumptions!BS$105:BS$128)</f>
        <v>0</v>
      </c>
      <c r="W57" s="49">
        <f>SUMIFS(Assumptions!BT$105:BT$128,Assumptions!$BB$105:$BB$128,'non-road'!$F57,Assumptions!$BC$105:$BC$128,'non-road'!$D57)/SUMIF(Assumptions!$BB$105:$BB$128,'non-road'!$F57,Assumptions!BT$105:BT$128)</f>
        <v>0</v>
      </c>
      <c r="X57" s="49">
        <f>SUMIFS(Assumptions!BU$105:BU$128,Assumptions!$BB$105:$BB$128,'non-road'!$F57,Assumptions!$BC$105:$BC$128,'non-road'!$D57)/SUMIF(Assumptions!$BB$105:$BB$128,'non-road'!$F57,Assumptions!BU$105:BU$128)</f>
        <v>0</v>
      </c>
      <c r="Y57" s="49">
        <f>SUMIFS(Assumptions!BV$105:BV$128,Assumptions!$BB$105:$BB$128,'non-road'!$F57,Assumptions!$BC$105:$BC$128,'non-road'!$D57)/SUMIF(Assumptions!$BB$105:$BB$128,'non-road'!$F57,Assumptions!BV$105:BV$128)</f>
        <v>0</v>
      </c>
      <c r="Z57" s="49">
        <f>SUMIFS(Assumptions!BW$105:BW$128,Assumptions!$BB$105:$BB$128,'non-road'!$F57,Assumptions!$BC$105:$BC$128,'non-road'!$D57)/SUMIF(Assumptions!$BB$105:$BB$128,'non-road'!$F57,Assumptions!BW$105:BW$128)</f>
        <v>0</v>
      </c>
      <c r="AA57" s="49" t="e">
        <f>SUMIFS(Assumptions!BX$105:BX$128,Assumptions!$BB$105:$BB$128,'non-road'!$F57,Assumptions!$BC$105:$BC$128,'non-road'!$D57)/SUMIF(Assumptions!$BB$105:$BB$128,'non-road'!$F57,Assumptions!BX$105:BX$128)</f>
        <v>#DIV/0!</v>
      </c>
      <c r="AB57" s="49">
        <f>SUMIFS(Assumptions!BY$105:BY$128,Assumptions!$BB$105:$BB$128,'non-road'!$F57,Assumptions!$BC$105:$BC$128,'non-road'!$D57)/SUMIF(Assumptions!$BB$105:$BB$128,'non-road'!$F57,Assumptions!BY$105:BY$128)</f>
        <v>0</v>
      </c>
      <c r="AC57" s="49">
        <f>SUMIFS(Assumptions!BZ$105:BZ$128,Assumptions!$BB$105:$BB$128,'non-road'!$F57,Assumptions!$BC$105:$BC$128,'non-road'!$D57)/SUMIF(Assumptions!$BB$105:$BB$128,'non-road'!$F57,Assumptions!BZ$105:BZ$128)</f>
        <v>0</v>
      </c>
      <c r="AD57" s="49">
        <f>SUMIFS(Assumptions!CA$105:CA$128,Assumptions!$BB$105:$BB$128,'non-road'!$F57,Assumptions!$BC$105:$BC$128,'non-road'!$D57)/SUMIF(Assumptions!$BB$105:$BB$128,'non-road'!$F57,Assumptions!CA$105:CA$128)</f>
        <v>0</v>
      </c>
      <c r="AE57" s="49">
        <f>SUMIFS(Assumptions!CB$105:CB$128,Assumptions!$BB$105:$BB$128,'non-road'!$F57,Assumptions!$BC$105:$BC$128,'non-road'!$D57)/SUMIF(Assumptions!$BB$105:$BB$128,'non-road'!$F57,Assumptions!CB$105:CB$128)</f>
        <v>0</v>
      </c>
      <c r="AF57" s="49">
        <f>SUMIFS(Assumptions!CC$105:CC$128,Assumptions!$BB$105:$BB$128,'non-road'!$F57,Assumptions!$BC$105:$BC$128,'non-road'!$D57)/SUMIF(Assumptions!$BB$105:$BB$128,'non-road'!$F57,Assumptions!CC$105:CC$128)</f>
        <v>0</v>
      </c>
      <c r="AG57" s="49" t="e">
        <f>SUMIFS(Assumptions!CD$105:CD$128,Assumptions!$BB$105:$BB$128,'non-road'!$F57,Assumptions!$BC$105:$BC$128,'non-road'!$D57)/SUMIF(Assumptions!$BB$105:$BB$128,'non-road'!$F57,Assumptions!CD$105:CD$128)</f>
        <v>#DIV/0!</v>
      </c>
      <c r="AH57" s="49">
        <f>SUMIFS(Assumptions!CE$105:CE$128,Assumptions!$BB$105:$BB$128,'non-road'!$F57,Assumptions!$BC$105:$BC$128,'non-road'!$D57)/SUMIF(Assumptions!$BB$105:$BB$128,'non-road'!$F57,Assumptions!CE$105:CE$128)</f>
        <v>0</v>
      </c>
      <c r="AI57" s="49">
        <f>SUMIFS(Assumptions!CF$105:CF$128,Assumptions!$BB$105:$BB$128,'non-road'!$F57,Assumptions!$BC$105:$BC$128,'non-road'!$D57)/SUMIF(Assumptions!$BB$105:$BB$128,'non-road'!$F57,Assumptions!CF$105:CF$128)</f>
        <v>0</v>
      </c>
      <c r="AJ57" s="49">
        <f>SUMIFS(Assumptions!CG$105:CG$128,Assumptions!$BB$105:$BB$128,'non-road'!$F57,Assumptions!$BC$105:$BC$128,'non-road'!$D57)/SUMIF(Assumptions!$BB$105:$BB$128,'non-road'!$F57,Assumptions!CG$105:CG$128)</f>
        <v>0</v>
      </c>
      <c r="AK57" s="49">
        <f>SUMIFS(Assumptions!CH$105:CH$128,Assumptions!$BB$105:$BB$128,'non-road'!$F57,Assumptions!$BC$105:$BC$128,'non-road'!$D57)/SUMIF(Assumptions!$BB$105:$BB$128,'non-road'!$F57,Assumptions!CH$105:CH$128)</f>
        <v>0</v>
      </c>
      <c r="AL57" s="49">
        <f>SUMIFS(Assumptions!CI$105:CI$128,Assumptions!$BB$105:$BB$128,'non-road'!$F57,Assumptions!$BC$105:$BC$128,'non-road'!$D57)/SUMIF(Assumptions!$BB$105:$BB$128,'non-road'!$F57,Assumptions!CI$105:CI$128)</f>
        <v>0</v>
      </c>
      <c r="AM57" s="49">
        <f>SUMIFS(Assumptions!CJ$105:CJ$128,Assumptions!$BB$105:$BB$128,'non-road'!$F57,Assumptions!$BC$105:$BC$128,'non-road'!$D57)/SUMIF(Assumptions!$BB$105:$BB$128,'non-road'!$F57,Assumptions!CJ$105:CJ$128)</f>
        <v>0</v>
      </c>
      <c r="AN57" s="49">
        <f>SUMIFS(Assumptions!CK$105:CK$128,Assumptions!$BB$105:$BB$128,'non-road'!$F57,Assumptions!$BC$105:$BC$128,'non-road'!$D57)/SUMIF(Assumptions!$BB$105:$BB$128,'non-road'!$F57,Assumptions!CK$105:CK$128)</f>
        <v>0</v>
      </c>
      <c r="AO57" s="49">
        <f>SUMIFS(Assumptions!CL$105:CL$128,Assumptions!$BB$105:$BB$128,'non-road'!$F57,Assumptions!$BC$105:$BC$128,'non-road'!$D57)/SUMIF(Assumptions!$BB$105:$BB$128,'non-road'!$F57,Assumptions!CL$105:CL$128)</f>
        <v>0</v>
      </c>
      <c r="AP57" s="49" t="e">
        <f>SUMIFS(Assumptions!CM$105:CM$128,Assumptions!$BB$105:$BB$128,'non-road'!$F57,Assumptions!$BC$105:$BC$128,'non-road'!$D57)/SUMIF(Assumptions!$BB$105:$BB$128,'non-road'!$F57,Assumptions!CM$105:CM$128)</f>
        <v>#DIV/0!</v>
      </c>
      <c r="AQ57" s="49" t="e">
        <f>SUMIFS(Assumptions!CN$105:CN$128,Assumptions!$BB$105:$BB$128,'non-road'!$F57,Assumptions!$BC$105:$BC$128,'non-road'!$D57)/SUMIF(Assumptions!$BB$105:$BB$128,'non-road'!$F57,Assumptions!CN$105:CN$128)</f>
        <v>#DIV/0!</v>
      </c>
      <c r="AR57" s="49" t="e">
        <f>SUMIFS(Assumptions!CO$105:CO$128,Assumptions!$BB$105:$BB$128,'non-road'!$F57,Assumptions!$BC$105:$BC$128,'non-road'!$D57)/SUMIF(Assumptions!$BB$105:$BB$128,'non-road'!$F57,Assumptions!CO$105:CO$128)</f>
        <v>#DIV/0!</v>
      </c>
      <c r="AS57" s="49" t="e">
        <f>SUMIFS(Assumptions!CP$105:CP$128,Assumptions!$BB$105:$BB$128,'non-road'!$F57,Assumptions!$BC$105:$BC$128,'non-road'!$D57)/SUMIF(Assumptions!$BB$105:$BB$128,'non-road'!$F57,Assumptions!CP$105:CP$128)</f>
        <v>#DIV/0!</v>
      </c>
      <c r="AT57" s="49" t="e">
        <f>SUMIFS(Assumptions!CQ$105:CQ$128,Assumptions!$BB$105:$BB$128,'non-road'!$F57,Assumptions!$BC$105:$BC$128,'non-road'!$D57)/SUMIF(Assumptions!$BB$105:$BB$128,'non-road'!$F57,Assumptions!CQ$105:CQ$128)</f>
        <v>#DIV/0!</v>
      </c>
      <c r="AU57" s="49" t="e">
        <f>SUMIFS(Assumptions!CR$105:CR$128,Assumptions!$BB$105:$BB$128,'non-road'!$F57,Assumptions!$BC$105:$BC$128,'non-road'!$D57)/SUMIF(Assumptions!$BB$105:$BB$128,'non-road'!$F57,Assumptions!CR$105:CR$128)</f>
        <v>#DIV/0!</v>
      </c>
      <c r="AV57" s="49" t="e">
        <f>SUMIFS(Assumptions!CS$105:CS$128,Assumptions!$BB$105:$BB$128,'non-road'!$F57,Assumptions!$BC$105:$BC$128,'non-road'!$D57)/SUMIF(Assumptions!$BB$105:$BB$128,'non-road'!$F57,Assumptions!CS$105:CS$128)</f>
        <v>#DIV/0!</v>
      </c>
      <c r="AW57" s="49" t="e">
        <f>SUMIFS(Assumptions!CT$105:CT$128,Assumptions!$BB$105:$BB$128,'non-road'!$F57,Assumptions!$BC$105:$BC$128,'non-road'!$D57)/SUMIF(Assumptions!$BB$105:$BB$128,'non-road'!$F57,Assumptions!CT$105:CT$128)</f>
        <v>#DIV/0!</v>
      </c>
      <c r="AX57" s="49" t="e">
        <f>SUMIFS(Assumptions!CU$105:CU$128,Assumptions!$BB$105:$BB$128,'non-road'!$F57,Assumptions!$BC$105:$BC$128,'non-road'!$D57)/SUMIF(Assumptions!$BB$105:$BB$128,'non-road'!$F57,Assumptions!CU$105:CU$128)</f>
        <v>#DIV/0!</v>
      </c>
      <c r="AY57" s="49" t="e">
        <f>SUMIFS(Assumptions!CV$105:CV$128,Assumptions!$BB$105:$BB$128,'non-road'!$F57,Assumptions!$BC$105:$BC$128,'non-road'!$D57)/SUMIF(Assumptions!$BB$105:$BB$128,'non-road'!$F57,Assumptions!CV$105:CV$128)</f>
        <v>#DIV/0!</v>
      </c>
      <c r="AZ57" s="49" t="e">
        <f>SUMIFS(Assumptions!CW$105:CW$128,Assumptions!$BB$105:$BB$128,'non-road'!$F57,Assumptions!$BC$105:$BC$128,'non-road'!$D57)/SUMIF(Assumptions!$BB$105:$BB$128,'non-road'!$F57,Assumptions!CW$105:CW$128)</f>
        <v>#DIV/0!</v>
      </c>
      <c r="CY57" s="38"/>
      <c r="CZ57" s="38"/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/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/>
      <c r="ER57" s="38"/>
      <c r="ES57" s="38"/>
      <c r="ET57" s="38"/>
      <c r="EU57" s="38"/>
      <c r="EV57" s="38"/>
    </row>
    <row r="58" spans="3:152">
      <c r="CY58" s="38"/>
      <c r="CZ58" s="38"/>
      <c r="DA58" s="38"/>
      <c r="DB58" s="38"/>
      <c r="DC58" s="38"/>
      <c r="DD58" s="38"/>
      <c r="DE58" s="38"/>
      <c r="DF58" s="38"/>
      <c r="DG58" s="38"/>
      <c r="DH58" s="38"/>
      <c r="DI58" s="38"/>
      <c r="DJ58" s="38"/>
      <c r="DK58" s="38"/>
      <c r="DL58" s="38"/>
      <c r="DM58" s="38"/>
      <c r="DN58" s="38"/>
      <c r="DO58" s="38"/>
      <c r="DP58" s="38"/>
      <c r="DQ58" s="38"/>
      <c r="DR58" s="38"/>
      <c r="DS58" s="38"/>
      <c r="DT58" s="38"/>
      <c r="DU58" s="38"/>
      <c r="DV58" s="38"/>
      <c r="DW58" s="38"/>
      <c r="DX58" s="38"/>
      <c r="DY58" s="38"/>
      <c r="DZ58" s="38"/>
      <c r="EA58" s="38"/>
      <c r="EB58" s="38"/>
      <c r="EC58" s="38"/>
      <c r="ED58" s="38"/>
      <c r="EE58" s="38"/>
      <c r="EF58" s="38"/>
      <c r="EG58" s="38"/>
      <c r="EH58" s="38"/>
      <c r="EI58" s="38"/>
      <c r="EJ58" s="38"/>
      <c r="EK58" s="38"/>
      <c r="EL58" s="38"/>
      <c r="EM58" s="38"/>
      <c r="EN58" s="38"/>
      <c r="EO58" s="38"/>
      <c r="EP58" s="38"/>
      <c r="EQ58" s="38"/>
      <c r="ER58" s="38"/>
      <c r="ES58" s="38"/>
      <c r="ET58" s="38"/>
      <c r="EU58" s="38"/>
      <c r="EV58" s="38"/>
    </row>
    <row r="59" spans="3:152">
      <c r="CY59" s="38"/>
      <c r="CZ59" s="38"/>
      <c r="DA59" s="38"/>
      <c r="DB59" s="38"/>
      <c r="DC59" s="38"/>
      <c r="DD59" s="38"/>
      <c r="DE59" s="38"/>
      <c r="DF59" s="38"/>
      <c r="DG59" s="38"/>
      <c r="DH59" s="38"/>
      <c r="DI59" s="38"/>
      <c r="DJ59" s="38"/>
      <c r="DK59" s="38"/>
      <c r="DL59" s="38"/>
      <c r="DM59" s="38"/>
      <c r="DN59" s="38"/>
      <c r="DO59" s="38"/>
      <c r="DP59" s="38"/>
      <c r="DQ59" s="38"/>
      <c r="DR59" s="38"/>
      <c r="DS59" s="38"/>
      <c r="DT59" s="38"/>
      <c r="DU59" s="38"/>
      <c r="DV59" s="38"/>
      <c r="DW59" s="38"/>
      <c r="DX59" s="38"/>
      <c r="DY59" s="38"/>
      <c r="DZ59" s="38"/>
      <c r="EA59" s="38"/>
      <c r="EB59" s="38"/>
      <c r="EC59" s="38"/>
      <c r="ED59" s="38"/>
      <c r="EE59" s="38"/>
      <c r="EF59" s="38"/>
      <c r="EG59" s="38"/>
      <c r="EH59" s="38"/>
      <c r="EI59" s="38"/>
      <c r="EJ59" s="38"/>
      <c r="EK59" s="38"/>
      <c r="EL59" s="38"/>
      <c r="EM59" s="38"/>
      <c r="EN59" s="38"/>
      <c r="EO59" s="38"/>
      <c r="EP59" s="38"/>
      <c r="EQ59" s="38"/>
      <c r="ER59" s="38"/>
      <c r="ES59" s="38"/>
      <c r="ET59" s="38"/>
      <c r="EU59" s="38"/>
      <c r="EV59" s="38"/>
    </row>
    <row r="60" spans="3:152">
      <c r="CY60" s="38"/>
      <c r="CZ60" s="38"/>
      <c r="DA60" s="38"/>
      <c r="DB60" s="38"/>
      <c r="DC60" s="38"/>
      <c r="DD60" s="38"/>
      <c r="DE60" s="38"/>
      <c r="DF60" s="38"/>
      <c r="DG60" s="38"/>
      <c r="DH60" s="38"/>
      <c r="DI60" s="38"/>
      <c r="DJ60" s="38"/>
      <c r="DK60" s="38"/>
      <c r="DL60" s="38"/>
      <c r="DM60" s="38"/>
      <c r="DN60" s="38"/>
      <c r="DO60" s="38"/>
      <c r="DP60" s="38"/>
      <c r="DQ60" s="38"/>
      <c r="DR60" s="38"/>
      <c r="DS60" s="38"/>
      <c r="DT60" s="38"/>
      <c r="DU60" s="38"/>
      <c r="DV60" s="38"/>
      <c r="DW60" s="38"/>
      <c r="DX60" s="38"/>
      <c r="DY60" s="38"/>
      <c r="DZ60" s="38"/>
      <c r="EA60" s="38"/>
      <c r="EB60" s="38"/>
      <c r="EC60" s="38"/>
      <c r="ED60" s="38"/>
      <c r="EE60" s="38"/>
      <c r="EF60" s="38"/>
      <c r="EG60" s="38"/>
      <c r="EH60" s="38"/>
      <c r="EI60" s="38"/>
      <c r="EJ60" s="38"/>
      <c r="EK60" s="38"/>
      <c r="EL60" s="38"/>
      <c r="EM60" s="38"/>
      <c r="EN60" s="38"/>
      <c r="EO60" s="38"/>
      <c r="EP60" s="38"/>
      <c r="EQ60" s="38"/>
      <c r="ER60" s="38"/>
      <c r="ES60" s="38"/>
      <c r="ET60" s="38"/>
      <c r="EU60" s="38"/>
      <c r="EV60" s="38"/>
    </row>
    <row r="61" spans="3:152">
      <c r="C61" s="45" t="str">
        <f>C35</f>
        <v>TWI_Generic</v>
      </c>
      <c r="D61" s="46" t="s">
        <v>44</v>
      </c>
      <c r="E61" s="46" t="s">
        <v>445</v>
      </c>
      <c r="F61" s="46" t="s">
        <v>88</v>
      </c>
      <c r="G61" s="49">
        <f>SUMIFS(Assumptions!BD$105:BD$128,Assumptions!$BB$105:$BB$128,'non-road'!$F61,Assumptions!$BC$105:$BC$128,'non-road'!$D61)/SUMIF(Assumptions!$BB$105:$BB$128,'non-road'!$F61,Assumptions!BD$105:BD$128)</f>
        <v>0</v>
      </c>
      <c r="H61" s="49">
        <f>SUMIFS(Assumptions!BE$105:BE$128,Assumptions!$BB$105:$BB$128,'non-road'!$F61,Assumptions!$BC$105:$BC$128,'non-road'!$D61)/SUMIF(Assumptions!$BB$105:$BB$128,'non-road'!$F61,Assumptions!BE$105:BE$128)</f>
        <v>0</v>
      </c>
      <c r="I61" s="49">
        <f>SUMIFS(Assumptions!BF$105:BF$128,Assumptions!$BB$105:$BB$128,'non-road'!$F61,Assumptions!$BC$105:$BC$128,'non-road'!$D61)/SUMIF(Assumptions!$BB$105:$BB$128,'non-road'!$F61,Assumptions!BF$105:BF$128)</f>
        <v>0</v>
      </c>
      <c r="J61" s="49">
        <f>SUMIFS(Assumptions!BG$105:BG$128,Assumptions!$BB$105:$BB$128,'non-road'!$F61,Assumptions!$BC$105:$BC$128,'non-road'!$D61)/SUMIF(Assumptions!$BB$105:$BB$128,'non-road'!$F61,Assumptions!BG$105:BG$128)</f>
        <v>0</v>
      </c>
      <c r="K61" s="49">
        <f>SUMIFS(Assumptions!BH$105:BH$128,Assumptions!$BB$105:$BB$128,'non-road'!$F61,Assumptions!$BC$105:$BC$128,'non-road'!$D61)/SUMIF(Assumptions!$BB$105:$BB$128,'non-road'!$F61,Assumptions!BH$105:BH$128)</f>
        <v>0</v>
      </c>
      <c r="L61" s="49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49">
        <f>SUMIFS(Assumptions!BJ$105:BJ$128,Assumptions!$BB$105:$BB$128,'non-road'!$F61,Assumptions!$BC$105:$BC$128,'non-road'!$D61)/SUMIF(Assumptions!$BB$105:$BB$128,'non-road'!$F61,Assumptions!BJ$105:BJ$128)</f>
        <v>0</v>
      </c>
      <c r="N61" s="49">
        <f>SUMIFS(Assumptions!BK$105:BK$128,Assumptions!$BB$105:$BB$128,'non-road'!$F61,Assumptions!$BC$105:$BC$128,'non-road'!$D61)/SUMIF(Assumptions!$BB$105:$BB$128,'non-road'!$F61,Assumptions!BK$105:BK$128)</f>
        <v>0</v>
      </c>
      <c r="O61" s="49">
        <f>SUMIFS(Assumptions!BL$105:BL$128,Assumptions!$BB$105:$BB$128,'non-road'!$F61,Assumptions!$BC$105:$BC$128,'non-road'!$D61)/SUMIF(Assumptions!$BB$105:$BB$128,'non-road'!$F61,Assumptions!BL$105:BL$128)</f>
        <v>0</v>
      </c>
      <c r="P61" s="49" t="e">
        <f>SUMIFS(Assumptions!BM$105:BM$128,Assumptions!$BB$105:$BB$128,'non-road'!$F61,Assumptions!$BC$105:$BC$128,'non-road'!$D61)/SUMIF(Assumptions!$BB$105:$BB$128,'non-road'!$F61,Assumptions!BM$105:BM$128)</f>
        <v>#DIV/0!</v>
      </c>
      <c r="Q61" s="49">
        <f>SUMIFS(Assumptions!BN$105:BN$128,Assumptions!$BB$105:$BB$128,'non-road'!$F61,Assumptions!$BC$105:$BC$128,'non-road'!$D61)/SUMIF(Assumptions!$BB$105:$BB$128,'non-road'!$F61,Assumptions!BN$105:BN$128)</f>
        <v>0</v>
      </c>
      <c r="R61" s="49">
        <f>SUMIFS(Assumptions!BO$105:BO$128,Assumptions!$BB$105:$BB$128,'non-road'!$F61,Assumptions!$BC$105:$BC$128,'non-road'!$D61)/SUMIF(Assumptions!$BB$105:$BB$128,'non-road'!$F61,Assumptions!BO$105:BO$128)</f>
        <v>0</v>
      </c>
      <c r="S61" s="49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49">
        <f>SUMIFS(Assumptions!BQ$105:BQ$128,Assumptions!$BB$105:$BB$128,'non-road'!$F61,Assumptions!$BC$105:$BC$128,'non-road'!$D61)/SUMIF(Assumptions!$BB$105:$BB$128,'non-road'!$F61,Assumptions!BQ$105:BQ$128)</f>
        <v>0</v>
      </c>
      <c r="U61" s="49">
        <f>SUMIFS(Assumptions!BR$105:BR$128,Assumptions!$BB$105:$BB$128,'non-road'!$F61,Assumptions!$BC$105:$BC$128,'non-road'!$D61)/SUMIF(Assumptions!$BB$105:$BB$128,'non-road'!$F61,Assumptions!BR$105:BR$128)</f>
        <v>0</v>
      </c>
      <c r="V61" s="49">
        <f>SUMIFS(Assumptions!BS$105:BS$128,Assumptions!$BB$105:$BB$128,'non-road'!$F61,Assumptions!$BC$105:$BC$128,'non-road'!$D61)/SUMIF(Assumptions!$BB$105:$BB$128,'non-road'!$F61,Assumptions!BS$105:BS$128)</f>
        <v>0</v>
      </c>
      <c r="W61" s="49">
        <f>SUMIFS(Assumptions!BT$105:BT$128,Assumptions!$BB$105:$BB$128,'non-road'!$F61,Assumptions!$BC$105:$BC$128,'non-road'!$D61)/SUMIF(Assumptions!$BB$105:$BB$128,'non-road'!$F61,Assumptions!BT$105:BT$128)</f>
        <v>0</v>
      </c>
      <c r="X61" s="49">
        <f>SUMIFS(Assumptions!BU$105:BU$128,Assumptions!$BB$105:$BB$128,'non-road'!$F61,Assumptions!$BC$105:$BC$128,'non-road'!$D61)/SUMIF(Assumptions!$BB$105:$BB$128,'non-road'!$F61,Assumptions!BU$105:BU$128)</f>
        <v>0</v>
      </c>
      <c r="Y61" s="49">
        <f>SUMIFS(Assumptions!BV$105:BV$128,Assumptions!$BB$105:$BB$128,'non-road'!$F61,Assumptions!$BC$105:$BC$128,'non-road'!$D61)/SUMIF(Assumptions!$BB$105:$BB$128,'non-road'!$F61,Assumptions!BV$105:BV$128)</f>
        <v>0</v>
      </c>
      <c r="Z61" s="49">
        <f>SUMIFS(Assumptions!BW$105:BW$128,Assumptions!$BB$105:$BB$128,'non-road'!$F61,Assumptions!$BC$105:$BC$128,'non-road'!$D61)/SUMIF(Assumptions!$BB$105:$BB$128,'non-road'!$F61,Assumptions!BW$105:BW$128)</f>
        <v>0</v>
      </c>
      <c r="AA61" s="49">
        <f>SUMIFS(Assumptions!BX$105:BX$128,Assumptions!$BB$105:$BB$128,'non-road'!$F61,Assumptions!$BC$105:$BC$128,'non-road'!$D61)/SUMIF(Assumptions!$BB$105:$BB$128,'non-road'!$F61,Assumptions!BX$105:BX$128)</f>
        <v>0</v>
      </c>
      <c r="AB61" s="49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49">
        <f>SUMIFS(Assumptions!BZ$105:BZ$128,Assumptions!$BB$105:$BB$128,'non-road'!$F61,Assumptions!$BC$105:$BC$128,'non-road'!$D61)/SUMIF(Assumptions!$BB$105:$BB$128,'non-road'!$F61,Assumptions!BZ$105:BZ$128)</f>
        <v>0</v>
      </c>
      <c r="AD61" s="49">
        <f>SUMIFS(Assumptions!CA$105:CA$128,Assumptions!$BB$105:$BB$128,'non-road'!$F61,Assumptions!$BC$105:$BC$128,'non-road'!$D61)/SUMIF(Assumptions!$BB$105:$BB$128,'non-road'!$F61,Assumptions!CA$105:CA$128)</f>
        <v>0</v>
      </c>
      <c r="AE61" s="49">
        <f>SUMIFS(Assumptions!CB$105:CB$128,Assumptions!$BB$105:$BB$128,'non-road'!$F61,Assumptions!$BC$105:$BC$128,'non-road'!$D61)/SUMIF(Assumptions!$BB$105:$BB$128,'non-road'!$F61,Assumptions!CB$105:CB$128)</f>
        <v>0</v>
      </c>
      <c r="AF61" s="49">
        <f>SUMIFS(Assumptions!CC$105:CC$128,Assumptions!$BB$105:$BB$128,'non-road'!$F61,Assumptions!$BC$105:$BC$128,'non-road'!$D61)/SUMIF(Assumptions!$BB$105:$BB$128,'non-road'!$F61,Assumptions!CC$105:CC$128)</f>
        <v>0</v>
      </c>
      <c r="AG61" s="49">
        <f>SUMIFS(Assumptions!CD$105:CD$128,Assumptions!$BB$105:$BB$128,'non-road'!$F61,Assumptions!$BC$105:$BC$128,'non-road'!$D61)/SUMIF(Assumptions!$BB$105:$BB$128,'non-road'!$F61,Assumptions!CD$105:CD$128)</f>
        <v>0</v>
      </c>
      <c r="AH61" s="49">
        <f>SUMIFS(Assumptions!CE$105:CE$128,Assumptions!$BB$105:$BB$128,'non-road'!$F61,Assumptions!$BC$105:$BC$128,'non-road'!$D61)/SUMIF(Assumptions!$BB$105:$BB$128,'non-road'!$F61,Assumptions!CE$105:CE$128)</f>
        <v>0</v>
      </c>
      <c r="AI61" s="49">
        <f>SUMIFS(Assumptions!CF$105:CF$128,Assumptions!$BB$105:$BB$128,'non-road'!$F61,Assumptions!$BC$105:$BC$128,'non-road'!$D61)/SUMIF(Assumptions!$BB$105:$BB$128,'non-road'!$F61,Assumptions!CF$105:CF$128)</f>
        <v>0</v>
      </c>
      <c r="AJ61" s="49">
        <f>SUMIFS(Assumptions!CG$105:CG$128,Assumptions!$BB$105:$BB$128,'non-road'!$F61,Assumptions!$BC$105:$BC$128,'non-road'!$D61)/SUMIF(Assumptions!$BB$105:$BB$128,'non-road'!$F61,Assumptions!CG$105:CG$128)</f>
        <v>0</v>
      </c>
      <c r="AK61" s="49">
        <f>SUMIFS(Assumptions!CH$105:CH$128,Assumptions!$BB$105:$BB$128,'non-road'!$F61,Assumptions!$BC$105:$BC$128,'non-road'!$D61)/SUMIF(Assumptions!$BB$105:$BB$128,'non-road'!$F61,Assumptions!CH$105:CH$128)</f>
        <v>0</v>
      </c>
      <c r="AL61" s="49">
        <f>SUMIFS(Assumptions!CI$105:CI$128,Assumptions!$BB$105:$BB$128,'non-road'!$F61,Assumptions!$BC$105:$BC$128,'non-road'!$D61)/SUMIF(Assumptions!$BB$105:$BB$128,'non-road'!$F61,Assumptions!CI$105:CI$128)</f>
        <v>0</v>
      </c>
      <c r="AM61" s="49">
        <f>SUMIFS(Assumptions!CJ$105:CJ$128,Assumptions!$BB$105:$BB$128,'non-road'!$F61,Assumptions!$BC$105:$BC$128,'non-road'!$D61)/SUMIF(Assumptions!$BB$105:$BB$128,'non-road'!$F61,Assumptions!CJ$105:CJ$128)</f>
        <v>0</v>
      </c>
      <c r="AN61" s="49" t="e">
        <f>SUMIFS(Assumptions!CK$105:CK$128,Assumptions!$BB$105:$BB$128,'non-road'!$F61,Assumptions!$BC$105:$BC$128,'non-road'!$D61)/SUMIF(Assumptions!$BB$105:$BB$128,'non-road'!$F61,Assumptions!CK$105:CK$128)</f>
        <v>#DIV/0!</v>
      </c>
      <c r="AO61" s="49">
        <f>SUMIFS(Assumptions!CL$105:CL$128,Assumptions!$BB$105:$BB$128,'non-road'!$F61,Assumptions!$BC$105:$BC$128,'non-road'!$D61)/SUMIF(Assumptions!$BB$105:$BB$128,'non-road'!$F61,Assumptions!CL$105:CL$128)</f>
        <v>0</v>
      </c>
      <c r="AP61" s="49" t="e">
        <f>SUMIFS(Assumptions!CM$105:CM$128,Assumptions!$BB$105:$BB$128,'non-road'!$F61,Assumptions!$BC$105:$BC$128,'non-road'!$D61)/SUMIF(Assumptions!$BB$105:$BB$128,'non-road'!$F61,Assumptions!CM$105:CM$128)</f>
        <v>#DIV/0!</v>
      </c>
      <c r="AQ61" s="49" t="e">
        <f>SUMIFS(Assumptions!CN$105:CN$128,Assumptions!$BB$105:$BB$128,'non-road'!$F61,Assumptions!$BC$105:$BC$128,'non-road'!$D61)/SUMIF(Assumptions!$BB$105:$BB$128,'non-road'!$F61,Assumptions!CN$105:CN$128)</f>
        <v>#DIV/0!</v>
      </c>
      <c r="AR61" s="49" t="e">
        <f>SUMIFS(Assumptions!CO$105:CO$128,Assumptions!$BB$105:$BB$128,'non-road'!$F61,Assumptions!$BC$105:$BC$128,'non-road'!$D61)/SUMIF(Assumptions!$BB$105:$BB$128,'non-road'!$F61,Assumptions!CO$105:CO$128)</f>
        <v>#DIV/0!</v>
      </c>
      <c r="AS61" s="49" t="e">
        <f>SUMIFS(Assumptions!CP$105:CP$128,Assumptions!$BB$105:$BB$128,'non-road'!$F61,Assumptions!$BC$105:$BC$128,'non-road'!$D61)/SUMIF(Assumptions!$BB$105:$BB$128,'non-road'!$F61,Assumptions!CP$105:CP$128)</f>
        <v>#DIV/0!</v>
      </c>
      <c r="AT61" s="49" t="e">
        <f>SUMIFS(Assumptions!CQ$105:CQ$128,Assumptions!$BB$105:$BB$128,'non-road'!$F61,Assumptions!$BC$105:$BC$128,'non-road'!$D61)/SUMIF(Assumptions!$BB$105:$BB$128,'non-road'!$F61,Assumptions!CQ$105:CQ$128)</f>
        <v>#DIV/0!</v>
      </c>
      <c r="AU61" s="49" t="e">
        <f>SUMIFS(Assumptions!CR$105:CR$128,Assumptions!$BB$105:$BB$128,'non-road'!$F61,Assumptions!$BC$105:$BC$128,'non-road'!$D61)/SUMIF(Assumptions!$BB$105:$BB$128,'non-road'!$F61,Assumptions!CR$105:CR$128)</f>
        <v>#DIV/0!</v>
      </c>
      <c r="AV61" s="49" t="e">
        <f>SUMIFS(Assumptions!CS$105:CS$128,Assumptions!$BB$105:$BB$128,'non-road'!$F61,Assumptions!$BC$105:$BC$128,'non-road'!$D61)/SUMIF(Assumptions!$BB$105:$BB$128,'non-road'!$F61,Assumptions!CS$105:CS$128)</f>
        <v>#DIV/0!</v>
      </c>
      <c r="AW61" s="49" t="e">
        <f>SUMIFS(Assumptions!CT$105:CT$128,Assumptions!$BB$105:$BB$128,'non-road'!$F61,Assumptions!$BC$105:$BC$128,'non-road'!$D61)/SUMIF(Assumptions!$BB$105:$BB$128,'non-road'!$F61,Assumptions!CT$105:CT$128)</f>
        <v>#DIV/0!</v>
      </c>
      <c r="AX61" s="49" t="e">
        <f>SUMIFS(Assumptions!CU$105:CU$128,Assumptions!$BB$105:$BB$128,'non-road'!$F61,Assumptions!$BC$105:$BC$128,'non-road'!$D61)/SUMIF(Assumptions!$BB$105:$BB$128,'non-road'!$F61,Assumptions!CU$105:CU$128)</f>
        <v>#DIV/0!</v>
      </c>
      <c r="AY61" s="49" t="e">
        <f>SUMIFS(Assumptions!CV$105:CV$128,Assumptions!$BB$105:$BB$128,'non-road'!$F61,Assumptions!$BC$105:$BC$128,'non-road'!$D61)/SUMIF(Assumptions!$BB$105:$BB$128,'non-road'!$F61,Assumptions!CV$105:CV$128)</f>
        <v>#DIV/0!</v>
      </c>
      <c r="AZ61" s="49" t="e">
        <f>SUMIFS(Assumptions!CW$105:CW$128,Assumptions!$BB$105:$BB$128,'non-road'!$F61,Assumptions!$BC$105:$BC$128,'non-road'!$D61)/SUMIF(Assumptions!$BB$105:$BB$128,'non-road'!$F61,Assumptions!CW$105:CW$128)</f>
        <v>#DIV/0!</v>
      </c>
      <c r="CY61" s="38"/>
      <c r="CZ61" s="38"/>
      <c r="DA61" s="38"/>
      <c r="DB61" s="38"/>
      <c r="DC61" s="38"/>
      <c r="DD61" s="38"/>
      <c r="DE61" s="38"/>
      <c r="DF61" s="38"/>
      <c r="DG61" s="38"/>
      <c r="DH61" s="38"/>
      <c r="DI61" s="38"/>
      <c r="DJ61" s="38"/>
      <c r="DK61" s="38"/>
      <c r="DL61" s="38"/>
      <c r="DM61" s="38"/>
      <c r="DN61" s="38"/>
      <c r="DO61" s="38"/>
      <c r="DP61" s="38"/>
      <c r="DQ61" s="38"/>
      <c r="DR61" s="38"/>
      <c r="DS61" s="38"/>
      <c r="DT61" s="38"/>
      <c r="DU61" s="38"/>
      <c r="DV61" s="38"/>
      <c r="DW61" s="38"/>
      <c r="DX61" s="38"/>
      <c r="DY61" s="38"/>
      <c r="DZ61" s="38"/>
      <c r="EA61" s="38"/>
      <c r="EB61" s="38"/>
      <c r="EC61" s="38"/>
      <c r="ED61" s="38"/>
      <c r="EE61" s="38"/>
      <c r="EF61" s="38"/>
      <c r="EG61" s="38"/>
      <c r="EH61" s="38"/>
      <c r="EI61" s="38"/>
      <c r="EJ61" s="38"/>
      <c r="EK61" s="38"/>
      <c r="EL61" s="38"/>
      <c r="EM61" s="38"/>
      <c r="EN61" s="38"/>
      <c r="EO61" s="38"/>
      <c r="EP61" s="38"/>
      <c r="EQ61" s="38"/>
      <c r="ER61" s="38"/>
      <c r="ES61" s="38"/>
      <c r="ET61" s="38"/>
      <c r="EU61" s="38"/>
      <c r="EV61" s="38"/>
    </row>
    <row r="62" spans="3:152">
      <c r="CY62" s="38"/>
      <c r="EV62" s="38"/>
    </row>
    <row r="63" spans="3:152">
      <c r="CY63" s="38"/>
      <c r="EV63" s="38"/>
    </row>
    <row r="64" spans="3:152">
      <c r="CY64" s="38"/>
      <c r="EV64" s="38"/>
    </row>
    <row r="65" spans="103:152">
      <c r="CY65" s="38"/>
      <c r="EV65" s="38"/>
    </row>
    <row r="66" spans="103:152">
      <c r="CY66" s="38"/>
      <c r="EV66" s="38"/>
    </row>
    <row r="67" spans="103:152">
      <c r="CY67" s="38"/>
      <c r="EV67" s="38"/>
    </row>
    <row r="68" spans="103:152">
      <c r="CY68" s="38"/>
      <c r="EV68" s="38"/>
    </row>
    <row r="69" spans="103:152">
      <c r="CY69" s="38"/>
      <c r="EV69" s="38"/>
    </row>
    <row r="70" spans="103:152">
      <c r="CY70" s="38"/>
      <c r="EV70" s="38"/>
    </row>
    <row r="71" spans="103:152">
      <c r="CY71" s="38"/>
      <c r="EV71" s="38"/>
    </row>
    <row r="72" spans="103:152">
      <c r="CY72" s="38"/>
      <c r="EV72" s="38"/>
    </row>
    <row r="73" spans="103:152">
      <c r="CY73" s="38"/>
      <c r="EV73" s="38"/>
    </row>
    <row r="74" spans="103:152">
      <c r="CY74" s="38"/>
      <c r="EV74" s="38"/>
    </row>
    <row r="75" spans="103:152">
      <c r="CY75" s="38"/>
      <c r="EV75" s="38"/>
    </row>
    <row r="76" spans="103:152">
      <c r="CY76" s="38"/>
      <c r="EV76" s="38"/>
    </row>
    <row r="77" spans="103:152">
      <c r="CY77" s="38"/>
      <c r="EV77" s="38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L38" sqref="L38"/>
    </sheetView>
  </sheetViews>
  <sheetFormatPr defaultColWidth="8.72727272727273" defaultRowHeight="12.5"/>
  <cols>
    <col min="1" max="1" width="4.6" style="7" customWidth="1"/>
    <col min="2" max="2" width="5.72727272727273" style="7" customWidth="1"/>
    <col min="3" max="3" width="18.4" style="7" customWidth="1"/>
    <col min="4" max="4" width="15.7272727272727" style="7" customWidth="1"/>
    <col min="5" max="5" width="17" style="7" customWidth="1"/>
    <col min="6" max="6" width="12.4" style="7" customWidth="1"/>
    <col min="7" max="7" width="16.2636363636364" style="7" customWidth="1"/>
    <col min="8" max="16384" width="8.72727272727273" style="7"/>
  </cols>
  <sheetData>
    <row r="1" ht="13.25"/>
    <row r="2" ht="39" customHeight="1" spans="2:8">
      <c r="C2" s="8" t="s">
        <v>458</v>
      </c>
      <c r="D2" s="9"/>
      <c r="E2" s="10"/>
    </row>
    <row r="3" spans="2:8">
      <c r="C3" s="11" t="s">
        <v>459</v>
      </c>
      <c r="D3" s="12" t="s">
        <v>460</v>
      </c>
      <c r="E3" s="13" t="s">
        <v>461</v>
      </c>
    </row>
    <row r="4" spans="2:8">
      <c r="C4" s="14" t="s">
        <v>462</v>
      </c>
      <c r="D4" s="15">
        <v>62751</v>
      </c>
      <c r="E4" s="16" t="s">
        <v>463</v>
      </c>
      <c r="F4" s="17">
        <f>D4*1.6/1000</f>
        <v>100.4016</v>
      </c>
    </row>
    <row r="5" spans="2:8">
      <c r="C5" s="14" t="s">
        <v>464</v>
      </c>
      <c r="D5" s="18">
        <v>43647</v>
      </c>
      <c r="E5" s="16" t="s">
        <v>465</v>
      </c>
      <c r="F5" s="17">
        <f t="shared" ref="F5:F12" si="0">D5*1.6/1000</f>
        <v>69.8352</v>
      </c>
    </row>
    <row r="6" spans="2:8">
      <c r="C6" s="14" t="s">
        <v>466</v>
      </c>
      <c r="D6" s="19">
        <v>29429</v>
      </c>
      <c r="E6" s="16" t="s">
        <v>465</v>
      </c>
      <c r="F6" s="17">
        <f t="shared" si="0"/>
        <v>47.0864</v>
      </c>
    </row>
    <row r="7" spans="2:8">
      <c r="C7" s="14" t="s">
        <v>467</v>
      </c>
      <c r="D7" s="19">
        <v>25000</v>
      </c>
      <c r="E7" s="16" t="s">
        <v>468</v>
      </c>
      <c r="F7" s="17">
        <f t="shared" si="0"/>
        <v>40</v>
      </c>
      <c r="H7" s="20"/>
    </row>
    <row r="8" spans="2:8">
      <c r="C8" s="14" t="s">
        <v>469</v>
      </c>
      <c r="D8" s="15">
        <v>12435</v>
      </c>
      <c r="E8" s="16" t="s">
        <v>463</v>
      </c>
      <c r="F8" s="17">
        <f t="shared" si="0"/>
        <v>19.896</v>
      </c>
    </row>
    <row r="9" spans="2:8">
      <c r="C9" s="14" t="s">
        <v>470</v>
      </c>
      <c r="D9" s="19">
        <v>12000</v>
      </c>
      <c r="E9" s="16" t="s">
        <v>471</v>
      </c>
      <c r="F9" s="17">
        <f t="shared" si="0"/>
        <v>19.2</v>
      </c>
    </row>
    <row r="10" spans="2:8">
      <c r="C10" s="14" t="s">
        <v>472</v>
      </c>
      <c r="D10" s="15">
        <v>11543</v>
      </c>
      <c r="E10" s="16" t="s">
        <v>463</v>
      </c>
      <c r="F10" s="17">
        <f t="shared" si="0"/>
        <v>18.4688</v>
      </c>
    </row>
    <row r="11" spans="2:8">
      <c r="C11" s="14" t="s">
        <v>473</v>
      </c>
      <c r="D11" s="15">
        <v>11467</v>
      </c>
      <c r="E11" s="16" t="s">
        <v>463</v>
      </c>
      <c r="F11" s="17">
        <f t="shared" si="0"/>
        <v>18.3472</v>
      </c>
    </row>
    <row r="12" ht="13.25" spans="2:8">
      <c r="C12" s="21" t="s">
        <v>474</v>
      </c>
      <c r="D12" s="22">
        <v>2312</v>
      </c>
      <c r="E12" s="23" t="s">
        <v>463</v>
      </c>
      <c r="F12" s="17">
        <f t="shared" si="0"/>
        <v>3.6992</v>
      </c>
    </row>
    <row r="13" spans="2:8">
      <c r="D13" s="24"/>
    </row>
    <row r="14" spans="2:8">
      <c r="C14" s="20"/>
    </row>
    <row r="15" ht="13" spans="2:8">
      <c r="B15" s="25" t="s">
        <v>475</v>
      </c>
      <c r="C15" s="25"/>
    </row>
    <row r="16" ht="30" customHeight="1" spans="2:8">
      <c r="B16" s="26" t="s">
        <v>463</v>
      </c>
      <c r="C16" s="27" t="s">
        <v>476</v>
      </c>
      <c r="D16" s="27"/>
      <c r="E16" s="27"/>
      <c r="F16" s="27"/>
      <c r="G16" s="27"/>
    </row>
    <row r="17" ht="42" customHeight="1" spans="2:11">
      <c r="B17" s="26" t="s">
        <v>465</v>
      </c>
      <c r="C17" s="27" t="s">
        <v>477</v>
      </c>
      <c r="D17" s="27"/>
      <c r="E17" s="27"/>
      <c r="F17" s="27"/>
      <c r="G17" s="27"/>
    </row>
    <row r="18" ht="30.4" customHeight="1" spans="2:11">
      <c r="B18" s="26" t="s">
        <v>468</v>
      </c>
      <c r="C18" s="27" t="s">
        <v>478</v>
      </c>
      <c r="D18" s="27"/>
      <c r="E18" s="27"/>
      <c r="F18" s="27"/>
      <c r="G18" s="27"/>
    </row>
    <row r="19" ht="27.6" customHeight="1" spans="2:11">
      <c r="B19" s="26" t="s">
        <v>471</v>
      </c>
      <c r="C19" s="27" t="s">
        <v>479</v>
      </c>
      <c r="D19" s="27"/>
      <c r="E19" s="27"/>
      <c r="F19" s="27"/>
      <c r="G19" s="27"/>
    </row>
    <row r="21" ht="13" spans="2:11">
      <c r="B21" s="28" t="s">
        <v>480</v>
      </c>
    </row>
    <row r="22" ht="43.5" customHeight="1" spans="2:11">
      <c r="B22" s="20" t="s">
        <v>481</v>
      </c>
      <c r="C22" s="20"/>
      <c r="D22" s="20"/>
      <c r="E22" s="20"/>
      <c r="F22" s="20"/>
      <c r="G22" s="20"/>
      <c r="H22" s="20"/>
    </row>
    <row r="23" ht="16.5" customHeight="1" spans="2:11">
      <c r="B23" s="20" t="s">
        <v>482</v>
      </c>
      <c r="C23" s="20"/>
      <c r="D23" s="20"/>
      <c r="E23" s="20"/>
      <c r="F23" s="20"/>
      <c r="G23" s="20"/>
      <c r="H23" s="20"/>
    </row>
    <row r="24" ht="16.5" customHeight="1" spans="2:11">
      <c r="B24" s="20" t="s">
        <v>483</v>
      </c>
      <c r="C24" s="20"/>
      <c r="D24" s="20"/>
      <c r="E24" s="20"/>
      <c r="F24" s="20"/>
      <c r="G24" s="20"/>
      <c r="H24" s="20"/>
      <c r="J24" s="29"/>
      <c r="K24" s="30"/>
    </row>
    <row r="25" ht="16.5" customHeight="1" spans="2:11">
      <c r="B25" s="20"/>
      <c r="C25" s="20"/>
      <c r="D25" s="20"/>
      <c r="E25" s="20"/>
      <c r="F25" s="20"/>
      <c r="G25" s="20"/>
      <c r="H25" s="20"/>
      <c r="J25" s="29"/>
      <c r="K25" s="30"/>
    </row>
    <row r="26" ht="16.5" customHeight="1" spans="2:11">
      <c r="B26" s="31" t="s">
        <v>484</v>
      </c>
      <c r="C26" s="31"/>
      <c r="D26" s="20"/>
      <c r="E26" s="20"/>
      <c r="F26" s="20"/>
      <c r="G26" s="20"/>
      <c r="H26" s="20"/>
      <c r="J26" s="29"/>
      <c r="K26" s="30"/>
    </row>
    <row r="27" ht="16.5" customHeight="1" spans="2:11">
      <c r="B27" s="32" t="s">
        <v>485</v>
      </c>
      <c r="C27" s="32"/>
      <c r="D27" s="20"/>
      <c r="E27" s="20"/>
      <c r="F27" s="20"/>
      <c r="G27" s="20"/>
      <c r="H27" s="20"/>
      <c r="J27" s="29"/>
      <c r="K27" s="30"/>
    </row>
    <row r="28" ht="16.5" customHeight="1"/>
    <row r="29" ht="15.75" customHeight="1" spans="2:11">
      <c r="B29" s="33" t="s">
        <v>486</v>
      </c>
      <c r="C29" s="33"/>
      <c r="D29" s="33"/>
      <c r="E29" s="33"/>
      <c r="F29" s="33"/>
      <c r="G29" s="33"/>
      <c r="H29" s="34"/>
    </row>
    <row r="30" spans="2:11">
      <c r="B30" s="34" t="s">
        <v>487</v>
      </c>
      <c r="C30" s="34"/>
      <c r="D30" s="34"/>
      <c r="E30" s="34"/>
      <c r="F30" s="34"/>
      <c r="G30" s="34"/>
      <c r="H30" s="34"/>
    </row>
    <row r="36" spans="10:10">
      <c r="J36" s="35"/>
    </row>
    <row r="58" ht="15" spans="3:3">
      <c r="C58" s="36"/>
    </row>
    <row r="61" ht="15.5" spans="3:3">
      <c r="C61" s="37"/>
    </row>
    <row r="62" ht="15" spans="3:3">
      <c r="C62" s="36"/>
    </row>
    <row r="63" ht="15.5" spans="3:3">
      <c r="C63" s="37"/>
    </row>
    <row r="64" ht="15" spans="3:3">
      <c r="C64" s="36"/>
    </row>
    <row r="65" ht="15.5" spans="3:3">
      <c r="C65" s="37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62" zoomScaleNormal="62" workbookViewId="0">
      <selection activeCell="X25" sqref="X25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636363636364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R9" s="5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4">
      <c r="E33" t="s">
        <v>538</v>
      </c>
      <c r="F33">
        <v>1</v>
      </c>
      <c r="J33" t="s">
        <v>39</v>
      </c>
    </row>
    <row r="34" spans="3:14">
      <c r="E34" t="s">
        <v>539</v>
      </c>
      <c r="F34">
        <v>1</v>
      </c>
      <c r="J34" t="s">
        <v>39</v>
      </c>
    </row>
    <row r="35" spans="3:14">
      <c r="C35" t="s">
        <v>39</v>
      </c>
      <c r="I35" t="s">
        <v>39</v>
      </c>
      <c r="J35" t="s">
        <v>39</v>
      </c>
    </row>
    <row r="36" spans="3:14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  <c r="N36" s="6"/>
    </row>
    <row r="37" spans="3:14">
      <c r="C37" t="s">
        <v>39</v>
      </c>
      <c r="I37" t="s">
        <v>39</v>
      </c>
    </row>
    <row r="38" spans="3:14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4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4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4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4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4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4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4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4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4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4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7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7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7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7">
      <c r="C52" t="s">
        <v>39</v>
      </c>
      <c r="J52" t="s">
        <v>39</v>
      </c>
    </row>
    <row r="53" spans="3:17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7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Q54" s="5" t="s">
        <v>512</v>
      </c>
    </row>
    <row r="55" spans="3:17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7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67" zoomScaleNormal="67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5:AQ42"/>
  <sheetViews>
    <sheetView tabSelected="1" zoomScale="80" zoomScaleNormal="80" topLeftCell="G21" workbookViewId="0">
      <selection activeCell="I45" sqref="I45"/>
    </sheetView>
  </sheetViews>
  <sheetFormatPr defaultColWidth="8.72727272727273" defaultRowHeight="14.5"/>
  <cols>
    <col min="9" max="9" width="59.7272727272727" customWidth="1"/>
    <col min="10" max="10" width="12.8181818181818"/>
    <col min="12" max="13" width="12.8181818181818"/>
    <col min="14" max="14" width="11.7272727272727"/>
    <col min="15" max="35" width="12.8181818181818"/>
    <col min="37" max="39" width="12.8181818181818"/>
  </cols>
  <sheetData>
    <row r="15" spans="6:6">
      <c r="F15" s="1"/>
    </row>
    <row r="16" spans="6:6">
      <c r="F16" s="1"/>
    </row>
    <row r="17" spans="6:43">
      <c r="F17" s="1"/>
    </row>
    <row r="18" spans="6:43">
      <c r="F18" s="1"/>
    </row>
    <row r="19" spans="6:43">
      <c r="F19" s="1"/>
    </row>
    <row r="20" spans="6:43">
      <c r="F20" s="1"/>
    </row>
    <row r="21" spans="6:43">
      <c r="F21" s="1"/>
    </row>
    <row r="22" spans="6:43">
      <c r="F22" s="1"/>
    </row>
    <row r="23" spans="6:43">
      <c r="F23" s="1"/>
    </row>
    <row r="24" spans="6:43">
      <c r="F24" s="1"/>
    </row>
    <row r="25" spans="6:43">
      <c r="F25" s="1"/>
    </row>
    <row r="26" spans="6:43">
      <c r="F26" s="1"/>
      <c r="I26" t="s">
        <v>598</v>
      </c>
    </row>
    <row r="27" spans="6:43">
      <c r="F27" s="1"/>
      <c r="G27"/>
      <c r="H27"/>
      <c r="I27" t="s">
        <v>135</v>
      </c>
      <c r="J27" t="s">
        <v>4</v>
      </c>
      <c r="K27" t="s">
        <v>5</v>
      </c>
      <c r="L27" t="s">
        <v>6</v>
      </c>
      <c r="M27" t="s">
        <v>7</v>
      </c>
      <c r="N27" t="s">
        <v>8</v>
      </c>
      <c r="O27" t="s">
        <v>9</v>
      </c>
      <c r="P27" t="s">
        <v>10</v>
      </c>
      <c r="Q27" t="s">
        <v>11</v>
      </c>
      <c r="R27" t="s">
        <v>12</v>
      </c>
      <c r="S27" t="s">
        <v>13</v>
      </c>
      <c r="T27" t="s">
        <v>14</v>
      </c>
      <c r="U27" t="s">
        <v>15</v>
      </c>
      <c r="V27" t="s">
        <v>16</v>
      </c>
      <c r="W27" t="s">
        <v>17</v>
      </c>
      <c r="X27" t="s">
        <v>18</v>
      </c>
      <c r="Y27" t="s">
        <v>19</v>
      </c>
      <c r="Z27" t="s">
        <v>20</v>
      </c>
      <c r="AA27" t="s">
        <v>21</v>
      </c>
      <c r="AB27" t="s">
        <v>22</v>
      </c>
      <c r="AC27" t="s">
        <v>23</v>
      </c>
      <c r="AD27" t="s">
        <v>24</v>
      </c>
      <c r="AE27" t="s">
        <v>25</v>
      </c>
      <c r="AF27" t="s">
        <v>26</v>
      </c>
      <c r="AG27" t="s">
        <v>27</v>
      </c>
      <c r="AH27" t="s">
        <v>28</v>
      </c>
      <c r="AI27" t="s">
        <v>29</v>
      </c>
      <c r="AJ27" t="s">
        <v>30</v>
      </c>
      <c r="AK27" t="s">
        <v>31</v>
      </c>
      <c r="AL27" t="s">
        <v>32</v>
      </c>
      <c r="AM27" t="s">
        <v>33</v>
      </c>
      <c r="AN27" t="s">
        <v>34</v>
      </c>
      <c r="AO27" t="s">
        <v>35</v>
      </c>
      <c r="AP27" t="s">
        <v>36</v>
      </c>
      <c r="AQ27" t="s">
        <v>37</v>
      </c>
    </row>
    <row r="28" spans="6:43">
      <c r="F28" s="1"/>
      <c r="G28"/>
      <c r="H28"/>
      <c r="I28" t="s">
        <v>599</v>
      </c>
      <c r="J28">
        <v>0</v>
      </c>
      <c r="K28">
        <v>24.7</v>
      </c>
      <c r="L28">
        <v>88</v>
      </c>
      <c r="M28">
        <v>0</v>
      </c>
      <c r="N28">
        <v>0</v>
      </c>
      <c r="O28">
        <v>0</v>
      </c>
      <c r="P28">
        <v>10</v>
      </c>
      <c r="Q28">
        <v>41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67</v>
      </c>
      <c r="AD28">
        <v>0</v>
      </c>
      <c r="AE28">
        <v>4.3</v>
      </c>
      <c r="AF28">
        <v>0</v>
      </c>
      <c r="AG28">
        <v>0</v>
      </c>
      <c r="AH28">
        <v>4.6</v>
      </c>
      <c r="AI28">
        <v>0</v>
      </c>
      <c r="AJ28">
        <v>0</v>
      </c>
      <c r="AK28">
        <v>0</v>
      </c>
      <c r="AL28">
        <v>0.4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6:43">
      <c r="F29" s="1"/>
      <c r="G29"/>
      <c r="H29"/>
      <c r="I29" t="s">
        <v>600</v>
      </c>
      <c r="J29">
        <v>0</v>
      </c>
      <c r="K29">
        <v>0</v>
      </c>
      <c r="L29">
        <v>110</v>
      </c>
      <c r="M29">
        <v>0</v>
      </c>
      <c r="N29">
        <v>0</v>
      </c>
      <c r="O29">
        <v>0</v>
      </c>
      <c r="P29">
        <v>77</v>
      </c>
      <c r="Q29">
        <v>120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198</v>
      </c>
      <c r="AF29">
        <v>0</v>
      </c>
      <c r="AG29">
        <v>0</v>
      </c>
      <c r="AH29">
        <v>2985</v>
      </c>
      <c r="AI29">
        <v>210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6:43">
      <c r="I30" t="s">
        <v>601</v>
      </c>
      <c r="J30">
        <v>0</v>
      </c>
      <c r="K30">
        <v>222.6</v>
      </c>
      <c r="L30">
        <v>3.6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3.5</v>
      </c>
      <c r="AD30">
        <v>0</v>
      </c>
      <c r="AE30">
        <v>4.8</v>
      </c>
      <c r="AF30">
        <v>0</v>
      </c>
      <c r="AG30">
        <v>0</v>
      </c>
      <c r="AH30">
        <v>43.8</v>
      </c>
      <c r="AI30">
        <v>8.7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2.7</v>
      </c>
      <c r="AP30">
        <v>0</v>
      </c>
      <c r="AQ30">
        <v>0</v>
      </c>
    </row>
    <row r="31" spans="6:43">
      <c r="I31" t="s">
        <v>602</v>
      </c>
      <c r="J31">
        <v>0</v>
      </c>
      <c r="K31">
        <v>5780</v>
      </c>
      <c r="L31">
        <v>2800</v>
      </c>
      <c r="M31">
        <v>0</v>
      </c>
      <c r="N31">
        <v>0</v>
      </c>
      <c r="O31">
        <v>0</v>
      </c>
      <c r="P31">
        <v>590</v>
      </c>
      <c r="Q31">
        <v>770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800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2060</v>
      </c>
      <c r="AI31">
        <v>0</v>
      </c>
      <c r="AJ31">
        <v>0</v>
      </c>
      <c r="AK31">
        <v>7400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6:43">
      <c r="I32" t="s">
        <v>603</v>
      </c>
      <c r="J32">
        <v>0</v>
      </c>
      <c r="K32">
        <v>159</v>
      </c>
      <c r="L32">
        <v>9522</v>
      </c>
      <c r="M32">
        <v>0</v>
      </c>
      <c r="N32">
        <v>0</v>
      </c>
      <c r="O32">
        <v>0</v>
      </c>
      <c r="P32">
        <v>5819</v>
      </c>
      <c r="Q32">
        <v>44436</v>
      </c>
      <c r="R32">
        <v>0</v>
      </c>
      <c r="S32">
        <v>0</v>
      </c>
      <c r="T32">
        <v>0</v>
      </c>
      <c r="U32">
        <v>508</v>
      </c>
      <c r="V32">
        <v>455</v>
      </c>
      <c r="W32">
        <v>0</v>
      </c>
      <c r="X32">
        <v>0</v>
      </c>
      <c r="Y32">
        <v>4020</v>
      </c>
      <c r="Z32">
        <v>846</v>
      </c>
      <c r="AA32">
        <v>0</v>
      </c>
      <c r="AB32">
        <v>0</v>
      </c>
      <c r="AC32">
        <v>0</v>
      </c>
      <c r="AD32">
        <v>1270</v>
      </c>
      <c r="AE32">
        <v>1175</v>
      </c>
      <c r="AF32">
        <v>0</v>
      </c>
      <c r="AG32">
        <v>0</v>
      </c>
      <c r="AH32">
        <v>3015</v>
      </c>
      <c r="AI32">
        <v>1534</v>
      </c>
      <c r="AJ32">
        <v>952</v>
      </c>
      <c r="AK32">
        <v>0</v>
      </c>
      <c r="AL32">
        <v>434</v>
      </c>
      <c r="AM32">
        <v>0</v>
      </c>
      <c r="AN32">
        <v>0</v>
      </c>
      <c r="AO32">
        <v>169</v>
      </c>
      <c r="AP32">
        <v>0</v>
      </c>
      <c r="AQ32">
        <v>0</v>
      </c>
    </row>
    <row r="33" spans="9:43">
      <c r="I33" t="s">
        <v>604</v>
      </c>
      <c r="J33">
        <v>0</v>
      </c>
      <c r="K33">
        <v>3980</v>
      </c>
      <c r="L33">
        <v>800</v>
      </c>
      <c r="M33">
        <v>0</v>
      </c>
      <c r="N33">
        <v>0</v>
      </c>
      <c r="O33">
        <v>0</v>
      </c>
      <c r="P33">
        <v>0</v>
      </c>
      <c r="Q33">
        <v>1800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30</v>
      </c>
      <c r="Z33">
        <v>0</v>
      </c>
      <c r="AA33">
        <v>0</v>
      </c>
      <c r="AB33">
        <v>0</v>
      </c>
      <c r="AC33">
        <v>7900</v>
      </c>
      <c r="AD33">
        <v>0</v>
      </c>
      <c r="AE33">
        <v>2250</v>
      </c>
      <c r="AF33">
        <v>0</v>
      </c>
      <c r="AG33">
        <v>410</v>
      </c>
      <c r="AH33">
        <v>4700</v>
      </c>
      <c r="AI33">
        <v>930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9:43">
      <c r="I34" t="s">
        <v>605</v>
      </c>
      <c r="J34">
        <v>0</v>
      </c>
      <c r="K34">
        <v>189</v>
      </c>
      <c r="L34">
        <v>0</v>
      </c>
      <c r="M34">
        <v>0.5</v>
      </c>
      <c r="N34">
        <v>0</v>
      </c>
      <c r="O34">
        <v>0</v>
      </c>
      <c r="P34">
        <v>68</v>
      </c>
      <c r="Q34">
        <v>1270</v>
      </c>
      <c r="R34">
        <v>0</v>
      </c>
      <c r="S34">
        <v>0</v>
      </c>
      <c r="T34">
        <v>0</v>
      </c>
      <c r="U34">
        <v>0.2</v>
      </c>
      <c r="V34">
        <v>0</v>
      </c>
      <c r="W34">
        <v>0</v>
      </c>
      <c r="X34">
        <v>0</v>
      </c>
      <c r="Y34">
        <v>28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20.9</v>
      </c>
      <c r="AF34">
        <v>7</v>
      </c>
      <c r="AG34">
        <v>0</v>
      </c>
      <c r="AH34">
        <v>22.9</v>
      </c>
      <c r="AI34">
        <v>20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3</v>
      </c>
      <c r="AP34">
        <v>0</v>
      </c>
      <c r="AQ34">
        <v>1.2</v>
      </c>
    </row>
    <row r="35" spans="9:43">
      <c r="I35" t="s">
        <v>606</v>
      </c>
      <c r="J35">
        <v>2.70047156845812</v>
      </c>
      <c r="K35">
        <v>0</v>
      </c>
      <c r="L35">
        <v>3.03412561201197</v>
      </c>
      <c r="M35">
        <v>0.476962737941833</v>
      </c>
      <c r="N35">
        <v>0.00409064974235645</v>
      </c>
      <c r="O35">
        <v>4.6301135077302</v>
      </c>
      <c r="P35">
        <v>1.90663375437732</v>
      </c>
      <c r="Q35">
        <v>167.552498082159</v>
      </c>
      <c r="R35">
        <v>0.579445415374862</v>
      </c>
      <c r="S35">
        <v>2.64382085354907</v>
      </c>
      <c r="T35">
        <v>11.2538795555429</v>
      </c>
      <c r="U35">
        <v>6.6423572524105</v>
      </c>
      <c r="V35">
        <v>0.224780310033883</v>
      </c>
      <c r="W35">
        <v>3.0175573987723</v>
      </c>
      <c r="X35">
        <v>0.0840570283394965</v>
      </c>
      <c r="Y35">
        <v>22.6664174429379</v>
      </c>
      <c r="Z35">
        <v>0.024654019511857</v>
      </c>
      <c r="AA35">
        <v>7.09546051638262</v>
      </c>
      <c r="AB35">
        <v>22.1794832455743</v>
      </c>
      <c r="AC35">
        <v>1.8551035254334</v>
      </c>
      <c r="AD35">
        <v>0.147291672799524</v>
      </c>
      <c r="AE35">
        <v>10.7367486821926</v>
      </c>
      <c r="AF35">
        <v>2.32906895797145</v>
      </c>
      <c r="AG35">
        <v>4.03549622432517</v>
      </c>
      <c r="AH35">
        <v>16.6333708524932</v>
      </c>
      <c r="AI35">
        <v>66.0476618761158</v>
      </c>
      <c r="AJ35">
        <v>0</v>
      </c>
      <c r="AK35">
        <v>3.17356159859707</v>
      </c>
      <c r="AL35">
        <v>7.830330737292</v>
      </c>
      <c r="AM35">
        <v>5.264142175387</v>
      </c>
      <c r="AN35">
        <v>0</v>
      </c>
      <c r="AO35">
        <v>0</v>
      </c>
      <c r="AP35">
        <v>0</v>
      </c>
      <c r="AQ35">
        <v>0</v>
      </c>
    </row>
    <row r="36" spans="9:43">
      <c r="I36" t="s">
        <v>607</v>
      </c>
      <c r="J36">
        <v>1.62028294107487</v>
      </c>
      <c r="K36">
        <v>0</v>
      </c>
      <c r="L36">
        <v>1.82047536720718</v>
      </c>
      <c r="M36">
        <v>0.286177642765099</v>
      </c>
      <c r="N36">
        <v>0.00245438984541387</v>
      </c>
      <c r="O36">
        <v>2.77806810463812</v>
      </c>
      <c r="P36">
        <v>1.14398025262639</v>
      </c>
      <c r="Q36">
        <v>100.531498849296</v>
      </c>
      <c r="R36">
        <v>0.347667249224917</v>
      </c>
      <c r="S36">
        <v>1.58629251212944</v>
      </c>
      <c r="T36">
        <v>6.75232773332572</v>
      </c>
      <c r="U36">
        <v>3.9854143514463</v>
      </c>
      <c r="V36">
        <v>0.13486818602033</v>
      </c>
      <c r="W36">
        <v>1.81053443926338</v>
      </c>
      <c r="X36">
        <v>0.0504342170036979</v>
      </c>
      <c r="Y36">
        <v>13.5998504657627</v>
      </c>
      <c r="Z36">
        <v>0.0147924117071142</v>
      </c>
      <c r="AA36">
        <v>4.25727630982957</v>
      </c>
      <c r="AB36">
        <v>13.3076899473446</v>
      </c>
      <c r="AC36">
        <v>1.11306211526004</v>
      </c>
      <c r="AD36">
        <v>0.0883750036797145</v>
      </c>
      <c r="AE36">
        <v>6.44204920931559</v>
      </c>
      <c r="AF36">
        <v>1.39744137478287</v>
      </c>
      <c r="AG36">
        <v>2.4212977345951</v>
      </c>
      <c r="AH36">
        <v>9.98002251149592</v>
      </c>
      <c r="AI36">
        <v>39.6285971256695</v>
      </c>
      <c r="AJ36">
        <v>0</v>
      </c>
      <c r="AK36">
        <v>1.90413695915824</v>
      </c>
      <c r="AL36">
        <v>4.6981984423752</v>
      </c>
      <c r="AM36">
        <v>3.1584853052322</v>
      </c>
      <c r="AN36">
        <v>0</v>
      </c>
      <c r="AO36">
        <v>0</v>
      </c>
      <c r="AP36">
        <v>0</v>
      </c>
      <c r="AQ36">
        <v>0</v>
      </c>
    </row>
    <row r="37" spans="9:43">
      <c r="I37" t="s">
        <v>608</v>
      </c>
      <c r="J37">
        <v>1.62028294107487</v>
      </c>
      <c r="K37">
        <v>0</v>
      </c>
      <c r="L37">
        <v>1.82047536720718</v>
      </c>
      <c r="M37">
        <v>0.286177642765099</v>
      </c>
      <c r="N37">
        <v>0.00245438984541387</v>
      </c>
      <c r="O37">
        <v>2.77806810463812</v>
      </c>
      <c r="P37">
        <v>1.14398025262639</v>
      </c>
      <c r="Q37">
        <v>100.531498849296</v>
      </c>
      <c r="R37">
        <v>0.347667249224917</v>
      </c>
      <c r="S37">
        <v>1.58629251212944</v>
      </c>
      <c r="T37">
        <v>6.75232773332572</v>
      </c>
      <c r="U37">
        <v>3.9854143514463</v>
      </c>
      <c r="V37">
        <v>0.13486818602033</v>
      </c>
      <c r="W37">
        <v>1.81053443926338</v>
      </c>
      <c r="X37">
        <v>0.0504342170036979</v>
      </c>
      <c r="Y37">
        <v>13.5998504657627</v>
      </c>
      <c r="Z37">
        <v>0.0147924117071142</v>
      </c>
      <c r="AA37">
        <v>4.25727630982957</v>
      </c>
      <c r="AB37">
        <v>13.3076899473446</v>
      </c>
      <c r="AC37">
        <v>1.11306211526004</v>
      </c>
      <c r="AD37">
        <v>0.0883750036797145</v>
      </c>
      <c r="AE37">
        <v>6.44204920931559</v>
      </c>
      <c r="AF37">
        <v>1.39744137478287</v>
      </c>
      <c r="AG37">
        <v>2.4212977345951</v>
      </c>
      <c r="AH37">
        <v>9.98002251149592</v>
      </c>
      <c r="AI37">
        <v>39.6285971256695</v>
      </c>
      <c r="AJ37">
        <v>0</v>
      </c>
      <c r="AK37">
        <v>1.90413695915824</v>
      </c>
      <c r="AL37">
        <v>4.6981984423752</v>
      </c>
      <c r="AM37">
        <v>3.1584853052322</v>
      </c>
      <c r="AN37">
        <v>0</v>
      </c>
      <c r="AO37">
        <v>0</v>
      </c>
      <c r="AP37">
        <v>0</v>
      </c>
      <c r="AQ37">
        <v>0</v>
      </c>
    </row>
    <row r="38" spans="9:43">
      <c r="I38" t="s">
        <v>609</v>
      </c>
      <c r="J38">
        <v>1.62028294107487</v>
      </c>
      <c r="K38">
        <v>0</v>
      </c>
      <c r="L38">
        <v>1.82047536720718</v>
      </c>
      <c r="M38">
        <v>0.286177642765099</v>
      </c>
      <c r="N38">
        <v>0.00245438984541387</v>
      </c>
      <c r="O38">
        <v>2.77806810463812</v>
      </c>
      <c r="P38">
        <v>1.14398025262639</v>
      </c>
      <c r="Q38">
        <v>100.531498849296</v>
      </c>
      <c r="R38">
        <v>0.347667249224917</v>
      </c>
      <c r="S38">
        <v>1.58629251212944</v>
      </c>
      <c r="T38">
        <v>6.75232773332572</v>
      </c>
      <c r="U38">
        <v>3.9854143514463</v>
      </c>
      <c r="V38">
        <v>0.13486818602033</v>
      </c>
      <c r="W38">
        <v>1.81053443926338</v>
      </c>
      <c r="X38">
        <v>0.0504342170036979</v>
      </c>
      <c r="Y38">
        <v>13.5998504657627</v>
      </c>
      <c r="Z38">
        <v>0.0147924117071142</v>
      </c>
      <c r="AA38">
        <v>4.25727630982957</v>
      </c>
      <c r="AB38">
        <v>13.3076899473446</v>
      </c>
      <c r="AC38">
        <v>1.11306211526004</v>
      </c>
      <c r="AD38">
        <v>0.0883750036797145</v>
      </c>
      <c r="AE38">
        <v>6.44204920931559</v>
      </c>
      <c r="AF38">
        <v>1.39744137478287</v>
      </c>
      <c r="AG38">
        <v>2.4212977345951</v>
      </c>
      <c r="AH38">
        <v>9.98002251149592</v>
      </c>
      <c r="AI38">
        <v>39.6285971256695</v>
      </c>
      <c r="AJ38">
        <v>0</v>
      </c>
      <c r="AK38">
        <v>1.90413695915824</v>
      </c>
      <c r="AL38">
        <v>4.6981984423752</v>
      </c>
      <c r="AM38">
        <v>3.1584853052322</v>
      </c>
      <c r="AN38">
        <v>0</v>
      </c>
      <c r="AO38">
        <v>0</v>
      </c>
      <c r="AP38">
        <v>0</v>
      </c>
      <c r="AQ38">
        <v>0</v>
      </c>
    </row>
    <row r="39" spans="9:43">
      <c r="I39" t="s">
        <v>610</v>
      </c>
      <c r="J39">
        <v>1.62028294107487</v>
      </c>
      <c r="K39">
        <v>0</v>
      </c>
      <c r="L39">
        <v>1.82047536720718</v>
      </c>
      <c r="M39">
        <v>0.286177642765099</v>
      </c>
      <c r="N39">
        <v>0.00245438984541387</v>
      </c>
      <c r="O39">
        <v>2.77806810463812</v>
      </c>
      <c r="P39">
        <v>1.14398025262639</v>
      </c>
      <c r="Q39">
        <v>100.531498849296</v>
      </c>
      <c r="R39">
        <v>0.347667249224917</v>
      </c>
      <c r="S39">
        <v>1.58629251212944</v>
      </c>
      <c r="T39">
        <v>6.75232773332572</v>
      </c>
      <c r="U39">
        <v>3.9854143514463</v>
      </c>
      <c r="V39">
        <v>0.13486818602033</v>
      </c>
      <c r="W39">
        <v>1.81053443926338</v>
      </c>
      <c r="X39">
        <v>0.0504342170036979</v>
      </c>
      <c r="Y39">
        <v>13.5998504657627</v>
      </c>
      <c r="Z39">
        <v>0.0147924117071142</v>
      </c>
      <c r="AA39">
        <v>4.25727630982957</v>
      </c>
      <c r="AB39">
        <v>13.3076899473446</v>
      </c>
      <c r="AC39">
        <v>1.11306211526004</v>
      </c>
      <c r="AD39">
        <v>0.0883750036797145</v>
      </c>
      <c r="AE39">
        <v>6.44204920931559</v>
      </c>
      <c r="AF39">
        <v>1.39744137478287</v>
      </c>
      <c r="AG39">
        <v>2.4212977345951</v>
      </c>
      <c r="AH39">
        <v>9.98002251149592</v>
      </c>
      <c r="AI39">
        <v>39.6285971256695</v>
      </c>
      <c r="AJ39">
        <v>0</v>
      </c>
      <c r="AK39">
        <v>1.90413695915824</v>
      </c>
      <c r="AL39">
        <v>4.6981984423752</v>
      </c>
      <c r="AM39">
        <v>3.1584853052322</v>
      </c>
      <c r="AN39">
        <v>0</v>
      </c>
      <c r="AO39">
        <v>0</v>
      </c>
      <c r="AP39">
        <v>0</v>
      </c>
      <c r="AQ39">
        <v>0</v>
      </c>
    </row>
    <row r="40" spans="9:43">
      <c r="I40" t="s">
        <v>611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9:43">
      <c r="I41" t="s">
        <v>612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9:43">
      <c r="I42" t="s">
        <v>613</v>
      </c>
      <c r="J42">
        <v>1.62028294107487</v>
      </c>
      <c r="K42">
        <v>0</v>
      </c>
      <c r="L42">
        <v>1.82047536720718</v>
      </c>
      <c r="M42">
        <v>0.286177642765099</v>
      </c>
      <c r="N42">
        <v>0.00245438984541387</v>
      </c>
      <c r="O42">
        <v>2.77806810463812</v>
      </c>
      <c r="P42">
        <v>1.14398025262639</v>
      </c>
      <c r="Q42">
        <v>100.531498849296</v>
      </c>
      <c r="R42">
        <v>0.347667249224917</v>
      </c>
      <c r="S42">
        <v>1.58629251212944</v>
      </c>
      <c r="T42">
        <v>6.75232773332572</v>
      </c>
      <c r="U42">
        <v>3.9854143514463</v>
      </c>
      <c r="V42">
        <v>0.13486818602033</v>
      </c>
      <c r="W42">
        <v>1.81053443926338</v>
      </c>
      <c r="X42">
        <v>0.0504342170036979</v>
      </c>
      <c r="Y42">
        <v>13.5998504657627</v>
      </c>
      <c r="Z42">
        <v>0.0147924117071142</v>
      </c>
      <c r="AA42">
        <v>4.25727630982957</v>
      </c>
      <c r="AB42">
        <v>13.3076899473446</v>
      </c>
      <c r="AC42">
        <v>1.11306211526004</v>
      </c>
      <c r="AD42">
        <v>0.0883750036797145</v>
      </c>
      <c r="AE42">
        <v>6.44204920931559</v>
      </c>
      <c r="AF42">
        <v>1.39744137478287</v>
      </c>
      <c r="AG42">
        <v>2.4212977345951</v>
      </c>
      <c r="AH42">
        <v>9.98002251149592</v>
      </c>
      <c r="AI42">
        <v>39.6285971256695</v>
      </c>
      <c r="AJ42">
        <v>0</v>
      </c>
      <c r="AK42">
        <v>1.90413695915824</v>
      </c>
      <c r="AL42">
        <v>4.6981984423752</v>
      </c>
      <c r="AM42">
        <v>3.1584853052322</v>
      </c>
      <c r="AN42">
        <v>0</v>
      </c>
      <c r="AO42">
        <v>0</v>
      </c>
      <c r="AP42">
        <v>0</v>
      </c>
      <c r="AQ42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  <vt:lpstr>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2026-08-03T22:50:01Z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