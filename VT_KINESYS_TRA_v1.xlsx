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256631CA-9A0E-4169-89A7-7A3658C8D3F0}" xr6:coauthVersionLast="47" xr6:coauthVersionMax="47" xr10:uidLastSave="{00000000-0000-0000-0000-000000000000}"/>
  <bookViews>
    <workbookView xWindow="-98" yWindow="-98" windowWidth="28996" windowHeight="17475" firstSheet="7" activeTab="13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non-road" sheetId="5" r:id="rId12"/>
    <sheet name="Average VMT by Vehicle Type" sheetId="16" r:id="rId13"/>
    <sheet name="fuel tech" sheetId="17" r:id="rId14"/>
  </sheets>
  <definedNames>
    <definedName name="_xlnm._FilterDatabase" localSheetId="8" hidden="1">Assumptions!$E$2:$F$103</definedName>
    <definedName name="_xlnm._FilterDatabase" localSheetId="13" hidden="1">'fuel tech'!$A$40:$A$52</definedName>
    <definedName name="_xlnm._FilterDatabase" localSheetId="11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Z2" i="1"/>
  <c r="L2" i="1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C37" i="17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X31" i="7"/>
  <c r="AL31" i="7" s="1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Z61" i="3" s="1"/>
  <c r="CV61" i="3" s="1"/>
  <c r="AY47" i="3"/>
  <c r="AY48" i="3" s="1"/>
  <c r="CU48" i="3" s="1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V61" i="3" s="1"/>
  <c r="CR61" i="3" s="1"/>
  <c r="AY72" i="3"/>
  <c r="AR60" i="3"/>
  <c r="AR61" i="3" s="1"/>
  <c r="CN61" i="3" s="1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AW68" i="3" l="1"/>
  <c r="CS68" i="3" s="1"/>
  <c r="EN66" i="3"/>
  <c r="CS66" i="3" s="1"/>
  <c r="AS4" i="11" s="1" a="1"/>
  <c r="AS4" i="11" s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AR8" i="5"/>
  <c r="AS6" i="5"/>
  <c r="BY64" i="3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AO4" i="7" s="1" a="1"/>
  <c r="AO4" i="7" s="1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V28" i="13"/>
  <c r="W28" i="13"/>
  <c r="X28" i="13"/>
  <c r="AF28" i="13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G45" i="8" a="1"/>
  <c r="G45" i="8" s="1"/>
  <c r="D12" i="7" s="1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Y4" i="7" l="1" a="1"/>
  <c r="Y4" i="7" s="1"/>
  <c r="EH71" i="3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M4" i="9" l="1" a="1"/>
  <c r="AM4" i="9" s="1"/>
  <c r="AM4" i="14" a="1"/>
  <c r="AM4" i="14" s="1"/>
  <c r="AT4" i="14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AI10" i="9" l="1" a="1"/>
  <c r="AI10" i="9" s="1"/>
  <c r="B44" i="6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T22" i="7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22" i="7"/>
  <c r="S19" i="7"/>
  <c r="U22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L22" i="7"/>
  <c r="AO22" i="7"/>
  <c r="AX9" i="11"/>
  <c r="AZ24" i="11" s="1"/>
  <c r="AK19" i="7"/>
  <c r="AT22" i="7"/>
  <c r="AT19" i="7"/>
  <c r="AS21" i="7"/>
  <c r="AN22" i="7"/>
  <c r="AO24" i="7"/>
  <c r="AK22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J22" i="7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AI22" i="7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S13" i="13" l="1"/>
  <c r="AJ13" i="13"/>
  <c r="U13" i="13"/>
  <c r="T13" i="13"/>
  <c r="AK13" i="13"/>
  <c r="AL13" i="13"/>
  <c r="AI13" i="13"/>
  <c r="E21" i="10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S45" i="13"/>
  <c r="T45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I45" i="7"/>
  <c r="AJ53" i="1" s="1"/>
  <c r="AJ45" i="7"/>
  <c r="AK53" i="1" s="1"/>
  <c r="AI45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M22" i="7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AC22" i="7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O22" i="7"/>
  <c r="M15" i="7"/>
  <c r="D5" i="13" a="1"/>
  <c r="D5" i="13" s="1"/>
  <c r="AC13" i="7"/>
  <c r="X20" i="14"/>
  <c r="AC15" i="7" l="1"/>
  <c r="P22" i="7"/>
  <c r="P13" i="7" s="1"/>
  <c r="N20" i="10"/>
  <c r="R22" i="12"/>
  <c r="J22" i="11"/>
  <c r="J22" i="12"/>
  <c r="P13" i="12"/>
  <c r="E22" i="12"/>
  <c r="R22" i="11"/>
  <c r="E22" i="11"/>
  <c r="P45" i="11"/>
  <c r="P46" i="11" s="1"/>
  <c r="R22" i="7"/>
  <c r="D20" i="13"/>
  <c r="N20" i="13"/>
  <c r="E22" i="7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E22" i="7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22" i="7"/>
  <c r="J45" i="7" s="1"/>
  <c r="K53" i="1" s="1"/>
  <c r="M22" i="10"/>
  <c r="I22" i="12"/>
  <c r="I22" i="11"/>
  <c r="I22" i="7"/>
  <c r="M22" i="13"/>
  <c r="M13" i="13" s="1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AF22" i="7"/>
  <c r="Z22" i="7"/>
  <c r="D7" i="7" a="1"/>
  <c r="D7" i="7" s="1"/>
  <c r="D22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G22" i="7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L22" i="7"/>
  <c r="M45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Y22" i="7"/>
  <c r="AH22" i="7"/>
  <c r="V22" i="7"/>
  <c r="AC22" i="14"/>
  <c r="AF15" i="7" l="1"/>
  <c r="Z15" i="7"/>
  <c r="F22" i="7"/>
  <c r="F13" i="7" s="1"/>
  <c r="Q22" i="12"/>
  <c r="Q22" i="11"/>
  <c r="M12" i="9"/>
  <c r="M15" i="14"/>
  <c r="K20" i="14"/>
  <c r="M15" i="13"/>
  <c r="H22" i="7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AB22" i="7"/>
  <c r="X22" i="7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22" i="7"/>
  <c r="Q13" i="7" s="1"/>
  <c r="O22" i="10"/>
  <c r="E22" i="10"/>
  <c r="N22" i="12"/>
  <c r="J22" i="10"/>
  <c r="R22" i="10"/>
  <c r="N22" i="11"/>
  <c r="J22" i="13"/>
  <c r="J13" i="13" s="1"/>
  <c r="AP43" i="1"/>
  <c r="J22" i="9"/>
  <c r="J38" i="9" s="1"/>
  <c r="O22" i="13"/>
  <c r="O13" i="13" s="1"/>
  <c r="AU43" i="1"/>
  <c r="E22" i="13"/>
  <c r="E13" i="13" s="1"/>
  <c r="AK43" i="1"/>
  <c r="N22" i="7"/>
  <c r="BD99" i="3"/>
  <c r="AJ43" i="1"/>
  <c r="R22" i="13"/>
  <c r="R13" i="13" s="1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AC13" i="13" s="1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W22" i="7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H13" i="13" s="1"/>
  <c r="AN43" i="1"/>
  <c r="I22" i="13"/>
  <c r="I13" i="13" s="1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R45" i="13"/>
  <c r="J45" i="13"/>
  <c r="E45" i="13"/>
  <c r="E13" i="10"/>
  <c r="E45" i="10"/>
  <c r="O13" i="10"/>
  <c r="O45" i="10"/>
  <c r="D19" i="10"/>
  <c r="D13" i="10" s="1"/>
  <c r="J45" i="10"/>
  <c r="J13" i="10"/>
  <c r="R45" i="10"/>
  <c r="R13" i="10"/>
  <c r="AG22" i="7"/>
  <c r="AG45" i="7" s="1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Z13" i="13" s="1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D22" i="7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P13" i="13" s="1"/>
  <c r="Q43" i="1"/>
  <c r="E18" i="9"/>
  <c r="E34" i="9" s="1"/>
  <c r="E20" i="9"/>
  <c r="E36" i="9" s="1"/>
  <c r="E23" i="9"/>
  <c r="E39" i="9" s="1"/>
  <c r="E19" i="9"/>
  <c r="E35" i="9" s="1"/>
  <c r="E37" i="9"/>
  <c r="F22" i="13"/>
  <c r="F13" i="13" s="1"/>
  <c r="AL43" i="1"/>
  <c r="G22" i="13"/>
  <c r="G13" i="13" s="1"/>
  <c r="AM43" i="1"/>
  <c r="L22" i="13"/>
  <c r="L13" i="13" s="1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D22" i="13"/>
  <c r="R15" i="13"/>
  <c r="H45" i="13"/>
  <c r="O15" i="13"/>
  <c r="E15" i="13"/>
  <c r="H45" i="10"/>
  <c r="H13" i="10"/>
  <c r="I45" i="10"/>
  <c r="I13" i="10"/>
  <c r="N15" i="7"/>
  <c r="K22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5" i="13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AA22" i="7"/>
  <c r="W22" i="14"/>
  <c r="AD15" i="7" l="1"/>
  <c r="AG15" i="7"/>
  <c r="Q22" i="10"/>
  <c r="M43" i="1"/>
  <c r="P45" i="13"/>
  <c r="P15" i="13"/>
  <c r="F21" i="9"/>
  <c r="F37" i="9" s="1"/>
  <c r="G43" i="1"/>
  <c r="P15" i="14"/>
  <c r="H12" i="9"/>
  <c r="Q22" i="13"/>
  <c r="Q13" i="13" s="1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F45" i="13"/>
  <c r="I15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5" i="13"/>
  <c r="Y13" i="10"/>
  <c r="V22" i="14"/>
  <c r="AE22" i="13"/>
  <c r="AE13" i="13" s="1"/>
  <c r="V22" i="13"/>
  <c r="V13" i="13" s="1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N13" i="13" s="1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AF13" i="13" s="1"/>
  <c r="X22" i="13"/>
  <c r="X13" i="13" s="1"/>
  <c r="Y22" i="13"/>
  <c r="Y13" i="13" s="1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AH22" i="13"/>
  <c r="AH13" i="13" s="1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B13" i="13" s="1"/>
  <c r="AG22" i="13"/>
  <c r="AG13" i="13" s="1"/>
  <c r="W22" i="13"/>
  <c r="W13" i="13" s="1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5" i="13"/>
  <c r="AF13" i="14"/>
  <c r="AH13" i="14"/>
  <c r="Y13" i="14"/>
  <c r="AZ25" i="13"/>
  <c r="AD11" i="11"/>
  <c r="D15" i="14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2" i="9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AA13" i="13" s="1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5" i="13"/>
  <c r="X15" i="13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5" i="13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K13" i="13" s="1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5" i="13"/>
  <c r="AZ42" i="13"/>
  <c r="BB34" i="13"/>
  <c r="BD34" i="13"/>
  <c r="BA34" i="13"/>
  <c r="BE34" i="13"/>
  <c r="AZ19" i="14"/>
  <c r="AZ28" i="14" s="1"/>
  <c r="AZ36" i="14" s="1"/>
  <c r="W13" i="14"/>
  <c r="AG45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2" i="9"/>
  <c r="AX7" i="13"/>
  <c r="AD22" i="13"/>
  <c r="AD13" i="13" s="1"/>
  <c r="AG12" i="9"/>
  <c r="AB12" i="9"/>
  <c r="AA13" i="14"/>
  <c r="W12" i="9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T14" i="13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<sst xmlns="http://schemas.openxmlformats.org/spreadsheetml/2006/main" count="4713" uniqueCount="576">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</sst>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#,##0.000"/>
    <numFmt numFmtId="166" formatCode="_(* #,##0.00_);_(* \(#,##0.00\);_(* &quot;-&quot;??_);_(@_)"/>
    <numFmt numFmtId="167" formatCode="_(* #,##0_);_(* \(#,##0\);_(* &quot;-&quot;??_);_(@_)"/>
    <numFmt numFmtId="168" formatCode="_ * #,##0_ ;_ * \-#,##0_ ;_ * &quot;-&quot;??_ ;_ @_ "/>
    <numFmt numFmtId="169" formatCode="&quot;$&quot;#,##0_);\(&quot;$&quot;#,##0\)"/>
    <numFmt numFmtId="170" formatCode="0.0%"/>
    <numFmt numFmtId="171" formatCode="_-* #,##0.00_-;\-* #,##0.00_-;_-* &quot;-&quot;??_-;_-@_-"/>
    <numFmt numFmtId="172" formatCode="_([$€]* #,##0.00_);_([$€]* \(#,##0.00\);_([$€]* &quot;-&quot;??_);_(@_)"/>
    <numFmt numFmtId="173" formatCode="_ &quot;kr&quot;\ * #,##0_ ;_ &quot;kr&quot;\ * \-#,##0_ ;_ &quot;kr&quot;\ * &quot;-&quot;_ ;_ @_ "/>
    <numFmt numFmtId="174" formatCode="_ &quot;kr&quot;\ * #,##0.00_ ;_ &quot;kr&quot;\ * \-#,##0.00_ ;_ &quot;kr&quot;\ * &quot;-&quot;??_ ;_ @_ 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\ _€_-;\-* #,##0.00\ _€_-;_-* &quot;-&quot;??\ _€_-;_-@_-"/>
    <numFmt numFmtId="180" formatCode="\(##\);\(##\)"/>
    <numFmt numFmtId="181" formatCode="#,##0.0"/>
    <numFmt numFmtId="182" formatCode="_-[$€-2]\ * #,##0.00_-;\-[$€-2]\ * #,##0.00_-;_-[$€-2]\ * &quot;-&quot;??_-"/>
    <numFmt numFmtId="183" formatCode="#,##0;\-\ #,##0;_-\ &quot;- &quot;"/>
    <numFmt numFmtId="184" formatCode="_-&quot;€&quot;\ * #,##0.00_-;\-&quot;€&quot;\ * #,##0.00_-;_-&quot;€&quot;\ * &quot;-&quot;??_-;_-@_-"/>
    <numFmt numFmtId="185" formatCode="General_)"/>
    <numFmt numFmtId="186" formatCode="m\o\n\th\ d\,\ yyyy"/>
    <numFmt numFmtId="187" formatCode="#.00"/>
    <numFmt numFmtId="188" formatCode="#."/>
    <numFmt numFmtId="189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6" fontId="7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55" fillId="0" borderId="0" applyFont="0" applyFill="0" applyBorder="0" applyAlignment="0" applyProtection="0"/>
    <xf numFmtId="41" fontId="55" fillId="0" borderId="0" applyFont="0" applyFill="0" applyBorder="0" applyAlignment="0" applyProtection="0"/>
    <xf numFmtId="173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4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2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8" fontId="7" fillId="0" borderId="0" applyFon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7" fontId="78" fillId="0" borderId="0">
      <protection locked="0"/>
    </xf>
    <xf numFmtId="187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9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170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5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0" fontId="66" fillId="0" borderId="0">
      <alignment horizontal="right"/>
    </xf>
    <xf numFmtId="183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1" fontId="67" fillId="50" borderId="36">
      <alignment vertical="center"/>
    </xf>
    <xf numFmtId="170" fontId="68" fillId="50" borderId="36">
      <alignment vertical="center"/>
    </xf>
    <xf numFmtId="181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4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5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7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7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68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2" sqref="AA2"/>
    </sheetView>
  </sheetViews>
  <sheetFormatPr defaultRowHeight="14.25"/>
  <cols>
    <col min="1" max="1" width="4.59765625" bestFit="1" customWidth="1"/>
    <col min="3" max="3" width="9.86328125" bestFit="1" customWidth="1"/>
    <col min="5" max="5" width="7.86328125" bestFit="1" customWidth="1"/>
    <col min="6" max="21" width="7.86328125" customWidth="1"/>
    <col min="22" max="22" width="7.3984375" bestFit="1" customWidth="1"/>
    <col min="23" max="23" width="8.3984375" bestFit="1" customWidth="1"/>
    <col min="24" max="29" width="7.86328125" bestFit="1" customWidth="1"/>
    <col min="30" max="30" width="8.3984375" bestFit="1" customWidth="1"/>
    <col min="31" max="31" width="7.86328125" bestFit="1" customWidth="1"/>
    <col min="32" max="32" width="8.3984375" bestFit="1" customWidth="1"/>
    <col min="33" max="33" width="7.86328125" bestFit="1" customWidth="1"/>
    <col min="34" max="34" width="8.86328125" bestFit="1" customWidth="1"/>
    <col min="35" max="35" width="8.3984375" bestFit="1" customWidth="1"/>
    <col min="36" max="36" width="7.3984375" customWidth="1"/>
    <col min="37" max="37" width="7.59765625" customWidth="1"/>
    <col min="38" max="38" width="6.86328125" bestFit="1" customWidth="1"/>
    <col min="39" max="39" width="7.265625" bestFit="1" customWidth="1"/>
    <col min="40" max="40" width="6.86328125" bestFit="1" customWidth="1"/>
    <col min="41" max="42" width="6.73046875" bestFit="1" customWidth="1"/>
    <col min="43" max="43" width="7.73046875" bestFit="1" customWidth="1"/>
    <col min="44" max="44" width="8.86328125" bestFit="1" customWidth="1"/>
    <col min="45" max="45" width="7.86328125" bestFit="1" customWidth="1"/>
    <col min="46" max="46" width="6.265625" customWidth="1"/>
    <col min="47" max="50" width="7.73046875" bestFit="1" customWidth="1"/>
    <col min="51" max="51" width="9.3984375" bestFit="1" customWidth="1"/>
    <col min="53" max="53" width="24.73046875" bestFit="1" customWidth="1"/>
    <col min="55" max="55" width="4.132812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  <c r="L2" s="40">
        <f>SUM(L16:L24)</f>
        <v>11358.935850722399</v>
      </c>
      <c r="Z2" s="40">
        <f>SUM(Z16:Z24)</f>
        <v>26443.0566577836</v>
      </c>
      <c r="AA2">
        <f>Z2/L2</f>
        <v>2.3279519318794191</v>
      </c>
    </row>
    <row r="3" spans="1:55">
      <c r="D3" s="2"/>
    </row>
    <row r="4" spans="1:55" ht="14.6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9.547223218756038</v>
      </c>
      <c r="H53" s="1">
        <f ca="1">IFERROR(Cars!G45/H59,"")</f>
        <v>6.8189803511743348</v>
      </c>
      <c r="I53" s="1">
        <f ca="1">IFERROR(Cars!H45/I59,"")</f>
        <v>2.4318708304749408</v>
      </c>
      <c r="J53" s="1">
        <f ca="1">IFERROR(Cars!I45/J59,"")</f>
        <v>6.3968436642738764</v>
      </c>
      <c r="K53" s="1">
        <f ca="1">IFERROR(Cars!J45/K59,"")</f>
        <v>2.1966169154228856</v>
      </c>
      <c r="L53" s="1">
        <f ca="1">IFERROR(Cars!K45/L59,"")</f>
        <v>2.4309246487136194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4.4378421059675315</v>
      </c>
      <c r="P53" s="1">
        <f ca="1">IFERROR(Cars!O45/P59,"")</f>
        <v>5.870241777285691</v>
      </c>
      <c r="Q53" s="1">
        <f ca="1">IFERROR(Cars!P45/Q59,"")</f>
        <v>5.6284432185111442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0.41576089342954581</v>
      </c>
      <c r="U53" s="1">
        <f ca="1">IFERROR(Cars!T45/U59,"")</f>
        <v>5.7345055265749831</v>
      </c>
      <c r="V53" s="1">
        <f ca="1">IFERROR(Cars!U45/V59,"")</f>
        <v>4.7505392461381986</v>
      </c>
      <c r="W53" s="1">
        <f ca="1">IFERROR(Cars!V45/W59,"")</f>
        <v>5.4424583217835503</v>
      </c>
      <c r="X53" s="1">
        <f ca="1">IFERROR(Cars!W45/X59,"")</f>
        <v>2.6012697366625357</v>
      </c>
      <c r="Y53" s="1">
        <f ca="1">IFERROR(Cars!X45/Y59,"")</f>
        <v>4.0811534819776867</v>
      </c>
      <c r="Z53" s="1">
        <f ca="1">IFERROR(Cars!Y45/Z59,"")</f>
        <v>8.5003507603048778</v>
      </c>
      <c r="AA53" s="1">
        <f ca="1">IFERROR(Cars!Z45/AA59,"")</f>
        <v>5.2439275229529354</v>
      </c>
      <c r="AB53" s="1">
        <f ca="1">IFERROR(Cars!AA45/AB59,"")</f>
        <v>4.4851246526451654</v>
      </c>
      <c r="AC53" s="1">
        <f ca="1">IFERROR(Cars!AB45/AC59,"")</f>
        <v>1.1569851717948352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1.7018936683612738</v>
      </c>
      <c r="AG53" s="1">
        <f ca="1">IFERROR(Cars!AF45/AG59,"")</f>
        <v>4.315375532481827</v>
      </c>
      <c r="AH53" s="1">
        <f ca="1">IFERROR(Cars!AG45/AH59,"")</f>
        <v>6.0064039069291457</v>
      </c>
      <c r="AI53" s="1">
        <f ca="1">IFERROR(Cars!AH45/AI59,"")</f>
        <v>6.7127837225140174</v>
      </c>
      <c r="AJ53" s="1">
        <f ca="1">IFERROR(Cars!AI45/AJ59,"")</f>
        <v>1.4392014345028625</v>
      </c>
      <c r="AK53" s="1">
        <f ca="1">IFERROR(Cars!AJ45/AK59,"")</f>
        <v>5.1771268008552243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1" max="51" width="6" bestFit="1" customWidth="1"/>
    <col min="52" max="52" width="11.59765625" bestFit="1" customWidth="1"/>
    <col min="54" max="54" width="4.3984375" bestFit="1" customWidth="1"/>
    <col min="57" max="57" width="11.597656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4.25"/>
  <cols>
    <col min="1" max="1" width="10.86328125" bestFit="1" customWidth="1"/>
    <col min="2" max="2" width="2.59765625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7" max="57" width="11.597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zoomScaleNormal="100" workbookViewId="0">
      <selection activeCell="AJ36" sqref="AJ36"/>
    </sheetView>
  </sheetViews>
  <sheetFormatPr defaultRowHeight="14.25"/>
  <cols>
    <col min="1" max="1" width="10.86328125" bestFit="1" customWidth="1"/>
    <col min="2" max="2" width="2" bestFit="1" customWidth="1"/>
    <col min="4" max="4" width="6.265625" bestFit="1" customWidth="1"/>
    <col min="5" max="20" width="6.265625" customWidth="1"/>
    <col min="21" max="22" width="8.265625" bestFit="1" customWidth="1"/>
    <col min="23" max="23" width="5.86328125" bestFit="1" customWidth="1"/>
    <col min="24" max="24" width="9" bestFit="1" customWidth="1"/>
    <col min="25" max="25" width="8" bestFit="1" customWidth="1"/>
    <col min="26" max="26" width="7.59765625" bestFit="1" customWidth="1"/>
    <col min="27" max="27" width="6.73046875" bestFit="1" customWidth="1"/>
    <col min="28" max="28" width="5.73046875" bestFit="1" customWidth="1"/>
    <col min="29" max="29" width="6.73046875" bestFit="1" customWidth="1"/>
    <col min="30" max="30" width="7.3984375" bestFit="1" customWidth="1"/>
    <col min="31" max="31" width="6.73046875" bestFit="1" customWidth="1"/>
    <col min="32" max="32" width="5.73046875" bestFit="1" customWidth="1"/>
    <col min="33" max="33" width="7.59765625" bestFit="1" customWidth="1"/>
    <col min="34" max="34" width="8.1328125" bestFit="1" customWidth="1"/>
    <col min="35" max="35" width="7.59765625" customWidth="1"/>
    <col min="36" max="36" width="6.73046875" bestFit="1" customWidth="1"/>
    <col min="37" max="49" width="6.59765625" customWidth="1"/>
    <col min="50" max="50" width="5.59765625" bestFit="1" customWidth="1"/>
    <col min="51" max="51" width="8.86328125" bestFit="1" customWidth="1"/>
    <col min="52" max="52" width="11.265625" bestFit="1" customWidth="1"/>
    <col min="53" max="53" width="10.1328125" bestFit="1" customWidth="1"/>
    <col min="54" max="54" width="4.3984375" bestFit="1" customWidth="1"/>
    <col min="55" max="55" width="2" bestFit="1" customWidth="1"/>
    <col min="57" max="57" width="11.59765625" bestFit="1" customWidth="1"/>
    <col min="58" max="58" width="9.2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1082.9230362149985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data'!Y45,"")</f>
        <v>63.486261799999966</v>
      </c>
      <c r="W12" s="98">
        <f>IFERROR('vehicle population data'!Z45,"")</f>
        <v>36.884204799999679</v>
      </c>
      <c r="X12" s="98">
        <f>IFERROR('vehicle population data'!AA45,"")</f>
        <v>36.99071640000011</v>
      </c>
      <c r="Y12" s="98">
        <f>IFERROR('vehicle population data'!AB45,"")</f>
        <v>171.11450239999988</v>
      </c>
      <c r="Z12" s="98">
        <f>IFERROR('vehicle population data'!AC45,"")</f>
        <v>2.8152581999999882</v>
      </c>
      <c r="AA12" s="98">
        <f>IFERROR('vehicle population data'!AD45,"")</f>
        <v>23.445138799999768</v>
      </c>
      <c r="AB12" s="98">
        <f>IFERROR('vehicle population data'!AE45,"")</f>
        <v>94.902087799999208</v>
      </c>
      <c r="AC12" s="98">
        <f>IFERROR('vehicle population data'!AF45,"")</f>
        <v>56.410269199999675</v>
      </c>
      <c r="AD12" s="98">
        <f>IFERROR('vehicle population data'!AG45,"")</f>
        <v>5.3359000000000378</v>
      </c>
      <c r="AE12" s="98">
        <f>IFERROR('vehicle population data'!AH45,"")</f>
        <v>7.2811207999999965</v>
      </c>
      <c r="AF12" s="98">
        <f>IFERROR('vehicle population data'!AI45,"")</f>
        <v>26.752504199999997</v>
      </c>
      <c r="AG12" s="98">
        <f>IFERROR('vehicle population data'!AJ45,"")</f>
        <v>10.180607199999997</v>
      </c>
      <c r="AH12" s="98">
        <f>IFERROR('vehicle population data'!AK45,"")</f>
        <v>4.7934035999999764</v>
      </c>
      <c r="AI12" s="98">
        <f>IFERROR('vehicle population data'!AL45,"")</f>
        <v>12.995588400000088</v>
      </c>
      <c r="AJ12" s="98">
        <f>IFERROR('vehicle population data'!AM45,"")</f>
        <v>35.514736800000037</v>
      </c>
      <c r="AK12" s="98">
        <f>IFERROR('vehicle population data'!AN45,"")</f>
        <v>8.5857459999999719</v>
      </c>
      <c r="AL12" s="98">
        <f>IFERROR('vehicle population data'!AO45,"")</f>
        <v>3.9319469999999797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1465.4130000000002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20.180999999999997</v>
      </c>
      <c r="G13" s="1">
        <f t="shared" ca="1" si="5"/>
        <v>5.0459999999999994</v>
      </c>
      <c r="H13" s="1">
        <f t="shared" ca="1" si="5"/>
        <v>1.2230000000000001</v>
      </c>
      <c r="I13" s="1">
        <f t="shared" ca="1" si="5"/>
        <v>15.701000000000001</v>
      </c>
      <c r="J13" s="1">
        <f t="shared" ca="1" si="5"/>
        <v>38.633000000000003</v>
      </c>
      <c r="K13" s="1">
        <f t="shared" ca="1" si="5"/>
        <v>424.71899999999999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24.869999999999997</v>
      </c>
      <c r="O13" s="1">
        <f t="shared" ca="1" si="5"/>
        <v>40.648000000000003</v>
      </c>
      <c r="P13" s="1">
        <f t="shared" ca="1" si="5"/>
        <v>5.5909999999999993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47.342000000000006</v>
      </c>
      <c r="T13" s="1">
        <f t="shared" ca="1" si="5"/>
        <v>2.3579999999999997</v>
      </c>
      <c r="U13" s="1">
        <f t="shared" ca="1" si="5"/>
        <v>23.845000000000002</v>
      </c>
      <c r="V13" s="1">
        <f t="shared" ref="V13:AW13" ca="1" si="6">SUM(V19:V25)</f>
        <v>57.265999999999998</v>
      </c>
      <c r="W13" s="1">
        <f t="shared" ca="1" si="6"/>
        <v>66.944000000000003</v>
      </c>
      <c r="X13" s="1">
        <f t="shared" ca="1" si="6"/>
        <v>75.697999999999993</v>
      </c>
      <c r="Y13" s="1">
        <f t="shared" ca="1" si="6"/>
        <v>233.05100000000002</v>
      </c>
      <c r="Z13" s="1">
        <f t="shared" ca="1" si="6"/>
        <v>2.3369999999999997</v>
      </c>
      <c r="AA13" s="1">
        <f t="shared" ca="1" si="6"/>
        <v>14.190000000000001</v>
      </c>
      <c r="AB13" s="1">
        <f t="shared" ca="1" si="6"/>
        <v>130.10900000000001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8.3049999999999997</v>
      </c>
      <c r="AF13" s="1">
        <f t="shared" ca="1" si="6"/>
        <v>20.649000000000001</v>
      </c>
      <c r="AG13" s="1">
        <f t="shared" ca="1" si="6"/>
        <v>10.818999999999999</v>
      </c>
      <c r="AH13" s="1">
        <f t="shared" ca="1" si="6"/>
        <v>4.7969999999999997</v>
      </c>
      <c r="AI13" s="1">
        <f t="shared" ca="1" si="6"/>
        <v>10.006</v>
      </c>
      <c r="AJ13" s="1">
        <f t="shared" ca="1" si="6"/>
        <v>28.834999999999997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1.4589743642236008E-2</v>
      </c>
      <c r="E14" s="42">
        <f t="shared" ref="E14:AW14" ca="1" si="7">E13/SUM($D$13:$AW$13)</f>
        <v>2.1082111322883033E-2</v>
      </c>
      <c r="F14" s="42">
        <f t="shared" ca="1" si="7"/>
        <v>1.3771544267725203E-2</v>
      </c>
      <c r="G14" s="42">
        <f t="shared" ca="1" si="7"/>
        <v>3.443397868041295E-3</v>
      </c>
      <c r="H14" s="42">
        <f t="shared" ca="1" si="7"/>
        <v>8.3457701003061932E-4</v>
      </c>
      <c r="I14" s="42">
        <f t="shared" ca="1" si="7"/>
        <v>1.071438563735957E-2</v>
      </c>
      <c r="J14" s="42">
        <f t="shared" ca="1" si="7"/>
        <v>2.6363216376543677E-2</v>
      </c>
      <c r="K14" s="42">
        <f t="shared" ca="1" si="7"/>
        <v>0.28982887418086228</v>
      </c>
      <c r="L14" s="42">
        <f t="shared" ca="1" si="7"/>
        <v>1.6964500792609318E-3</v>
      </c>
      <c r="M14" s="42">
        <f t="shared" ca="1" si="7"/>
        <v>3.7948346302373454E-3</v>
      </c>
      <c r="N14" s="42">
        <f t="shared" ca="1" si="7"/>
        <v>1.6971324807409236E-2</v>
      </c>
      <c r="O14" s="42">
        <f t="shared" ca="1" si="7"/>
        <v>2.7738255358728221E-2</v>
      </c>
      <c r="P14" s="42">
        <f t="shared" ca="1" si="7"/>
        <v>3.8153066746371149E-3</v>
      </c>
      <c r="Q14" s="42">
        <f t="shared" ca="1" si="7"/>
        <v>6.1791454013305448E-3</v>
      </c>
      <c r="R14" s="42">
        <f t="shared" ca="1" si="7"/>
        <v>1.9039001291786E-4</v>
      </c>
      <c r="S14" s="42">
        <f t="shared" ca="1" si="7"/>
        <v>3.2306250865796873E-2</v>
      </c>
      <c r="T14" s="42">
        <f t="shared" ca="1" si="7"/>
        <v>1.6091026898219132E-3</v>
      </c>
      <c r="U14" s="42">
        <f t="shared" ca="1" si="7"/>
        <v>1.6271863290417105E-2</v>
      </c>
      <c r="V14" s="42">
        <f t="shared" ca="1" si="7"/>
        <v>3.9078403153240751E-2</v>
      </c>
      <c r="W14" s="42">
        <f t="shared" ca="1" si="7"/>
        <v>4.5682684676606522E-2</v>
      </c>
      <c r="X14" s="42">
        <f t="shared" ca="1" si="7"/>
        <v>5.1656427232459369E-2</v>
      </c>
      <c r="Y14" s="42">
        <f t="shared" ca="1" si="7"/>
        <v>0.15903434731369243</v>
      </c>
      <c r="Z14" s="42">
        <f t="shared" ca="1" si="7"/>
        <v>1.5947722587420744E-3</v>
      </c>
      <c r="AA14" s="42">
        <f t="shared" ca="1" si="7"/>
        <v>9.683277001091159E-3</v>
      </c>
      <c r="AB14" s="42">
        <f t="shared" ca="1" si="7"/>
        <v>8.8786574160322027E-2</v>
      </c>
      <c r="AC14" s="42">
        <f t="shared" ca="1" si="7"/>
        <v>3.0246763199180026E-2</v>
      </c>
      <c r="AD14" s="42">
        <f t="shared" ca="1" si="7"/>
        <v>2.0900592529205075E-2</v>
      </c>
      <c r="AE14" s="42">
        <f t="shared" ca="1" si="7"/>
        <v>5.6673442913362983E-3</v>
      </c>
      <c r="AF14" s="42">
        <f t="shared" ca="1" si="7"/>
        <v>1.4090908160361617E-2</v>
      </c>
      <c r="AG14" s="42">
        <f t="shared" ca="1" si="7"/>
        <v>7.3829016120370147E-3</v>
      </c>
      <c r="AH14" s="42">
        <f t="shared" ca="1" si="7"/>
        <v>3.2734798995232052E-3</v>
      </c>
      <c r="AI14" s="42">
        <f t="shared" ca="1" si="7"/>
        <v>6.8281092088032513E-3</v>
      </c>
      <c r="AJ14" s="42">
        <f t="shared" ca="1" si="7"/>
        <v>1.9677046675578826E-2</v>
      </c>
      <c r="AK14" s="42">
        <f t="shared" ca="1" si="7"/>
        <v>2.9827768690464727E-3</v>
      </c>
      <c r="AL14" s="42">
        <f t="shared" ca="1" si="7"/>
        <v>2.2328176425349031E-3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0.79560193489633624</v>
      </c>
      <c r="G15" s="42">
        <f ca="1">G13/'non-road'!DE21</f>
        <v>0.56824836259786116</v>
      </c>
      <c r="H15" s="42">
        <f ca="1">H13/'non-road'!DF21</f>
        <v>0.20265590253957838</v>
      </c>
      <c r="I15" s="42">
        <f ca="1">I13/'non-road'!DG21</f>
        <v>0.5330703053561564</v>
      </c>
      <c r="J15" s="42">
        <f ca="1">J13/'non-road'!DH21</f>
        <v>0.1830514096185738</v>
      </c>
      <c r="K15" s="42">
        <f ca="1">K13/'non-road'!DI21</f>
        <v>0.30386558108920242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0.36982017549729429</v>
      </c>
      <c r="O15" s="42">
        <f ca="1">O13/'non-road'!DM21</f>
        <v>0.48918681477380765</v>
      </c>
      <c r="P15" s="42">
        <f ca="1">P13/'non-road'!DN21</f>
        <v>0.46903693487592868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3.464674111912882E-2</v>
      </c>
      <c r="T15" s="42">
        <f ca="1">T13/'non-road'!DR21</f>
        <v>0.47787546054791519</v>
      </c>
      <c r="U15" s="42">
        <f ca="1">U13/'non-road'!DS21</f>
        <v>0.39587827051151658</v>
      </c>
      <c r="V15" s="42">
        <f ca="1">V13/'non-road'!DT21</f>
        <v>0.4535381934819625</v>
      </c>
      <c r="W15" s="42">
        <f ca="1">W13/'non-road'!DU21</f>
        <v>0.2167724780552113</v>
      </c>
      <c r="X15" s="42">
        <f ca="1">X13/'non-road'!DV21</f>
        <v>0.3400961234981405</v>
      </c>
      <c r="Y15" s="42">
        <f ca="1">Y13/'non-road'!DW21</f>
        <v>0.47224170890582651</v>
      </c>
      <c r="Z15" s="42">
        <f ca="1">Z13/'non-road'!DX21</f>
        <v>0.43699396024607784</v>
      </c>
      <c r="AA15" s="42">
        <f ca="1">AA13/'non-road'!DY21</f>
        <v>0.37376038772043046</v>
      </c>
      <c r="AB15" s="42">
        <f ca="1">AB13/'non-road'!DZ21</f>
        <v>9.6415430982902936E-2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0.14182447236343951</v>
      </c>
      <c r="AF15" s="42">
        <f ca="1">AF13/'non-road'!ED21</f>
        <v>0.3596146277068189</v>
      </c>
      <c r="AG15" s="42">
        <f ca="1">AG13/'non-road'!EE21</f>
        <v>0.50053365891076207</v>
      </c>
      <c r="AH15" s="42">
        <f ca="1">AH13/'non-road'!EF21</f>
        <v>0.55939864354283475</v>
      </c>
      <c r="AI15" s="42">
        <f ca="1">AI13/'non-road'!EG21</f>
        <v>0.11993345287523853</v>
      </c>
      <c r="AJ15" s="42">
        <f ca="1">AJ13/'non-road'!EH21</f>
        <v>0.43142723340460198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0.92549475255427971</v>
      </c>
      <c r="E17" s="1">
        <f t="shared" ref="E17:U17" ca="1" si="8">E11/E14</f>
        <v>0.93545077560226875</v>
      </c>
      <c r="F17" s="1">
        <f t="shared" ca="1" si="8"/>
        <v>0.94808294618876632</v>
      </c>
      <c r="G17" s="1">
        <f t="shared" ca="1" si="8"/>
        <v>0.89704910738063703</v>
      </c>
      <c r="H17" s="1">
        <f t="shared" ca="1" si="8"/>
        <v>0.92529386547989878</v>
      </c>
      <c r="I17" s="1">
        <f t="shared" ca="1" si="8"/>
        <v>0.9066744926854241</v>
      </c>
      <c r="J17" s="1">
        <f t="shared" ca="1" si="8"/>
        <v>0.93598486663123281</v>
      </c>
      <c r="K17" s="1">
        <f t="shared" ca="1" si="8"/>
        <v>0.3980648423502558</v>
      </c>
      <c r="L17" s="1">
        <f t="shared" ca="1" si="8"/>
        <v>0.90087175500097827</v>
      </c>
      <c r="M17" s="1">
        <f t="shared" ca="1" si="8"/>
        <v>0.90257477066103797</v>
      </c>
      <c r="N17" s="1">
        <f t="shared" ca="1" si="8"/>
        <v>0.89428291201056331</v>
      </c>
      <c r="O17" s="1">
        <f t="shared" ca="1" si="8"/>
        <v>0.9143718934447862</v>
      </c>
      <c r="P17" s="1">
        <f t="shared" ca="1" si="8"/>
        <v>0.92878539016747208</v>
      </c>
      <c r="Q17" s="1">
        <f t="shared" ca="1" si="8"/>
        <v>0.90367611307136375</v>
      </c>
      <c r="R17" s="1">
        <f t="shared" ca="1" si="8"/>
        <v>0.90294723632991902</v>
      </c>
      <c r="S17" s="1">
        <f t="shared" ca="1" si="8"/>
        <v>0.90582555759746963</v>
      </c>
      <c r="T17" s="1">
        <f t="shared" ca="1" si="8"/>
        <v>0.89489387015233368</v>
      </c>
      <c r="U17" s="1">
        <f t="shared" ca="1" si="8"/>
        <v>0.9124474426668524</v>
      </c>
      <c r="V17" s="1">
        <f t="shared" ref="V17:AJ17" ca="1" si="9">V11/V14</f>
        <v>0.94709058760033171</v>
      </c>
      <c r="W17" s="1">
        <f t="shared" ca="1" si="9"/>
        <v>0.94537714238882387</v>
      </c>
      <c r="X17" s="1">
        <f t="shared" ca="1" si="9"/>
        <v>0.94873604473117445</v>
      </c>
      <c r="Y17" s="1">
        <f t="shared" ca="1" si="9"/>
        <v>2.3682504995453937</v>
      </c>
      <c r="Z17" s="1">
        <f t="shared" ca="1" si="9"/>
        <v>0.83593004785624081</v>
      </c>
      <c r="AA17" s="1">
        <f t="shared" ca="1" si="9"/>
        <v>0.90511317589194407</v>
      </c>
      <c r="AB17" s="1">
        <f t="shared" ca="1" si="9"/>
        <v>0.94382600852733589</v>
      </c>
      <c r="AC17" s="1">
        <f t="shared" ca="1" si="9"/>
        <v>0.94709795444559064</v>
      </c>
      <c r="AD17" s="1">
        <f t="shared" ca="1" si="9"/>
        <v>0.9374997586577436</v>
      </c>
      <c r="AE17" s="1">
        <f t="shared" ca="1" si="9"/>
        <v>0.93057809779466516</v>
      </c>
      <c r="AF17" s="1">
        <f t="shared" ca="1" si="9"/>
        <v>0.89592281537588259</v>
      </c>
      <c r="AG17" s="1">
        <f t="shared" ref="AG17" ca="1" si="10">AG11/AG14</f>
        <v>0.90954326358081716</v>
      </c>
      <c r="AH17" s="1">
        <f t="shared" ca="1" si="9"/>
        <v>0.92695429092560644</v>
      </c>
      <c r="AI17" s="1">
        <f t="shared" ca="1" si="9"/>
        <v>0.90443554401025361</v>
      </c>
      <c r="AJ17" s="1">
        <f t="shared" ca="1" si="9"/>
        <v>0.91237819067114478</v>
      </c>
      <c r="AK17" s="1">
        <f t="shared" ref="AK17:AW17" ca="1" si="11">AK11/AK14</f>
        <v>0.93346243268606177</v>
      </c>
      <c r="AL17" s="1">
        <f t="shared" ca="1" si="11"/>
        <v>0.89218387290880652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0.15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8.7999999999999995E-2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15.362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2.7050000000000001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8.0000000000000002E-3</v>
      </c>
      <c r="G22" s="40">
        <f t="shared" ca="1" si="18"/>
        <v>5.0000000000000001E-3</v>
      </c>
      <c r="H22" s="40">
        <f t="shared" ca="1" si="18"/>
        <v>0</v>
      </c>
      <c r="I22" s="40">
        <f t="shared" ca="1" si="18"/>
        <v>0.22500000000000001</v>
      </c>
      <c r="J22" s="40">
        <f t="shared" ca="1" si="18"/>
        <v>0</v>
      </c>
      <c r="K22" s="40">
        <f t="shared" ca="1" si="18"/>
        <v>42.881999999999998</v>
      </c>
      <c r="L22" s="40">
        <f t="shared" ca="1" si="18"/>
        <v>0</v>
      </c>
      <c r="M22" s="40">
        <f t="shared" ca="1" si="18"/>
        <v>0</v>
      </c>
      <c r="N22" s="40">
        <f t="shared" ca="1" si="18"/>
        <v>0.114</v>
      </c>
      <c r="O22" s="40">
        <f t="shared" ca="1" si="18"/>
        <v>0.11700000000000001</v>
      </c>
      <c r="P22" s="40">
        <f t="shared" ca="1" si="18"/>
        <v>7.0000000000000001E-3</v>
      </c>
      <c r="Q22" s="40">
        <f t="shared" ca="1" si="18"/>
        <v>0</v>
      </c>
      <c r="R22" s="40">
        <f t="shared" ca="1" si="18"/>
        <v>8.0000000000000002E-3</v>
      </c>
      <c r="S22" s="40">
        <f t="shared" ca="1" si="18"/>
        <v>0</v>
      </c>
      <c r="T22" s="40">
        <f t="shared" ca="1" si="18"/>
        <v>8.9999999999999993E-3</v>
      </c>
      <c r="U22" s="40">
        <f t="shared" ca="1" si="18"/>
        <v>4.8000000000000001E-2</v>
      </c>
      <c r="V22" s="40">
        <f t="shared" ca="1" si="15"/>
        <v>0</v>
      </c>
      <c r="W22" s="40">
        <f t="shared" ca="1" si="15"/>
        <v>0.14299999999999999</v>
      </c>
      <c r="X22" s="40">
        <f t="shared" ca="1" si="15"/>
        <v>0</v>
      </c>
      <c r="Y22" s="40">
        <f t="shared" ca="1" si="15"/>
        <v>1.089</v>
      </c>
      <c r="Z22" s="40">
        <f t="shared" ca="1" si="15"/>
        <v>0.3</v>
      </c>
      <c r="AA22" s="40">
        <f t="shared" ca="1" si="15"/>
        <v>0</v>
      </c>
      <c r="AB22" s="40">
        <f t="shared" ca="1" si="15"/>
        <v>0.17199999999999999</v>
      </c>
      <c r="AC22" s="40">
        <f t="shared" ca="1" si="15"/>
        <v>0</v>
      </c>
      <c r="AD22" s="40">
        <f t="shared" ca="1" si="15"/>
        <v>0</v>
      </c>
      <c r="AE22" s="40">
        <f t="shared" ca="1" si="15"/>
        <v>0</v>
      </c>
      <c r="AF22" s="40">
        <f t="shared" ca="1" si="15"/>
        <v>5.8000000000000003E-2</v>
      </c>
      <c r="AG22" s="40">
        <f t="shared" ca="1" si="15"/>
        <v>0.13200000000000001</v>
      </c>
      <c r="AH22" s="40">
        <f t="shared" ca="1" si="15"/>
        <v>0</v>
      </c>
      <c r="AI22" s="40">
        <f t="shared" ca="1" si="15"/>
        <v>0</v>
      </c>
      <c r="AJ22" s="40">
        <f t="shared" ca="1" si="15"/>
        <v>0.128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9">ROUND(E8*E32/E40,3)</f>
        <v>26.545999999999999</v>
      </c>
      <c r="F23" s="40">
        <f t="shared" ca="1" si="19"/>
        <v>19.488</v>
      </c>
      <c r="G23" s="40">
        <f t="shared" ca="1" si="19"/>
        <v>2.5830000000000002</v>
      </c>
      <c r="H23" s="40">
        <f t="shared" ca="1" si="19"/>
        <v>0.77</v>
      </c>
      <c r="I23" s="40">
        <f t="shared" ca="1" si="19"/>
        <v>9.9920000000000009</v>
      </c>
      <c r="J23" s="40">
        <f t="shared" ca="1" si="19"/>
        <v>30.766999999999999</v>
      </c>
      <c r="K23" s="40">
        <f t="shared" ca="1" si="19"/>
        <v>330.41899999999998</v>
      </c>
      <c r="L23" s="40">
        <f t="shared" ca="1" si="19"/>
        <v>1.2869999999999999</v>
      </c>
      <c r="M23" s="40">
        <f t="shared" ca="1" si="19"/>
        <v>3.052</v>
      </c>
      <c r="N23" s="40">
        <f t="shared" ca="1" si="19"/>
        <v>12.273999999999999</v>
      </c>
      <c r="O23" s="40">
        <f t="shared" ca="1" si="19"/>
        <v>26.95</v>
      </c>
      <c r="P23" s="40">
        <f t="shared" ca="1" si="19"/>
        <v>4.2149999999999999</v>
      </c>
      <c r="Q23" s="40">
        <f t="shared" ca="1" si="19"/>
        <v>4.7569999999999997</v>
      </c>
      <c r="R23" s="40">
        <f t="shared" ca="1" si="19"/>
        <v>0.19500000000000001</v>
      </c>
      <c r="S23" s="40">
        <f t="shared" ca="1" si="19"/>
        <v>26.077000000000002</v>
      </c>
      <c r="T23" s="40">
        <f t="shared" ca="1" si="19"/>
        <v>1.202</v>
      </c>
      <c r="U23" s="40">
        <f t="shared" ca="1" si="19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227.565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20">ROUND(E9*E33/E41,3)</f>
        <v>1E-3</v>
      </c>
      <c r="F24" s="40">
        <f t="shared" ca="1" si="20"/>
        <v>0.151</v>
      </c>
      <c r="G24" s="40">
        <f t="shared" ca="1" si="20"/>
        <v>7.0000000000000001E-3</v>
      </c>
      <c r="H24" s="40">
        <f t="shared" ca="1" si="20"/>
        <v>0.156</v>
      </c>
      <c r="I24" s="40">
        <f t="shared" ca="1" si="20"/>
        <v>0.24299999999999999</v>
      </c>
      <c r="J24" s="40">
        <f t="shared" ca="1" si="20"/>
        <v>0</v>
      </c>
      <c r="K24" s="40">
        <f t="shared" ca="1" si="20"/>
        <v>2.7930000000000001</v>
      </c>
      <c r="L24" s="40">
        <f t="shared" ca="1" si="20"/>
        <v>8.3000000000000004E-2</v>
      </c>
      <c r="M24" s="40">
        <f t="shared" ca="1" si="20"/>
        <v>9.0999999999999998E-2</v>
      </c>
      <c r="N24" s="40">
        <f t="shared" ca="1" si="20"/>
        <v>7.1999999999999995E-2</v>
      </c>
      <c r="O24" s="40">
        <f t="shared" ca="1" si="20"/>
        <v>0.46300000000000002</v>
      </c>
      <c r="P24" s="40">
        <f t="shared" ca="1" si="20"/>
        <v>0.3</v>
      </c>
      <c r="Q24" s="40">
        <f t="shared" ca="1" si="20"/>
        <v>0.52700000000000002</v>
      </c>
      <c r="R24" s="40">
        <f t="shared" ca="1" si="20"/>
        <v>0</v>
      </c>
      <c r="S24" s="40">
        <f t="shared" ca="1" si="20"/>
        <v>8.1000000000000003E-2</v>
      </c>
      <c r="T24" s="40">
        <f t="shared" ca="1" si="20"/>
        <v>2E-3</v>
      </c>
      <c r="U24" s="40">
        <f t="shared" ca="1" si="20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0.84199999999999997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1">ROUND(E10*E34/E42,3)</f>
        <v>1E-3</v>
      </c>
      <c r="F25" s="40">
        <f t="shared" ca="1" si="21"/>
        <v>2.8000000000000001E-2</v>
      </c>
      <c r="G25" s="40">
        <f t="shared" ca="1" si="21"/>
        <v>1.9E-2</v>
      </c>
      <c r="H25" s="40">
        <f t="shared" ca="1" si="21"/>
        <v>0.02</v>
      </c>
      <c r="I25" s="40">
        <f t="shared" ca="1" si="21"/>
        <v>9.4E-2</v>
      </c>
      <c r="J25" s="40">
        <f t="shared" ca="1" si="21"/>
        <v>1.506</v>
      </c>
      <c r="K25" s="40">
        <f t="shared" ca="1" si="21"/>
        <v>33.113</v>
      </c>
      <c r="L25" s="40">
        <f t="shared" ca="1" si="21"/>
        <v>0</v>
      </c>
      <c r="M25" s="40">
        <f t="shared" ca="1" si="21"/>
        <v>0</v>
      </c>
      <c r="N25" s="40">
        <f t="shared" ca="1" si="21"/>
        <v>0.16600000000000001</v>
      </c>
      <c r="O25" s="40">
        <f t="shared" ca="1" si="21"/>
        <v>0.20300000000000001</v>
      </c>
      <c r="P25" s="40">
        <f t="shared" ca="1" si="21"/>
        <v>1.7999999999999999E-2</v>
      </c>
      <c r="Q25" s="40">
        <f t="shared" ca="1" si="21"/>
        <v>0</v>
      </c>
      <c r="R25" s="40">
        <f t="shared" ca="1" si="21"/>
        <v>2E-3</v>
      </c>
      <c r="S25" s="40">
        <f t="shared" ca="1" si="21"/>
        <v>1.1040000000000001</v>
      </c>
      <c r="T25" s="40">
        <f t="shared" ca="1" si="21"/>
        <v>0</v>
      </c>
      <c r="U25" s="40">
        <f t="shared" ca="1" si="21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0.76200000000000001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1.5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2">$AX28*D$27</f>
        <v>0.52772280688712847</v>
      </c>
      <c r="E28" s="1">
        <f t="shared" si="22"/>
        <v>0.52772280688712847</v>
      </c>
      <c r="F28" s="1">
        <f t="shared" si="22"/>
        <v>0.52772280688712847</v>
      </c>
      <c r="G28" s="1">
        <f t="shared" si="22"/>
        <v>0.52772280688712847</v>
      </c>
      <c r="H28" s="1">
        <f t="shared" si="22"/>
        <v>0.52772280688712847</v>
      </c>
      <c r="I28" s="1">
        <f t="shared" si="22"/>
        <v>0.52772280688712847</v>
      </c>
      <c r="J28" s="1">
        <f t="shared" si="22"/>
        <v>0.52772280688712847</v>
      </c>
      <c r="K28" s="1">
        <f t="shared" si="22"/>
        <v>0.79158421033069271</v>
      </c>
      <c r="L28" s="1">
        <f t="shared" si="22"/>
        <v>0.52772280688712847</v>
      </c>
      <c r="M28" s="1">
        <f t="shared" si="22"/>
        <v>0.52772280688712847</v>
      </c>
      <c r="N28" s="1">
        <f t="shared" si="22"/>
        <v>0.52772280688712847</v>
      </c>
      <c r="O28" s="1">
        <f t="shared" si="22"/>
        <v>0.52772280688712847</v>
      </c>
      <c r="P28" s="1">
        <f t="shared" si="22"/>
        <v>0.52772280688712847</v>
      </c>
      <c r="Q28" s="1">
        <f t="shared" si="22"/>
        <v>0.52772280688712847</v>
      </c>
      <c r="R28" s="1">
        <f t="shared" si="22"/>
        <v>0.52772280688712847</v>
      </c>
      <c r="S28" s="1">
        <f t="shared" si="22"/>
        <v>0.52772280688712847</v>
      </c>
      <c r="T28" s="1">
        <f t="shared" si="22"/>
        <v>0.52772280688712847</v>
      </c>
      <c r="U28" s="1">
        <f t="shared" si="22"/>
        <v>0.52772280688712847</v>
      </c>
      <c r="V28" s="1">
        <f t="shared" si="22"/>
        <v>0.52772280688712847</v>
      </c>
      <c r="W28" s="1">
        <f t="shared" si="22"/>
        <v>0.52772280688712847</v>
      </c>
      <c r="X28" s="1">
        <f t="shared" si="22"/>
        <v>0.52772280688712847</v>
      </c>
      <c r="Y28" s="1">
        <f t="shared" si="22"/>
        <v>0.31663368413227705</v>
      </c>
      <c r="Z28" s="1">
        <f t="shared" si="22"/>
        <v>0.52772280688712847</v>
      </c>
      <c r="AA28" s="1">
        <f t="shared" si="22"/>
        <v>0.52772280688712847</v>
      </c>
      <c r="AB28" s="1">
        <f t="shared" si="22"/>
        <v>0.52772280688712847</v>
      </c>
      <c r="AC28" s="1">
        <f t="shared" si="22"/>
        <v>0.52772280688712847</v>
      </c>
      <c r="AD28" s="1">
        <f t="shared" ref="AD28:AS34" si="23">$AX28*AD$27</f>
        <v>0.52772280688712847</v>
      </c>
      <c r="AE28" s="1">
        <f t="shared" si="23"/>
        <v>0.52772280688712847</v>
      </c>
      <c r="AF28" s="1">
        <f t="shared" si="23"/>
        <v>0.52772280688712847</v>
      </c>
      <c r="AG28" s="1">
        <f t="shared" si="23"/>
        <v>0.52772280688712847</v>
      </c>
      <c r="AH28" s="1">
        <f t="shared" si="23"/>
        <v>0.52772280688712847</v>
      </c>
      <c r="AI28" s="1">
        <f t="shared" si="23"/>
        <v>0.52772280688712847</v>
      </c>
      <c r="AJ28" s="1">
        <f t="shared" si="23"/>
        <v>0.52772280688712847</v>
      </c>
      <c r="AK28" s="1">
        <f t="shared" si="23"/>
        <v>0.52772280688712847</v>
      </c>
      <c r="AL28" s="1">
        <f t="shared" si="23"/>
        <v>0.52772280688712847</v>
      </c>
      <c r="AM28" s="1">
        <f t="shared" si="23"/>
        <v>0.52772280688712847</v>
      </c>
      <c r="AN28" s="1">
        <f t="shared" si="23"/>
        <v>0.52772280688712847</v>
      </c>
      <c r="AO28" s="1">
        <f t="shared" si="23"/>
        <v>0.52772280688712847</v>
      </c>
      <c r="AP28" s="1">
        <f t="shared" si="23"/>
        <v>0.52772280688712847</v>
      </c>
      <c r="AQ28" s="1">
        <f t="shared" si="23"/>
        <v>0.52772280688712847</v>
      </c>
      <c r="AR28" s="1">
        <f t="shared" si="23"/>
        <v>0.52772280688712847</v>
      </c>
      <c r="AS28" s="1">
        <f t="shared" si="23"/>
        <v>0.52772280688712847</v>
      </c>
      <c r="AT28" s="1">
        <f t="shared" ref="AK28:AW34" si="24">$AX28*AT$27</f>
        <v>0.52772280688712847</v>
      </c>
      <c r="AU28" s="1">
        <f t="shared" si="24"/>
        <v>0.52772280688712847</v>
      </c>
      <c r="AV28" s="1">
        <f t="shared" si="24"/>
        <v>0.52772280688712847</v>
      </c>
      <c r="AW28" s="1">
        <f t="shared" si="24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 s="1">
        <f t="shared" si="22"/>
        <v>0.46605286801155565</v>
      </c>
      <c r="E29" s="1">
        <f t="shared" si="22"/>
        <v>0.46605286801155565</v>
      </c>
      <c r="F29" s="1">
        <f t="shared" si="22"/>
        <v>0.46605286801155565</v>
      </c>
      <c r="G29" s="1">
        <f t="shared" si="22"/>
        <v>0.46605286801155565</v>
      </c>
      <c r="H29" s="1">
        <f t="shared" si="22"/>
        <v>0.46605286801155565</v>
      </c>
      <c r="I29" s="1">
        <f t="shared" si="22"/>
        <v>0.46605286801155565</v>
      </c>
      <c r="J29" s="1">
        <f t="shared" si="22"/>
        <v>0.46605286801155565</v>
      </c>
      <c r="K29" s="1">
        <f t="shared" si="22"/>
        <v>0.69907930201733348</v>
      </c>
      <c r="L29" s="1">
        <f t="shared" si="22"/>
        <v>0.46605286801155565</v>
      </c>
      <c r="M29" s="1">
        <f t="shared" si="22"/>
        <v>0.46605286801155565</v>
      </c>
      <c r="N29" s="1">
        <f t="shared" si="22"/>
        <v>0.46605286801155565</v>
      </c>
      <c r="O29" s="1">
        <f t="shared" si="22"/>
        <v>0.46605286801155565</v>
      </c>
      <c r="P29" s="1">
        <f t="shared" si="22"/>
        <v>0.46605286801155565</v>
      </c>
      <c r="Q29" s="1">
        <f t="shared" si="22"/>
        <v>0.46605286801155565</v>
      </c>
      <c r="R29" s="1">
        <f t="shared" si="22"/>
        <v>0.46605286801155565</v>
      </c>
      <c r="S29" s="1">
        <f t="shared" si="22"/>
        <v>0.46605286801155565</v>
      </c>
      <c r="T29" s="1">
        <f t="shared" si="22"/>
        <v>0.46605286801155565</v>
      </c>
      <c r="U29" s="1">
        <f t="shared" si="22"/>
        <v>0.46605286801155565</v>
      </c>
      <c r="V29" s="1">
        <f t="shared" si="22"/>
        <v>0.46605286801155565</v>
      </c>
      <c r="W29" s="1">
        <f t="shared" si="22"/>
        <v>0.46605286801155565</v>
      </c>
      <c r="X29" s="1">
        <f t="shared" si="22"/>
        <v>0.46605286801155565</v>
      </c>
      <c r="Y29" s="1">
        <f t="shared" si="22"/>
        <v>0.27963172080693338</v>
      </c>
      <c r="Z29" s="1">
        <f t="shared" si="22"/>
        <v>0.46605286801155565</v>
      </c>
      <c r="AA29" s="1">
        <f t="shared" si="22"/>
        <v>0.46605286801155565</v>
      </c>
      <c r="AB29" s="1">
        <f t="shared" si="22"/>
        <v>0.46605286801155565</v>
      </c>
      <c r="AC29" s="1">
        <f t="shared" si="22"/>
        <v>0.46605286801155565</v>
      </c>
      <c r="AD29" s="1">
        <f t="shared" si="23"/>
        <v>0.46605286801155565</v>
      </c>
      <c r="AE29" s="1">
        <f t="shared" si="23"/>
        <v>0.46605286801155565</v>
      </c>
      <c r="AF29" s="1">
        <f t="shared" si="23"/>
        <v>0.46605286801155565</v>
      </c>
      <c r="AG29" s="1">
        <f t="shared" si="23"/>
        <v>0.46605286801155565</v>
      </c>
      <c r="AH29" s="1">
        <f t="shared" si="23"/>
        <v>0.46605286801155565</v>
      </c>
      <c r="AI29" s="1">
        <f t="shared" si="23"/>
        <v>0.46605286801155565</v>
      </c>
      <c r="AJ29" s="1">
        <f t="shared" si="23"/>
        <v>0.46605286801155565</v>
      </c>
      <c r="AK29" s="1">
        <f t="shared" si="24"/>
        <v>0.46605286801155565</v>
      </c>
      <c r="AL29" s="1">
        <f t="shared" si="23"/>
        <v>0.46605286801155565</v>
      </c>
      <c r="AM29" s="1">
        <f t="shared" si="24"/>
        <v>0.46605286801155565</v>
      </c>
      <c r="AN29" s="1">
        <f t="shared" si="24"/>
        <v>0.46605286801155565</v>
      </c>
      <c r="AO29" s="1">
        <f t="shared" si="24"/>
        <v>0.46605286801155565</v>
      </c>
      <c r="AP29" s="1">
        <f t="shared" si="24"/>
        <v>0.46605286801155565</v>
      </c>
      <c r="AQ29" s="1">
        <f t="shared" si="24"/>
        <v>0.46605286801155565</v>
      </c>
      <c r="AR29" s="1">
        <f t="shared" si="24"/>
        <v>0.46605286801155565</v>
      </c>
      <c r="AS29" s="1">
        <f t="shared" si="24"/>
        <v>0.46605286801155565</v>
      </c>
      <c r="AT29" s="1">
        <f t="shared" si="24"/>
        <v>0.46605286801155565</v>
      </c>
      <c r="AU29" s="1">
        <f t="shared" si="24"/>
        <v>0.46605286801155565</v>
      </c>
      <c r="AV29" s="1">
        <f t="shared" si="24"/>
        <v>0.46605286801155565</v>
      </c>
      <c r="AW29" s="1">
        <f t="shared" si="24"/>
        <v>0.46605286801155565</v>
      </c>
      <c r="AX29" s="52">
        <f>AX32</f>
        <v>0.46605286801155565</v>
      </c>
      <c r="AY29" s="2" t="s">
        <v>348</v>
      </c>
      <c r="AZ29" s="1" t="str">
        <f t="shared" ref="AZ29:AZ34" si="26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 s="1">
        <f t="shared" si="22"/>
        <v>0.52772280688712847</v>
      </c>
      <c r="E30" s="1">
        <f t="shared" si="22"/>
        <v>0.52772280688712847</v>
      </c>
      <c r="F30" s="1">
        <f t="shared" si="22"/>
        <v>0.52772280688712847</v>
      </c>
      <c r="G30" s="1">
        <f t="shared" si="22"/>
        <v>0.52772280688712847</v>
      </c>
      <c r="H30" s="1">
        <f t="shared" si="22"/>
        <v>0.52772280688712847</v>
      </c>
      <c r="I30" s="1">
        <f t="shared" si="22"/>
        <v>0.52772280688712847</v>
      </c>
      <c r="J30" s="1">
        <f t="shared" si="22"/>
        <v>0.52772280688712847</v>
      </c>
      <c r="K30" s="1">
        <f t="shared" si="22"/>
        <v>0.79158421033069271</v>
      </c>
      <c r="L30" s="1">
        <f t="shared" si="22"/>
        <v>0.52772280688712847</v>
      </c>
      <c r="M30" s="1">
        <f t="shared" si="22"/>
        <v>0.52772280688712847</v>
      </c>
      <c r="N30" s="1">
        <f t="shared" si="22"/>
        <v>0.52772280688712847</v>
      </c>
      <c r="O30" s="1">
        <f t="shared" si="22"/>
        <v>0.52772280688712847</v>
      </c>
      <c r="P30" s="1">
        <f t="shared" si="22"/>
        <v>0.52772280688712847</v>
      </c>
      <c r="Q30" s="1">
        <f t="shared" si="22"/>
        <v>0.52772280688712847</v>
      </c>
      <c r="R30" s="1">
        <f t="shared" si="22"/>
        <v>0.52772280688712847</v>
      </c>
      <c r="S30" s="1">
        <f t="shared" si="22"/>
        <v>0.52772280688712847</v>
      </c>
      <c r="T30" s="1">
        <f t="shared" si="22"/>
        <v>0.52772280688712847</v>
      </c>
      <c r="U30" s="1">
        <f t="shared" si="22"/>
        <v>0.52772280688712847</v>
      </c>
      <c r="V30" s="1">
        <f t="shared" si="22"/>
        <v>0.52772280688712847</v>
      </c>
      <c r="W30" s="1">
        <f t="shared" si="22"/>
        <v>0.52772280688712847</v>
      </c>
      <c r="X30" s="1">
        <f t="shared" si="22"/>
        <v>0.52772280688712847</v>
      </c>
      <c r="Y30" s="1">
        <f t="shared" si="22"/>
        <v>0.31663368413227705</v>
      </c>
      <c r="Z30" s="1">
        <f t="shared" si="22"/>
        <v>0.52772280688712847</v>
      </c>
      <c r="AA30" s="1">
        <f t="shared" si="22"/>
        <v>0.52772280688712847</v>
      </c>
      <c r="AB30" s="1">
        <f t="shared" si="22"/>
        <v>0.52772280688712847</v>
      </c>
      <c r="AC30" s="1">
        <f t="shared" si="22"/>
        <v>0.52772280688712847</v>
      </c>
      <c r="AD30" s="1">
        <f t="shared" si="23"/>
        <v>0.52772280688712847</v>
      </c>
      <c r="AE30" s="1">
        <f t="shared" si="23"/>
        <v>0.52772280688712847</v>
      </c>
      <c r="AF30" s="1">
        <f t="shared" si="23"/>
        <v>0.52772280688712847</v>
      </c>
      <c r="AG30" s="1">
        <f t="shared" si="23"/>
        <v>0.52772280688712847</v>
      </c>
      <c r="AH30" s="1">
        <f t="shared" si="23"/>
        <v>0.52772280688712847</v>
      </c>
      <c r="AI30" s="1">
        <f t="shared" si="23"/>
        <v>0.52772280688712847</v>
      </c>
      <c r="AJ30" s="1">
        <f t="shared" si="23"/>
        <v>0.52772280688712847</v>
      </c>
      <c r="AK30" s="1">
        <f t="shared" si="24"/>
        <v>0.52772280688712847</v>
      </c>
      <c r="AL30" s="1">
        <f t="shared" si="23"/>
        <v>0.52772280688712847</v>
      </c>
      <c r="AM30" s="1">
        <f t="shared" si="24"/>
        <v>0.52772280688712847</v>
      </c>
      <c r="AN30" s="1">
        <f t="shared" si="24"/>
        <v>0.52772280688712847</v>
      </c>
      <c r="AO30" s="1">
        <f t="shared" si="24"/>
        <v>0.52772280688712847</v>
      </c>
      <c r="AP30" s="1">
        <f t="shared" si="24"/>
        <v>0.52772280688712847</v>
      </c>
      <c r="AQ30" s="1">
        <f t="shared" si="24"/>
        <v>0.52772280688712847</v>
      </c>
      <c r="AR30" s="1">
        <f t="shared" si="24"/>
        <v>0.52772280688712847</v>
      </c>
      <c r="AS30" s="1">
        <f t="shared" si="24"/>
        <v>0.52772280688712847</v>
      </c>
      <c r="AT30" s="1">
        <f t="shared" si="24"/>
        <v>0.52772280688712847</v>
      </c>
      <c r="AU30" s="1">
        <f t="shared" si="24"/>
        <v>0.52772280688712847</v>
      </c>
      <c r="AV30" s="1">
        <f t="shared" si="24"/>
        <v>0.52772280688712847</v>
      </c>
      <c r="AW30" s="1">
        <f t="shared" si="24"/>
        <v>0.52772280688712847</v>
      </c>
      <c r="AX30" s="52">
        <v>0.52772280688712847</v>
      </c>
      <c r="AY30" s="2" t="s">
        <v>348</v>
      </c>
      <c r="AZ30" s="1" t="str">
        <f t="shared" si="26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 s="1">
        <f t="shared" si="22"/>
        <v>1.165132170028889</v>
      </c>
      <c r="E31" s="1">
        <f t="shared" si="22"/>
        <v>1.165132170028889</v>
      </c>
      <c r="F31" s="1">
        <f t="shared" si="22"/>
        <v>1.165132170028889</v>
      </c>
      <c r="G31" s="1">
        <f t="shared" si="22"/>
        <v>1.165132170028889</v>
      </c>
      <c r="H31" s="1">
        <f t="shared" si="22"/>
        <v>1.165132170028889</v>
      </c>
      <c r="I31" s="1">
        <f t="shared" si="22"/>
        <v>1.165132170028889</v>
      </c>
      <c r="J31" s="1">
        <f t="shared" si="22"/>
        <v>1.165132170028889</v>
      </c>
      <c r="K31" s="1">
        <f t="shared" si="22"/>
        <v>1.7476982550433335</v>
      </c>
      <c r="L31" s="1">
        <f t="shared" si="22"/>
        <v>1.165132170028889</v>
      </c>
      <c r="M31" s="1">
        <f t="shared" si="22"/>
        <v>1.165132170028889</v>
      </c>
      <c r="N31" s="1">
        <f t="shared" si="22"/>
        <v>1.165132170028889</v>
      </c>
      <c r="O31" s="1">
        <f t="shared" si="22"/>
        <v>1.165132170028889</v>
      </c>
      <c r="P31" s="1">
        <f t="shared" si="22"/>
        <v>1.165132170028889</v>
      </c>
      <c r="Q31" s="1">
        <f t="shared" si="22"/>
        <v>1.165132170028889</v>
      </c>
      <c r="R31" s="1">
        <f t="shared" si="22"/>
        <v>1.165132170028889</v>
      </c>
      <c r="S31" s="1">
        <f t="shared" si="22"/>
        <v>1.165132170028889</v>
      </c>
      <c r="T31" s="1">
        <f t="shared" si="22"/>
        <v>1.165132170028889</v>
      </c>
      <c r="U31" s="1">
        <f t="shared" si="22"/>
        <v>1.165132170028889</v>
      </c>
      <c r="V31" s="1">
        <f t="shared" si="22"/>
        <v>1.165132170028889</v>
      </c>
      <c r="W31" s="1">
        <f t="shared" si="22"/>
        <v>1.165132170028889</v>
      </c>
      <c r="X31" s="1">
        <f t="shared" si="22"/>
        <v>1.165132170028889</v>
      </c>
      <c r="Y31" s="1">
        <f t="shared" si="22"/>
        <v>0.69907930201733337</v>
      </c>
      <c r="Z31" s="1">
        <f t="shared" si="22"/>
        <v>1.165132170028889</v>
      </c>
      <c r="AA31" s="1">
        <f t="shared" si="22"/>
        <v>1.165132170028889</v>
      </c>
      <c r="AB31" s="1">
        <f t="shared" si="22"/>
        <v>1.165132170028889</v>
      </c>
      <c r="AC31" s="1">
        <f t="shared" si="22"/>
        <v>1.165132170028889</v>
      </c>
      <c r="AD31" s="1">
        <f t="shared" si="23"/>
        <v>1.165132170028889</v>
      </c>
      <c r="AE31" s="1">
        <f t="shared" si="23"/>
        <v>1.165132170028889</v>
      </c>
      <c r="AF31" s="1">
        <f t="shared" si="23"/>
        <v>1.165132170028889</v>
      </c>
      <c r="AG31" s="1">
        <f t="shared" si="23"/>
        <v>1.165132170028889</v>
      </c>
      <c r="AH31" s="1">
        <f t="shared" si="23"/>
        <v>1.165132170028889</v>
      </c>
      <c r="AI31" s="1">
        <f t="shared" si="23"/>
        <v>1.165132170028889</v>
      </c>
      <c r="AJ31" s="1">
        <f t="shared" si="23"/>
        <v>1.165132170028889</v>
      </c>
      <c r="AK31" s="1">
        <f t="shared" si="24"/>
        <v>1.165132170028889</v>
      </c>
      <c r="AL31" s="1">
        <f t="shared" si="23"/>
        <v>1.165132170028889</v>
      </c>
      <c r="AM31" s="1">
        <f t="shared" si="24"/>
        <v>1.165132170028889</v>
      </c>
      <c r="AN31" s="1">
        <f t="shared" si="24"/>
        <v>1.165132170028889</v>
      </c>
      <c r="AO31" s="1">
        <f t="shared" si="24"/>
        <v>1.165132170028889</v>
      </c>
      <c r="AP31" s="1">
        <f t="shared" si="24"/>
        <v>1.165132170028889</v>
      </c>
      <c r="AQ31" s="1">
        <f t="shared" si="24"/>
        <v>1.165132170028889</v>
      </c>
      <c r="AR31" s="1">
        <f t="shared" si="24"/>
        <v>1.165132170028889</v>
      </c>
      <c r="AS31" s="1">
        <f t="shared" si="24"/>
        <v>1.165132170028889</v>
      </c>
      <c r="AT31" s="1">
        <f t="shared" si="24"/>
        <v>1.165132170028889</v>
      </c>
      <c r="AU31" s="1">
        <f t="shared" si="24"/>
        <v>1.165132170028889</v>
      </c>
      <c r="AV31" s="1">
        <f t="shared" si="24"/>
        <v>1.165132170028889</v>
      </c>
      <c r="AW31" s="1">
        <f t="shared" si="24"/>
        <v>1.165132170028889</v>
      </c>
      <c r="AX31" s="52">
        <f>AX32*2.5</f>
        <v>1.165132170028889</v>
      </c>
      <c r="AY31" s="2" t="s">
        <v>348</v>
      </c>
      <c r="AZ31" s="1" t="str">
        <f t="shared" si="26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 s="1">
        <f t="shared" si="22"/>
        <v>0.46605286801155565</v>
      </c>
      <c r="E32" s="1">
        <f t="shared" si="22"/>
        <v>0.46605286801155565</v>
      </c>
      <c r="F32" s="1">
        <f t="shared" si="22"/>
        <v>0.46605286801155565</v>
      </c>
      <c r="G32" s="1">
        <f t="shared" si="22"/>
        <v>0.46605286801155565</v>
      </c>
      <c r="H32" s="1">
        <f t="shared" si="22"/>
        <v>0.46605286801155565</v>
      </c>
      <c r="I32" s="1">
        <f t="shared" si="22"/>
        <v>0.46605286801155565</v>
      </c>
      <c r="J32" s="1">
        <f t="shared" si="22"/>
        <v>0.46605286801155565</v>
      </c>
      <c r="K32" s="1">
        <f t="shared" si="22"/>
        <v>0.69907930201733348</v>
      </c>
      <c r="L32" s="1">
        <f t="shared" si="22"/>
        <v>0.46605286801155565</v>
      </c>
      <c r="M32" s="1">
        <f t="shared" si="22"/>
        <v>0.46605286801155565</v>
      </c>
      <c r="N32" s="1">
        <f t="shared" si="22"/>
        <v>0.46605286801155565</v>
      </c>
      <c r="O32" s="1">
        <f t="shared" si="22"/>
        <v>0.46605286801155565</v>
      </c>
      <c r="P32" s="1">
        <f t="shared" si="22"/>
        <v>0.46605286801155565</v>
      </c>
      <c r="Q32" s="1">
        <f t="shared" si="22"/>
        <v>0.46605286801155565</v>
      </c>
      <c r="R32" s="1">
        <f t="shared" si="22"/>
        <v>0.46605286801155565</v>
      </c>
      <c r="S32" s="1">
        <f t="shared" si="22"/>
        <v>0.46605286801155565</v>
      </c>
      <c r="T32" s="1">
        <f t="shared" si="22"/>
        <v>0.46605286801155565</v>
      </c>
      <c r="U32" s="1">
        <f t="shared" si="22"/>
        <v>0.46605286801155565</v>
      </c>
      <c r="V32" s="1">
        <f t="shared" si="22"/>
        <v>0.46605286801155565</v>
      </c>
      <c r="W32" s="1">
        <f t="shared" si="22"/>
        <v>0.46605286801155565</v>
      </c>
      <c r="X32" s="1">
        <f t="shared" si="22"/>
        <v>0.46605286801155565</v>
      </c>
      <c r="Y32" s="1">
        <f t="shared" si="22"/>
        <v>0.27963172080693338</v>
      </c>
      <c r="Z32" s="1">
        <f t="shared" si="22"/>
        <v>0.46605286801155565</v>
      </c>
      <c r="AA32" s="1">
        <f t="shared" si="22"/>
        <v>0.46605286801155565</v>
      </c>
      <c r="AB32" s="1">
        <f t="shared" si="22"/>
        <v>0.46605286801155565</v>
      </c>
      <c r="AC32" s="1">
        <f t="shared" si="22"/>
        <v>0.46605286801155565</v>
      </c>
      <c r="AD32" s="1">
        <f t="shared" si="23"/>
        <v>0.46605286801155565</v>
      </c>
      <c r="AE32" s="1">
        <f t="shared" si="23"/>
        <v>0.46605286801155565</v>
      </c>
      <c r="AF32" s="1">
        <f t="shared" si="23"/>
        <v>0.46605286801155565</v>
      </c>
      <c r="AG32" s="1">
        <f t="shared" si="23"/>
        <v>0.46605286801155565</v>
      </c>
      <c r="AH32" s="1">
        <f t="shared" si="23"/>
        <v>0.46605286801155565</v>
      </c>
      <c r="AI32" s="1">
        <f t="shared" si="23"/>
        <v>0.46605286801155565</v>
      </c>
      <c r="AJ32" s="1">
        <f t="shared" si="23"/>
        <v>0.46605286801155565</v>
      </c>
      <c r="AK32" s="1">
        <f t="shared" si="24"/>
        <v>0.46605286801155565</v>
      </c>
      <c r="AL32" s="1">
        <f t="shared" si="23"/>
        <v>0.46605286801155565</v>
      </c>
      <c r="AM32" s="1">
        <f t="shared" si="24"/>
        <v>0.46605286801155565</v>
      </c>
      <c r="AN32" s="1">
        <f t="shared" si="24"/>
        <v>0.46605286801155565</v>
      </c>
      <c r="AO32" s="1">
        <f t="shared" si="24"/>
        <v>0.46605286801155565</v>
      </c>
      <c r="AP32" s="1">
        <f t="shared" si="24"/>
        <v>0.46605286801155565</v>
      </c>
      <c r="AQ32" s="1">
        <f t="shared" si="24"/>
        <v>0.46605286801155565</v>
      </c>
      <c r="AR32" s="1">
        <f t="shared" si="24"/>
        <v>0.46605286801155565</v>
      </c>
      <c r="AS32" s="1">
        <f t="shared" si="24"/>
        <v>0.46605286801155565</v>
      </c>
      <c r="AT32" s="1">
        <f t="shared" si="24"/>
        <v>0.46605286801155565</v>
      </c>
      <c r="AU32" s="1">
        <f t="shared" si="24"/>
        <v>0.46605286801155565</v>
      </c>
      <c r="AV32" s="1">
        <f t="shared" si="24"/>
        <v>0.46605286801155565</v>
      </c>
      <c r="AW32" s="1">
        <f t="shared" si="24"/>
        <v>0.46605286801155565</v>
      </c>
      <c r="AX32" s="52">
        <v>0.46605286801155565</v>
      </c>
      <c r="AY32" s="2" t="s">
        <v>348</v>
      </c>
      <c r="AZ32" s="95" t="str">
        <f t="shared" si="26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 s="1">
        <f t="shared" si="22"/>
        <v>0.47553149117899546</v>
      </c>
      <c r="E33" s="1">
        <f t="shared" si="22"/>
        <v>0.47553149117899546</v>
      </c>
      <c r="F33" s="1">
        <f t="shared" si="22"/>
        <v>0.47553149117899546</v>
      </c>
      <c r="G33" s="1">
        <f t="shared" si="22"/>
        <v>0.47553149117899546</v>
      </c>
      <c r="H33" s="1">
        <f t="shared" si="22"/>
        <v>0.47553149117899546</v>
      </c>
      <c r="I33" s="1">
        <f t="shared" si="22"/>
        <v>0.47553149117899546</v>
      </c>
      <c r="J33" s="1">
        <f t="shared" si="22"/>
        <v>0.47553149117899546</v>
      </c>
      <c r="K33" s="1">
        <f t="shared" si="22"/>
        <v>0.71329723676849321</v>
      </c>
      <c r="L33" s="1">
        <f t="shared" si="22"/>
        <v>0.47553149117899546</v>
      </c>
      <c r="M33" s="1">
        <f t="shared" si="22"/>
        <v>0.47553149117899546</v>
      </c>
      <c r="N33" s="1">
        <f t="shared" si="22"/>
        <v>0.47553149117899546</v>
      </c>
      <c r="O33" s="1">
        <f t="shared" si="22"/>
        <v>0.47553149117899546</v>
      </c>
      <c r="P33" s="1">
        <f t="shared" si="22"/>
        <v>0.47553149117899546</v>
      </c>
      <c r="Q33" s="1">
        <f t="shared" si="22"/>
        <v>0.47553149117899546</v>
      </c>
      <c r="R33" s="1">
        <f t="shared" si="22"/>
        <v>0.47553149117899546</v>
      </c>
      <c r="S33" s="1">
        <f t="shared" si="22"/>
        <v>0.47553149117899546</v>
      </c>
      <c r="T33" s="1">
        <f t="shared" si="22"/>
        <v>0.47553149117899546</v>
      </c>
      <c r="U33" s="1">
        <f t="shared" si="22"/>
        <v>0.47553149117899546</v>
      </c>
      <c r="V33" s="1">
        <f t="shared" si="22"/>
        <v>0.47553149117899546</v>
      </c>
      <c r="W33" s="1">
        <f t="shared" si="22"/>
        <v>0.47553149117899546</v>
      </c>
      <c r="X33" s="1">
        <f t="shared" si="22"/>
        <v>0.47553149117899546</v>
      </c>
      <c r="Y33" s="1">
        <f t="shared" si="22"/>
        <v>0.28531889470739724</v>
      </c>
      <c r="Z33" s="1">
        <f t="shared" si="22"/>
        <v>0.47553149117899546</v>
      </c>
      <c r="AA33" s="1">
        <f t="shared" si="22"/>
        <v>0.47553149117899546</v>
      </c>
      <c r="AB33" s="1">
        <f t="shared" si="22"/>
        <v>0.47553149117899546</v>
      </c>
      <c r="AC33" s="1">
        <f t="shared" si="22"/>
        <v>0.47553149117899546</v>
      </c>
      <c r="AD33" s="1">
        <f t="shared" si="23"/>
        <v>0.47553149117899546</v>
      </c>
      <c r="AE33" s="1">
        <f t="shared" si="23"/>
        <v>0.47553149117899546</v>
      </c>
      <c r="AF33" s="1">
        <f t="shared" si="23"/>
        <v>0.47553149117899546</v>
      </c>
      <c r="AG33" s="1">
        <f t="shared" si="23"/>
        <v>0.47553149117899546</v>
      </c>
      <c r="AH33" s="1">
        <f t="shared" si="23"/>
        <v>0.47553149117899546</v>
      </c>
      <c r="AI33" s="1">
        <f t="shared" si="23"/>
        <v>0.47553149117899546</v>
      </c>
      <c r="AJ33" s="1">
        <f t="shared" si="23"/>
        <v>0.47553149117899546</v>
      </c>
      <c r="AK33" s="1">
        <f t="shared" si="24"/>
        <v>0.47553149117899546</v>
      </c>
      <c r="AL33" s="1">
        <f t="shared" si="23"/>
        <v>0.47553149117899546</v>
      </c>
      <c r="AM33" s="1">
        <f t="shared" si="24"/>
        <v>0.47553149117899546</v>
      </c>
      <c r="AN33" s="1">
        <f t="shared" si="24"/>
        <v>0.47553149117899546</v>
      </c>
      <c r="AO33" s="1">
        <f t="shared" si="24"/>
        <v>0.47553149117899546</v>
      </c>
      <c r="AP33" s="1">
        <f t="shared" si="24"/>
        <v>0.47553149117899546</v>
      </c>
      <c r="AQ33" s="1">
        <f t="shared" si="24"/>
        <v>0.47553149117899546</v>
      </c>
      <c r="AR33" s="1">
        <f t="shared" si="24"/>
        <v>0.47553149117899546</v>
      </c>
      <c r="AS33" s="1">
        <f t="shared" si="24"/>
        <v>0.47553149117899546</v>
      </c>
      <c r="AT33" s="1">
        <f t="shared" si="24"/>
        <v>0.47553149117899546</v>
      </c>
      <c r="AU33" s="1">
        <f t="shared" si="24"/>
        <v>0.47553149117899546</v>
      </c>
      <c r="AV33" s="1">
        <f t="shared" si="24"/>
        <v>0.47553149117899546</v>
      </c>
      <c r="AW33" s="1">
        <f t="shared" si="24"/>
        <v>0.47553149117899546</v>
      </c>
      <c r="AX33" s="52">
        <v>0.47553149117899546</v>
      </c>
      <c r="AY33" s="2" t="s">
        <v>348</v>
      </c>
      <c r="AZ33" s="1" t="str">
        <f t="shared" si="26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 s="1">
        <f t="shared" si="22"/>
        <v>0.42934543946517889</v>
      </c>
      <c r="E34" s="1">
        <f t="shared" si="22"/>
        <v>0.42934543946517889</v>
      </c>
      <c r="F34" s="1">
        <f t="shared" si="22"/>
        <v>0.42934543946517889</v>
      </c>
      <c r="G34" s="1">
        <f t="shared" si="22"/>
        <v>0.42934543946517889</v>
      </c>
      <c r="H34" s="1">
        <f t="shared" si="22"/>
        <v>0.42934543946517889</v>
      </c>
      <c r="I34" s="1">
        <f t="shared" si="22"/>
        <v>0.42934543946517889</v>
      </c>
      <c r="J34" s="1">
        <f t="shared" si="22"/>
        <v>0.42934543946517889</v>
      </c>
      <c r="K34" s="1">
        <f t="shared" si="22"/>
        <v>0.64401815919776828</v>
      </c>
      <c r="L34" s="1">
        <f t="shared" si="22"/>
        <v>0.42934543946517889</v>
      </c>
      <c r="M34" s="1">
        <f t="shared" si="22"/>
        <v>0.42934543946517889</v>
      </c>
      <c r="N34" s="1">
        <f t="shared" si="22"/>
        <v>0.42934543946517889</v>
      </c>
      <c r="O34" s="1">
        <f t="shared" si="22"/>
        <v>0.42934543946517889</v>
      </c>
      <c r="P34" s="1">
        <f t="shared" si="22"/>
        <v>0.42934543946517889</v>
      </c>
      <c r="Q34" s="1">
        <f t="shared" si="22"/>
        <v>0.42934543946517889</v>
      </c>
      <c r="R34" s="1">
        <f t="shared" si="22"/>
        <v>0.42934543946517889</v>
      </c>
      <c r="S34" s="1">
        <f t="shared" si="22"/>
        <v>0.42934543946517889</v>
      </c>
      <c r="T34" s="1">
        <f t="shared" si="22"/>
        <v>0.42934543946517889</v>
      </c>
      <c r="U34" s="1">
        <f t="shared" si="22"/>
        <v>0.42934543946517889</v>
      </c>
      <c r="V34" s="1">
        <f t="shared" si="22"/>
        <v>0.42934543946517889</v>
      </c>
      <c r="W34" s="1">
        <f t="shared" si="22"/>
        <v>0.42934543946517889</v>
      </c>
      <c r="X34" s="1">
        <f t="shared" si="22"/>
        <v>0.42934543946517889</v>
      </c>
      <c r="Y34" s="1">
        <f t="shared" si="22"/>
        <v>0.2576072636791073</v>
      </c>
      <c r="Z34" s="1">
        <f t="shared" si="22"/>
        <v>0.42934543946517889</v>
      </c>
      <c r="AA34" s="1">
        <f t="shared" si="22"/>
        <v>0.42934543946517889</v>
      </c>
      <c r="AB34" s="1">
        <f t="shared" si="22"/>
        <v>0.42934543946517889</v>
      </c>
      <c r="AC34" s="1">
        <f t="shared" si="22"/>
        <v>0.42934543946517889</v>
      </c>
      <c r="AD34" s="1">
        <f t="shared" si="23"/>
        <v>0.42934543946517889</v>
      </c>
      <c r="AE34" s="1">
        <f t="shared" si="23"/>
        <v>0.42934543946517889</v>
      </c>
      <c r="AF34" s="1">
        <f t="shared" si="23"/>
        <v>0.42934543946517889</v>
      </c>
      <c r="AG34" s="1">
        <f t="shared" si="23"/>
        <v>0.42934543946517889</v>
      </c>
      <c r="AH34" s="1">
        <f t="shared" si="23"/>
        <v>0.42934543946517889</v>
      </c>
      <c r="AI34" s="1">
        <f t="shared" si="23"/>
        <v>0.42934543946517889</v>
      </c>
      <c r="AJ34" s="1">
        <f t="shared" si="23"/>
        <v>0.42934543946517889</v>
      </c>
      <c r="AK34" s="1">
        <f t="shared" si="24"/>
        <v>0.42934543946517889</v>
      </c>
      <c r="AL34" s="1">
        <f t="shared" si="23"/>
        <v>0.42934543946517889</v>
      </c>
      <c r="AM34" s="1">
        <f t="shared" si="24"/>
        <v>0.42934543946517889</v>
      </c>
      <c r="AN34" s="1">
        <f t="shared" si="24"/>
        <v>0.42934543946517889</v>
      </c>
      <c r="AO34" s="1">
        <f t="shared" si="24"/>
        <v>0.42934543946517889</v>
      </c>
      <c r="AP34" s="1">
        <f t="shared" si="24"/>
        <v>0.42934543946517889</v>
      </c>
      <c r="AQ34" s="1">
        <f t="shared" si="24"/>
        <v>0.42934543946517889</v>
      </c>
      <c r="AR34" s="1">
        <f t="shared" si="24"/>
        <v>0.42934543946517889</v>
      </c>
      <c r="AS34" s="1">
        <f t="shared" si="24"/>
        <v>0.42934543946517889</v>
      </c>
      <c r="AT34" s="1">
        <f t="shared" si="24"/>
        <v>0.42934543946517889</v>
      </c>
      <c r="AU34" s="1">
        <f t="shared" si="24"/>
        <v>0.42934543946517889</v>
      </c>
      <c r="AV34" s="1">
        <f t="shared" si="24"/>
        <v>0.42934543946517889</v>
      </c>
      <c r="AW34" s="1">
        <f t="shared" si="24"/>
        <v>0.42934543946517889</v>
      </c>
      <c r="AX34" s="52">
        <v>0.42934543946517889</v>
      </c>
      <c r="AY34" s="2" t="s">
        <v>348</v>
      </c>
      <c r="AZ34" s="1" t="str">
        <f t="shared" si="26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8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18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f>D$36</f>
        <v>12</v>
      </c>
      <c r="E37" s="40">
        <f t="shared" ref="E37:U42" si="28">E$36</f>
        <v>12</v>
      </c>
      <c r="F37" s="40">
        <f t="shared" si="28"/>
        <v>12</v>
      </c>
      <c r="G37" s="40">
        <f t="shared" si="28"/>
        <v>12</v>
      </c>
      <c r="H37" s="40">
        <f t="shared" si="28"/>
        <v>12</v>
      </c>
      <c r="I37" s="40">
        <f t="shared" si="28"/>
        <v>12</v>
      </c>
      <c r="J37" s="40">
        <f t="shared" si="28"/>
        <v>12</v>
      </c>
      <c r="K37" s="40">
        <f t="shared" si="28"/>
        <v>8</v>
      </c>
      <c r="L37" s="40">
        <f t="shared" si="28"/>
        <v>12</v>
      </c>
      <c r="M37" s="40">
        <f t="shared" si="28"/>
        <v>12</v>
      </c>
      <c r="N37" s="40">
        <f t="shared" si="28"/>
        <v>12</v>
      </c>
      <c r="O37" s="40">
        <f t="shared" si="28"/>
        <v>12</v>
      </c>
      <c r="P37" s="40">
        <f t="shared" si="28"/>
        <v>12</v>
      </c>
      <c r="Q37" s="40">
        <f t="shared" si="28"/>
        <v>12</v>
      </c>
      <c r="R37" s="40">
        <f t="shared" si="28"/>
        <v>12</v>
      </c>
      <c r="S37" s="40">
        <f t="shared" si="28"/>
        <v>12</v>
      </c>
      <c r="T37" s="40">
        <f t="shared" si="28"/>
        <v>12</v>
      </c>
      <c r="U37" s="40">
        <f t="shared" si="28"/>
        <v>12</v>
      </c>
      <c r="V37" s="40">
        <f t="shared" ref="V37:AJ42" si="29">V$36</f>
        <v>12</v>
      </c>
      <c r="W37" s="40">
        <f t="shared" si="29"/>
        <v>12</v>
      </c>
      <c r="X37" s="40">
        <f t="shared" si="29"/>
        <v>12</v>
      </c>
      <c r="Y37" s="40">
        <f t="shared" si="29"/>
        <v>18</v>
      </c>
      <c r="Z37" s="40">
        <f t="shared" si="29"/>
        <v>12</v>
      </c>
      <c r="AA37" s="40">
        <f t="shared" si="29"/>
        <v>12</v>
      </c>
      <c r="AB37" s="40">
        <f t="shared" si="29"/>
        <v>12</v>
      </c>
      <c r="AC37" s="40">
        <f t="shared" si="29"/>
        <v>12</v>
      </c>
      <c r="AD37" s="40">
        <f t="shared" si="29"/>
        <v>12</v>
      </c>
      <c r="AE37" s="40">
        <f t="shared" si="29"/>
        <v>12</v>
      </c>
      <c r="AF37" s="40">
        <f t="shared" si="29"/>
        <v>12</v>
      </c>
      <c r="AG37" s="40">
        <f t="shared" si="29"/>
        <v>12</v>
      </c>
      <c r="AH37" s="40">
        <f t="shared" si="29"/>
        <v>12</v>
      </c>
      <c r="AI37" s="40">
        <f t="shared" si="29"/>
        <v>12</v>
      </c>
      <c r="AJ37" s="40">
        <f t="shared" si="29"/>
        <v>12</v>
      </c>
      <c r="AK37" s="40">
        <f t="shared" ref="AK37:AW42" si="30">AK$36</f>
        <v>12</v>
      </c>
      <c r="AL37" s="40">
        <f t="shared" si="30"/>
        <v>12</v>
      </c>
      <c r="AM37" s="40">
        <f t="shared" si="30"/>
        <v>12</v>
      </c>
      <c r="AN37" s="40">
        <f t="shared" si="30"/>
        <v>12</v>
      </c>
      <c r="AO37" s="40">
        <f t="shared" si="30"/>
        <v>12</v>
      </c>
      <c r="AP37" s="40">
        <f t="shared" si="30"/>
        <v>12</v>
      </c>
      <c r="AQ37" s="40">
        <f t="shared" si="30"/>
        <v>12</v>
      </c>
      <c r="AR37" s="40">
        <f t="shared" si="30"/>
        <v>12</v>
      </c>
      <c r="AS37" s="40">
        <f t="shared" si="30"/>
        <v>12</v>
      </c>
      <c r="AT37" s="40">
        <f t="shared" si="30"/>
        <v>12</v>
      </c>
      <c r="AU37" s="40">
        <f t="shared" si="30"/>
        <v>12</v>
      </c>
      <c r="AV37" s="40">
        <f t="shared" si="30"/>
        <v>12</v>
      </c>
      <c r="AW37" s="40">
        <f t="shared" si="30"/>
        <v>12</v>
      </c>
      <c r="AY37" s="2" t="s">
        <v>349</v>
      </c>
      <c r="AZ37" s="1" t="str">
        <f t="shared" ref="AZ37:AZ42" si="31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f t="shared" ref="D38:S42" si="32">D$36</f>
        <v>12</v>
      </c>
      <c r="E38" s="40">
        <f t="shared" si="32"/>
        <v>12</v>
      </c>
      <c r="F38" s="40">
        <f t="shared" si="32"/>
        <v>12</v>
      </c>
      <c r="G38" s="40">
        <f t="shared" si="32"/>
        <v>12</v>
      </c>
      <c r="H38" s="40">
        <f t="shared" si="32"/>
        <v>12</v>
      </c>
      <c r="I38" s="40">
        <f t="shared" si="32"/>
        <v>12</v>
      </c>
      <c r="J38" s="40">
        <f t="shared" si="32"/>
        <v>12</v>
      </c>
      <c r="K38" s="40">
        <f t="shared" si="32"/>
        <v>8</v>
      </c>
      <c r="L38" s="40">
        <f t="shared" si="32"/>
        <v>12</v>
      </c>
      <c r="M38" s="40">
        <f t="shared" si="32"/>
        <v>12</v>
      </c>
      <c r="N38" s="40">
        <f t="shared" si="32"/>
        <v>12</v>
      </c>
      <c r="O38" s="40">
        <f t="shared" si="32"/>
        <v>12</v>
      </c>
      <c r="P38" s="40">
        <f t="shared" si="32"/>
        <v>12</v>
      </c>
      <c r="Q38" s="40">
        <f t="shared" si="32"/>
        <v>12</v>
      </c>
      <c r="R38" s="40">
        <f t="shared" si="32"/>
        <v>12</v>
      </c>
      <c r="S38" s="40">
        <f t="shared" si="32"/>
        <v>12</v>
      </c>
      <c r="T38" s="40">
        <f t="shared" si="28"/>
        <v>12</v>
      </c>
      <c r="U38" s="40">
        <f t="shared" si="28"/>
        <v>12</v>
      </c>
      <c r="V38" s="40">
        <f t="shared" si="29"/>
        <v>12</v>
      </c>
      <c r="W38" s="40">
        <f t="shared" si="29"/>
        <v>12</v>
      </c>
      <c r="X38" s="40">
        <f t="shared" si="29"/>
        <v>12</v>
      </c>
      <c r="Y38" s="40">
        <f t="shared" si="29"/>
        <v>18</v>
      </c>
      <c r="Z38" s="40">
        <f t="shared" si="29"/>
        <v>12</v>
      </c>
      <c r="AA38" s="40">
        <f t="shared" si="29"/>
        <v>12</v>
      </c>
      <c r="AB38" s="40">
        <f t="shared" si="29"/>
        <v>12</v>
      </c>
      <c r="AC38" s="40">
        <f t="shared" si="29"/>
        <v>12</v>
      </c>
      <c r="AD38" s="40">
        <f t="shared" si="29"/>
        <v>12</v>
      </c>
      <c r="AE38" s="40">
        <f t="shared" si="29"/>
        <v>12</v>
      </c>
      <c r="AF38" s="40">
        <f t="shared" si="29"/>
        <v>12</v>
      </c>
      <c r="AG38" s="40">
        <f t="shared" si="29"/>
        <v>12</v>
      </c>
      <c r="AH38" s="40">
        <f t="shared" si="29"/>
        <v>12</v>
      </c>
      <c r="AI38" s="40">
        <f t="shared" si="29"/>
        <v>12</v>
      </c>
      <c r="AJ38" s="40">
        <f t="shared" si="29"/>
        <v>12</v>
      </c>
      <c r="AK38" s="40">
        <f t="shared" si="30"/>
        <v>12</v>
      </c>
      <c r="AL38" s="40">
        <f t="shared" si="30"/>
        <v>12</v>
      </c>
      <c r="AM38" s="40">
        <f t="shared" si="30"/>
        <v>12</v>
      </c>
      <c r="AN38" s="40">
        <f t="shared" si="30"/>
        <v>12</v>
      </c>
      <c r="AO38" s="40">
        <f t="shared" si="30"/>
        <v>12</v>
      </c>
      <c r="AP38" s="40">
        <f t="shared" si="30"/>
        <v>12</v>
      </c>
      <c r="AQ38" s="40">
        <f t="shared" si="30"/>
        <v>12</v>
      </c>
      <c r="AR38" s="40">
        <f t="shared" si="30"/>
        <v>12</v>
      </c>
      <c r="AS38" s="40">
        <f t="shared" si="30"/>
        <v>12</v>
      </c>
      <c r="AT38" s="40">
        <f t="shared" si="30"/>
        <v>12</v>
      </c>
      <c r="AU38" s="40">
        <f t="shared" si="30"/>
        <v>12</v>
      </c>
      <c r="AV38" s="40">
        <f t="shared" si="30"/>
        <v>12</v>
      </c>
      <c r="AW38" s="40">
        <f t="shared" si="30"/>
        <v>12</v>
      </c>
      <c r="AY38" s="2" t="s">
        <v>349</v>
      </c>
      <c r="AZ38" s="1" t="str">
        <f t="shared" si="31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f t="shared" si="32"/>
        <v>12</v>
      </c>
      <c r="E39" s="40">
        <f t="shared" si="28"/>
        <v>12</v>
      </c>
      <c r="F39" s="40">
        <f t="shared" si="28"/>
        <v>12</v>
      </c>
      <c r="G39" s="40">
        <f t="shared" si="28"/>
        <v>12</v>
      </c>
      <c r="H39" s="40">
        <f t="shared" si="28"/>
        <v>12</v>
      </c>
      <c r="I39" s="40">
        <f t="shared" si="28"/>
        <v>12</v>
      </c>
      <c r="J39" s="40">
        <f t="shared" si="28"/>
        <v>12</v>
      </c>
      <c r="K39" s="40">
        <f t="shared" si="28"/>
        <v>8</v>
      </c>
      <c r="L39" s="40">
        <f t="shared" si="28"/>
        <v>12</v>
      </c>
      <c r="M39" s="40">
        <f t="shared" si="28"/>
        <v>12</v>
      </c>
      <c r="N39" s="40">
        <f t="shared" si="28"/>
        <v>12</v>
      </c>
      <c r="O39" s="40">
        <f t="shared" si="28"/>
        <v>12</v>
      </c>
      <c r="P39" s="40">
        <f t="shared" si="28"/>
        <v>12</v>
      </c>
      <c r="Q39" s="40">
        <f t="shared" si="28"/>
        <v>12</v>
      </c>
      <c r="R39" s="40">
        <f t="shared" si="28"/>
        <v>12</v>
      </c>
      <c r="S39" s="40">
        <f t="shared" si="28"/>
        <v>12</v>
      </c>
      <c r="T39" s="40">
        <f t="shared" si="28"/>
        <v>12</v>
      </c>
      <c r="U39" s="40">
        <f t="shared" si="28"/>
        <v>12</v>
      </c>
      <c r="V39" s="40">
        <f t="shared" si="29"/>
        <v>12</v>
      </c>
      <c r="W39" s="40">
        <f t="shared" si="29"/>
        <v>12</v>
      </c>
      <c r="X39" s="40">
        <f t="shared" si="29"/>
        <v>12</v>
      </c>
      <c r="Y39" s="40">
        <f t="shared" si="29"/>
        <v>18</v>
      </c>
      <c r="Z39" s="40">
        <f t="shared" si="29"/>
        <v>12</v>
      </c>
      <c r="AA39" s="40">
        <f t="shared" si="29"/>
        <v>12</v>
      </c>
      <c r="AB39" s="40">
        <f t="shared" si="29"/>
        <v>12</v>
      </c>
      <c r="AC39" s="40">
        <f t="shared" si="29"/>
        <v>12</v>
      </c>
      <c r="AD39" s="40">
        <f t="shared" si="29"/>
        <v>12</v>
      </c>
      <c r="AE39" s="40">
        <f t="shared" si="29"/>
        <v>12</v>
      </c>
      <c r="AF39" s="40">
        <f t="shared" si="29"/>
        <v>12</v>
      </c>
      <c r="AG39" s="40">
        <f t="shared" si="29"/>
        <v>12</v>
      </c>
      <c r="AH39" s="40">
        <f t="shared" si="29"/>
        <v>12</v>
      </c>
      <c r="AI39" s="40">
        <f t="shared" si="29"/>
        <v>12</v>
      </c>
      <c r="AJ39" s="40">
        <f t="shared" si="29"/>
        <v>12</v>
      </c>
      <c r="AK39" s="40">
        <f t="shared" si="30"/>
        <v>12</v>
      </c>
      <c r="AL39" s="40">
        <f t="shared" si="30"/>
        <v>12</v>
      </c>
      <c r="AM39" s="40">
        <f t="shared" si="30"/>
        <v>12</v>
      </c>
      <c r="AN39" s="40">
        <f t="shared" si="30"/>
        <v>12</v>
      </c>
      <c r="AO39" s="40">
        <f t="shared" si="30"/>
        <v>12</v>
      </c>
      <c r="AP39" s="40">
        <f t="shared" si="30"/>
        <v>12</v>
      </c>
      <c r="AQ39" s="40">
        <f t="shared" si="30"/>
        <v>12</v>
      </c>
      <c r="AR39" s="40">
        <f t="shared" si="30"/>
        <v>12</v>
      </c>
      <c r="AS39" s="40">
        <f t="shared" si="30"/>
        <v>12</v>
      </c>
      <c r="AT39" s="40">
        <f t="shared" si="30"/>
        <v>12</v>
      </c>
      <c r="AU39" s="40">
        <f t="shared" si="30"/>
        <v>12</v>
      </c>
      <c r="AV39" s="40">
        <f t="shared" si="30"/>
        <v>12</v>
      </c>
      <c r="AW39" s="40">
        <f t="shared" si="30"/>
        <v>12</v>
      </c>
      <c r="AY39" s="2" t="s">
        <v>349</v>
      </c>
      <c r="AZ39" s="1" t="str">
        <f t="shared" si="31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f t="shared" si="32"/>
        <v>12</v>
      </c>
      <c r="E40" s="40">
        <f t="shared" si="28"/>
        <v>12</v>
      </c>
      <c r="F40" s="40">
        <f t="shared" si="28"/>
        <v>12</v>
      </c>
      <c r="G40" s="40">
        <f t="shared" si="28"/>
        <v>12</v>
      </c>
      <c r="H40" s="40">
        <f t="shared" si="28"/>
        <v>12</v>
      </c>
      <c r="I40" s="40">
        <f t="shared" si="28"/>
        <v>12</v>
      </c>
      <c r="J40" s="40">
        <f t="shared" si="28"/>
        <v>12</v>
      </c>
      <c r="K40" s="40">
        <f t="shared" si="28"/>
        <v>8</v>
      </c>
      <c r="L40" s="40">
        <f t="shared" si="28"/>
        <v>12</v>
      </c>
      <c r="M40" s="40">
        <f t="shared" si="28"/>
        <v>12</v>
      </c>
      <c r="N40" s="40">
        <f t="shared" si="28"/>
        <v>12</v>
      </c>
      <c r="O40" s="40">
        <f t="shared" si="28"/>
        <v>12</v>
      </c>
      <c r="P40" s="40">
        <f t="shared" si="28"/>
        <v>12</v>
      </c>
      <c r="Q40" s="40">
        <f t="shared" si="28"/>
        <v>12</v>
      </c>
      <c r="R40" s="40">
        <f t="shared" si="28"/>
        <v>12</v>
      </c>
      <c r="S40" s="40">
        <f t="shared" si="28"/>
        <v>12</v>
      </c>
      <c r="T40" s="40">
        <f t="shared" si="28"/>
        <v>12</v>
      </c>
      <c r="U40" s="40">
        <f t="shared" si="28"/>
        <v>12</v>
      </c>
      <c r="V40" s="40">
        <f t="shared" si="29"/>
        <v>12</v>
      </c>
      <c r="W40" s="40">
        <f t="shared" si="29"/>
        <v>12</v>
      </c>
      <c r="X40" s="40">
        <f t="shared" si="29"/>
        <v>12</v>
      </c>
      <c r="Y40" s="40">
        <f t="shared" si="29"/>
        <v>18</v>
      </c>
      <c r="Z40" s="40">
        <f t="shared" si="29"/>
        <v>12</v>
      </c>
      <c r="AA40" s="40">
        <f t="shared" si="29"/>
        <v>12</v>
      </c>
      <c r="AB40" s="40">
        <f t="shared" si="29"/>
        <v>12</v>
      </c>
      <c r="AC40" s="40">
        <f t="shared" si="29"/>
        <v>12</v>
      </c>
      <c r="AD40" s="40">
        <f t="shared" si="29"/>
        <v>12</v>
      </c>
      <c r="AE40" s="40">
        <f t="shared" si="29"/>
        <v>12</v>
      </c>
      <c r="AF40" s="40">
        <f t="shared" si="29"/>
        <v>12</v>
      </c>
      <c r="AG40" s="40">
        <f t="shared" si="29"/>
        <v>12</v>
      </c>
      <c r="AH40" s="40">
        <f t="shared" si="29"/>
        <v>12</v>
      </c>
      <c r="AI40" s="40">
        <f t="shared" si="29"/>
        <v>12</v>
      </c>
      <c r="AJ40" s="40">
        <f t="shared" si="29"/>
        <v>12</v>
      </c>
      <c r="AK40" s="40">
        <f t="shared" si="30"/>
        <v>12</v>
      </c>
      <c r="AL40" s="40">
        <f t="shared" si="30"/>
        <v>12</v>
      </c>
      <c r="AM40" s="40">
        <f t="shared" si="30"/>
        <v>12</v>
      </c>
      <c r="AN40" s="40">
        <f t="shared" si="30"/>
        <v>12</v>
      </c>
      <c r="AO40" s="40">
        <f t="shared" si="30"/>
        <v>12</v>
      </c>
      <c r="AP40" s="40">
        <f t="shared" si="30"/>
        <v>12</v>
      </c>
      <c r="AQ40" s="40">
        <f t="shared" si="30"/>
        <v>12</v>
      </c>
      <c r="AR40" s="40">
        <f t="shared" si="30"/>
        <v>12</v>
      </c>
      <c r="AS40" s="40">
        <f t="shared" si="30"/>
        <v>12</v>
      </c>
      <c r="AT40" s="40">
        <f t="shared" si="30"/>
        <v>12</v>
      </c>
      <c r="AU40" s="40">
        <f t="shared" si="30"/>
        <v>12</v>
      </c>
      <c r="AV40" s="40">
        <f t="shared" si="30"/>
        <v>12</v>
      </c>
      <c r="AW40" s="40">
        <f t="shared" si="30"/>
        <v>12</v>
      </c>
      <c r="AY40" s="2" t="s">
        <v>349</v>
      </c>
      <c r="AZ40" s="1" t="str">
        <f t="shared" si="31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f t="shared" si="32"/>
        <v>12</v>
      </c>
      <c r="E41" s="40">
        <f t="shared" si="28"/>
        <v>12</v>
      </c>
      <c r="F41" s="40">
        <f t="shared" si="28"/>
        <v>12</v>
      </c>
      <c r="G41" s="40">
        <f t="shared" si="28"/>
        <v>12</v>
      </c>
      <c r="H41" s="40">
        <f t="shared" si="28"/>
        <v>12</v>
      </c>
      <c r="I41" s="40">
        <f t="shared" si="28"/>
        <v>12</v>
      </c>
      <c r="J41" s="40">
        <f t="shared" si="28"/>
        <v>12</v>
      </c>
      <c r="K41" s="40">
        <f t="shared" si="28"/>
        <v>8</v>
      </c>
      <c r="L41" s="40">
        <f t="shared" si="28"/>
        <v>12</v>
      </c>
      <c r="M41" s="40">
        <f t="shared" si="28"/>
        <v>12</v>
      </c>
      <c r="N41" s="40">
        <f t="shared" si="28"/>
        <v>12</v>
      </c>
      <c r="O41" s="40">
        <f t="shared" si="28"/>
        <v>12</v>
      </c>
      <c r="P41" s="40">
        <f t="shared" si="28"/>
        <v>12</v>
      </c>
      <c r="Q41" s="40">
        <f t="shared" si="28"/>
        <v>12</v>
      </c>
      <c r="R41" s="40">
        <f t="shared" si="28"/>
        <v>12</v>
      </c>
      <c r="S41" s="40">
        <f t="shared" si="28"/>
        <v>12</v>
      </c>
      <c r="T41" s="40">
        <f t="shared" si="28"/>
        <v>12</v>
      </c>
      <c r="U41" s="40">
        <f t="shared" si="28"/>
        <v>12</v>
      </c>
      <c r="V41" s="40">
        <f t="shared" si="29"/>
        <v>12</v>
      </c>
      <c r="W41" s="40">
        <f t="shared" si="29"/>
        <v>12</v>
      </c>
      <c r="X41" s="40">
        <f t="shared" si="29"/>
        <v>12</v>
      </c>
      <c r="Y41" s="40">
        <f t="shared" si="29"/>
        <v>18</v>
      </c>
      <c r="Z41" s="40">
        <f t="shared" si="29"/>
        <v>12</v>
      </c>
      <c r="AA41" s="40">
        <f t="shared" si="29"/>
        <v>12</v>
      </c>
      <c r="AB41" s="40">
        <f t="shared" si="29"/>
        <v>12</v>
      </c>
      <c r="AC41" s="40">
        <f t="shared" si="29"/>
        <v>12</v>
      </c>
      <c r="AD41" s="40">
        <f t="shared" si="29"/>
        <v>12</v>
      </c>
      <c r="AE41" s="40">
        <f t="shared" si="29"/>
        <v>12</v>
      </c>
      <c r="AF41" s="40">
        <f t="shared" si="29"/>
        <v>12</v>
      </c>
      <c r="AG41" s="40">
        <f t="shared" si="29"/>
        <v>12</v>
      </c>
      <c r="AH41" s="40">
        <f t="shared" si="29"/>
        <v>12</v>
      </c>
      <c r="AI41" s="40">
        <f t="shared" si="29"/>
        <v>12</v>
      </c>
      <c r="AJ41" s="40">
        <f t="shared" si="29"/>
        <v>12</v>
      </c>
      <c r="AK41" s="40">
        <f t="shared" si="30"/>
        <v>12</v>
      </c>
      <c r="AL41" s="40">
        <f t="shared" si="30"/>
        <v>12</v>
      </c>
      <c r="AM41" s="40">
        <f t="shared" si="30"/>
        <v>12</v>
      </c>
      <c r="AN41" s="40">
        <f t="shared" si="30"/>
        <v>12</v>
      </c>
      <c r="AO41" s="40">
        <f t="shared" si="30"/>
        <v>12</v>
      </c>
      <c r="AP41" s="40">
        <f t="shared" si="30"/>
        <v>12</v>
      </c>
      <c r="AQ41" s="40">
        <f t="shared" si="30"/>
        <v>12</v>
      </c>
      <c r="AR41" s="40">
        <f t="shared" si="30"/>
        <v>12</v>
      </c>
      <c r="AS41" s="40">
        <f t="shared" si="30"/>
        <v>12</v>
      </c>
      <c r="AT41" s="40">
        <f t="shared" si="30"/>
        <v>12</v>
      </c>
      <c r="AU41" s="40">
        <f t="shared" si="30"/>
        <v>12</v>
      </c>
      <c r="AV41" s="40">
        <f t="shared" si="30"/>
        <v>12</v>
      </c>
      <c r="AW41" s="40">
        <f t="shared" si="30"/>
        <v>12</v>
      </c>
      <c r="AY41" s="2" t="s">
        <v>349</v>
      </c>
      <c r="AZ41" s="1" t="str">
        <f t="shared" si="31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f t="shared" si="32"/>
        <v>12</v>
      </c>
      <c r="E42" s="40">
        <f t="shared" si="28"/>
        <v>12</v>
      </c>
      <c r="F42" s="40">
        <f t="shared" si="28"/>
        <v>12</v>
      </c>
      <c r="G42" s="40">
        <f t="shared" si="28"/>
        <v>12</v>
      </c>
      <c r="H42" s="40">
        <f t="shared" si="28"/>
        <v>12</v>
      </c>
      <c r="I42" s="40">
        <f t="shared" si="28"/>
        <v>12</v>
      </c>
      <c r="J42" s="40">
        <f t="shared" si="28"/>
        <v>12</v>
      </c>
      <c r="K42" s="40">
        <f t="shared" si="28"/>
        <v>8</v>
      </c>
      <c r="L42" s="40">
        <f t="shared" si="28"/>
        <v>12</v>
      </c>
      <c r="M42" s="40">
        <f t="shared" si="28"/>
        <v>12</v>
      </c>
      <c r="N42" s="40">
        <f t="shared" si="28"/>
        <v>12</v>
      </c>
      <c r="O42" s="40">
        <f t="shared" si="28"/>
        <v>12</v>
      </c>
      <c r="P42" s="40">
        <f t="shared" si="28"/>
        <v>12</v>
      </c>
      <c r="Q42" s="40">
        <f t="shared" si="28"/>
        <v>12</v>
      </c>
      <c r="R42" s="40">
        <f t="shared" si="28"/>
        <v>12</v>
      </c>
      <c r="S42" s="40">
        <f t="shared" si="28"/>
        <v>12</v>
      </c>
      <c r="T42" s="40">
        <f t="shared" si="28"/>
        <v>12</v>
      </c>
      <c r="U42" s="40">
        <f t="shared" si="28"/>
        <v>12</v>
      </c>
      <c r="V42" s="40">
        <f t="shared" si="29"/>
        <v>12</v>
      </c>
      <c r="W42" s="40">
        <f t="shared" si="29"/>
        <v>12</v>
      </c>
      <c r="X42" s="40">
        <f t="shared" si="29"/>
        <v>12</v>
      </c>
      <c r="Y42" s="40">
        <f t="shared" si="29"/>
        <v>18</v>
      </c>
      <c r="Z42" s="40">
        <f t="shared" si="29"/>
        <v>12</v>
      </c>
      <c r="AA42" s="40">
        <f t="shared" si="29"/>
        <v>12</v>
      </c>
      <c r="AB42" s="40">
        <f t="shared" si="29"/>
        <v>12</v>
      </c>
      <c r="AC42" s="40">
        <f t="shared" si="29"/>
        <v>12</v>
      </c>
      <c r="AD42" s="40">
        <f t="shared" si="29"/>
        <v>12</v>
      </c>
      <c r="AE42" s="40">
        <f t="shared" si="29"/>
        <v>12</v>
      </c>
      <c r="AF42" s="40">
        <f t="shared" si="29"/>
        <v>12</v>
      </c>
      <c r="AG42" s="40">
        <f t="shared" si="29"/>
        <v>12</v>
      </c>
      <c r="AH42" s="40">
        <f t="shared" si="29"/>
        <v>12</v>
      </c>
      <c r="AI42" s="40">
        <f t="shared" si="29"/>
        <v>12</v>
      </c>
      <c r="AJ42" s="40">
        <f t="shared" si="29"/>
        <v>12</v>
      </c>
      <c r="AK42" s="40">
        <f t="shared" si="30"/>
        <v>12</v>
      </c>
      <c r="AL42" s="40">
        <f t="shared" si="30"/>
        <v>12</v>
      </c>
      <c r="AM42" s="40">
        <f t="shared" si="30"/>
        <v>12</v>
      </c>
      <c r="AN42" s="40">
        <f t="shared" si="30"/>
        <v>12</v>
      </c>
      <c r="AO42" s="40">
        <f t="shared" si="30"/>
        <v>12</v>
      </c>
      <c r="AP42" s="40">
        <f t="shared" si="30"/>
        <v>12</v>
      </c>
      <c r="AQ42" s="40">
        <f t="shared" si="30"/>
        <v>12</v>
      </c>
      <c r="AR42" s="40">
        <f t="shared" si="30"/>
        <v>12</v>
      </c>
      <c r="AS42" s="40">
        <f t="shared" si="30"/>
        <v>12</v>
      </c>
      <c r="AT42" s="40">
        <f t="shared" si="30"/>
        <v>12</v>
      </c>
      <c r="AU42" s="40">
        <f t="shared" si="30"/>
        <v>12</v>
      </c>
      <c r="AV42" s="40">
        <f t="shared" si="30"/>
        <v>12</v>
      </c>
      <c r="AW42" s="40">
        <f t="shared" si="30"/>
        <v>12</v>
      </c>
      <c r="AY42" s="2" t="s">
        <v>349</v>
      </c>
      <c r="AZ42" s="1" t="str">
        <f t="shared" si="31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3">E3</f>
        <v>Africa_Other</v>
      </c>
      <c r="F44" s="40" t="str">
        <f t="shared" si="33"/>
        <v>Australia</v>
      </c>
      <c r="G44" s="40" t="str">
        <f t="shared" si="33"/>
        <v>Austria</v>
      </c>
      <c r="H44" s="40" t="str">
        <f t="shared" si="33"/>
        <v>Baltics</v>
      </c>
      <c r="I44" s="40" t="str">
        <f t="shared" si="33"/>
        <v>BeNeLux</v>
      </c>
      <c r="J44" s="40" t="str">
        <f t="shared" si="33"/>
        <v>Brazil</v>
      </c>
      <c r="K44" s="40" t="str">
        <f t="shared" si="33"/>
        <v>China</v>
      </c>
      <c r="L44" s="40" t="str">
        <f t="shared" si="33"/>
        <v>CroSloven</v>
      </c>
      <c r="M44" s="40" t="str">
        <f t="shared" si="33"/>
        <v>CzechSlovak</v>
      </c>
      <c r="N44" s="40" t="str">
        <f t="shared" si="33"/>
        <v>France</v>
      </c>
      <c r="O44" s="40" t="str">
        <f t="shared" si="33"/>
        <v>Germany</v>
      </c>
      <c r="P44" s="40" t="str">
        <f t="shared" si="33"/>
        <v>GreeceCyp</v>
      </c>
      <c r="Q44" s="40" t="str">
        <f t="shared" si="33"/>
        <v>HunRomBul</v>
      </c>
      <c r="R44" s="40" t="str">
        <f t="shared" si="33"/>
        <v>Iceland</v>
      </c>
      <c r="S44" s="40" t="str">
        <f t="shared" si="33"/>
        <v>India</v>
      </c>
      <c r="T44" s="40" t="str">
        <f t="shared" si="33"/>
        <v>Ireland</v>
      </c>
      <c r="U44" s="40" t="str">
        <f t="shared" si="33"/>
        <v>ItalyMal</v>
      </c>
      <c r="V44" s="40" t="str">
        <f t="shared" ref="V44:AJ44" si="34">V3</f>
        <v>Japan</v>
      </c>
      <c r="W44" s="40" t="str">
        <f t="shared" si="34"/>
        <v>LatAm</v>
      </c>
      <c r="X44" s="40" t="str">
        <f t="shared" si="34"/>
        <v>MidEast</v>
      </c>
      <c r="Y44" s="40" t="str">
        <f t="shared" si="34"/>
        <v>NorthAm</v>
      </c>
      <c r="Z44" s="40" t="str">
        <f t="shared" si="34"/>
        <v>Norway</v>
      </c>
      <c r="AA44" s="40" t="str">
        <f t="shared" si="34"/>
        <v>Poland</v>
      </c>
      <c r="AB44" s="40" t="str">
        <f t="shared" si="34"/>
        <v>ROW</v>
      </c>
      <c r="AC44" s="40" t="str">
        <f t="shared" si="34"/>
        <v>Russia</v>
      </c>
      <c r="AD44" s="40" t="str">
        <f t="shared" si="34"/>
        <v>SaudiArabia</v>
      </c>
      <c r="AE44" s="40" t="str">
        <f t="shared" si="34"/>
        <v>SouthAfrica</v>
      </c>
      <c r="AF44" s="40" t="str">
        <f t="shared" si="34"/>
        <v>SpainPor</v>
      </c>
      <c r="AG44" s="40" t="str">
        <f t="shared" ref="AG44" si="35">AG3</f>
        <v>SweFinDen</v>
      </c>
      <c r="AH44" s="40" t="str">
        <f t="shared" si="34"/>
        <v>Switzerland</v>
      </c>
      <c r="AI44" s="40" t="str">
        <f t="shared" si="34"/>
        <v>Turkey</v>
      </c>
      <c r="AJ44" s="40" t="str">
        <f t="shared" si="34"/>
        <v>UK</v>
      </c>
      <c r="AK44" s="40" t="str">
        <f t="shared" ref="AK44:AW44" si="36">AK3</f>
        <v>Ukraine</v>
      </c>
      <c r="AL44" s="40" t="str">
        <f t="shared" si="36"/>
        <v>WestBalkans</v>
      </c>
      <c r="AM44" s="40" t="str">
        <f t="shared" si="36"/>
        <v>\I:</v>
      </c>
      <c r="AN44" s="40" t="str">
        <f t="shared" si="36"/>
        <v>\I:</v>
      </c>
      <c r="AO44" s="40" t="str">
        <f t="shared" si="36"/>
        <v>\I:</v>
      </c>
      <c r="AP44" s="40" t="str">
        <f t="shared" si="36"/>
        <v>\I:</v>
      </c>
      <c r="AQ44" s="40" t="str">
        <f t="shared" si="36"/>
        <v>\I:</v>
      </c>
      <c r="AR44" s="40" t="str">
        <f t="shared" si="36"/>
        <v>\I:</v>
      </c>
      <c r="AS44" s="40" t="str">
        <f t="shared" si="36"/>
        <v>\I:</v>
      </c>
      <c r="AT44" s="40" t="str">
        <f t="shared" si="36"/>
        <v>\I:</v>
      </c>
      <c r="AU44" s="40" t="str">
        <f t="shared" si="36"/>
        <v>\I:</v>
      </c>
      <c r="AV44" s="40" t="str">
        <f t="shared" si="36"/>
        <v>\I:</v>
      </c>
      <c r="AW44" s="40" t="str">
        <f t="shared" si="36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7">SUMPRODUCT(E36:E42,E19:E25)</f>
        <v>370.72800000000001</v>
      </c>
      <c r="F45" s="2">
        <f t="shared" ca="1" si="37"/>
        <v>242.17200000000003</v>
      </c>
      <c r="G45" s="2">
        <f t="shared" ca="1" si="37"/>
        <v>60.552</v>
      </c>
      <c r="H45" s="2">
        <f t="shared" ca="1" si="37"/>
        <v>14.676</v>
      </c>
      <c r="I45" s="2">
        <f t="shared" ca="1" si="37"/>
        <v>188.41199999999998</v>
      </c>
      <c r="J45" s="2">
        <f t="shared" ca="1" si="37"/>
        <v>463.596</v>
      </c>
      <c r="K45" s="2">
        <f t="shared" ca="1" si="37"/>
        <v>3397.752</v>
      </c>
      <c r="L45" s="2">
        <f t="shared" ca="1" si="37"/>
        <v>29.831999999999997</v>
      </c>
      <c r="M45" s="2">
        <f t="shared" ca="1" si="37"/>
        <v>66.731999999999999</v>
      </c>
      <c r="N45" s="2">
        <f t="shared" ca="1" si="37"/>
        <v>298.43999999999994</v>
      </c>
      <c r="O45" s="2">
        <f t="shared" ca="1" si="37"/>
        <v>487.77599999999995</v>
      </c>
      <c r="P45" s="2">
        <f t="shared" ca="1" si="37"/>
        <v>67.091999999999985</v>
      </c>
      <c r="Q45" s="2">
        <f t="shared" ca="1" si="37"/>
        <v>108.66</v>
      </c>
      <c r="R45" s="2">
        <f t="shared" ca="1" si="37"/>
        <v>3.3479999999999999</v>
      </c>
      <c r="S45" s="2">
        <f t="shared" ca="1" si="37"/>
        <v>568.10400000000004</v>
      </c>
      <c r="T45" s="2">
        <f t="shared" ca="1" si="37"/>
        <v>28.295999999999999</v>
      </c>
      <c r="U45" s="2">
        <f t="shared" ca="1" si="37"/>
        <v>286.14</v>
      </c>
      <c r="V45" s="2">
        <f t="shared" ref="V45:AJ45" ca="1" si="38">SUMPRODUCT(V36:V42,V19:V25)</f>
        <v>687.19200000000001</v>
      </c>
      <c r="W45" s="2">
        <f t="shared" ca="1" si="38"/>
        <v>803.32799999999997</v>
      </c>
      <c r="X45" s="2">
        <f t="shared" ca="1" si="38"/>
        <v>908.37599999999998</v>
      </c>
      <c r="Y45" s="2">
        <f t="shared" ca="1" si="38"/>
        <v>4194.9180000000006</v>
      </c>
      <c r="Z45" s="2">
        <f t="shared" ca="1" si="38"/>
        <v>28.044000000000004</v>
      </c>
      <c r="AA45" s="2">
        <f t="shared" ca="1" si="38"/>
        <v>170.28000000000003</v>
      </c>
      <c r="AB45" s="2">
        <f t="shared" ca="1" si="38"/>
        <v>1561.308</v>
      </c>
      <c r="AC45" s="2">
        <f t="shared" ca="1" si="38"/>
        <v>531.88800000000015</v>
      </c>
      <c r="AD45" s="2">
        <f t="shared" ca="1" si="38"/>
        <v>367.536</v>
      </c>
      <c r="AE45" s="2">
        <f t="shared" ca="1" si="38"/>
        <v>99.659999999999982</v>
      </c>
      <c r="AF45" s="2">
        <f t="shared" ca="1" si="38"/>
        <v>247.78800000000001</v>
      </c>
      <c r="AG45" s="2">
        <f t="shared" ref="AG45" ca="1" si="39">SUMPRODUCT(AG36:AG42,AG19:AG25)</f>
        <v>129.828</v>
      </c>
      <c r="AH45" s="2">
        <f t="shared" ca="1" si="38"/>
        <v>57.564</v>
      </c>
      <c r="AI45" s="2">
        <f t="shared" ca="1" si="38"/>
        <v>120.072</v>
      </c>
      <c r="AJ45" s="2">
        <f t="shared" ca="1" si="38"/>
        <v>346.02</v>
      </c>
      <c r="AK45" s="2">
        <f t="shared" ref="AK45:AW45" ca="1" si="40">SUMPRODUCT(AK36:AK42,AK19:AK25)</f>
        <v>52.452000000000005</v>
      </c>
      <c r="AL45" s="2">
        <f t="shared" ca="1" si="40"/>
        <v>39.264000000000003</v>
      </c>
      <c r="AM45" s="2">
        <f t="shared" ca="1" si="40"/>
        <v>0</v>
      </c>
      <c r="AN45" s="2">
        <f t="shared" ca="1" si="40"/>
        <v>0</v>
      </c>
      <c r="AO45" s="2">
        <f t="shared" ca="1" si="40"/>
        <v>0</v>
      </c>
      <c r="AP45" s="2">
        <f t="shared" ca="1" si="40"/>
        <v>0</v>
      </c>
      <c r="AQ45" s="2">
        <f t="shared" ca="1" si="40"/>
        <v>0</v>
      </c>
      <c r="AR45" s="2">
        <f t="shared" ca="1" si="40"/>
        <v>0</v>
      </c>
      <c r="AS45" s="2">
        <f t="shared" ca="1" si="40"/>
        <v>0</v>
      </c>
      <c r="AT45" s="2">
        <f t="shared" ca="1" si="40"/>
        <v>0</v>
      </c>
      <c r="AU45" s="2">
        <f t="shared" ca="1" si="40"/>
        <v>0</v>
      </c>
      <c r="AV45" s="2">
        <f t="shared" ca="1" si="40"/>
        <v>0</v>
      </c>
      <c r="AW45" s="2">
        <f t="shared" ca="1" si="40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" bestFit="1" customWidth="1"/>
    <col min="51" max="51" width="8.86328125" bestFit="1" customWidth="1"/>
    <col min="52" max="52" width="12.1328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zoomScaleNormal="100" workbookViewId="0">
      <selection activeCell="G13" sqref="G13"/>
    </sheetView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2" max="52" width="11.3984375" bestFit="1" customWidth="1"/>
    <col min="57" max="57" width="11.398437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AL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ca="1" si="7"/>
        <v>2.8539999999999996</v>
      </c>
      <c r="W13" s="1">
        <f t="shared" ca="1" si="7"/>
        <v>2.5569999999999999</v>
      </c>
      <c r="X13" s="1">
        <f t="shared" ca="1" si="7"/>
        <v>5.5560000000000009</v>
      </c>
      <c r="Y13" s="1">
        <f t="shared" ca="1" si="7"/>
        <v>27.008000000000003</v>
      </c>
      <c r="Z13" s="1">
        <f t="shared" ca="1" si="7"/>
        <v>0.129</v>
      </c>
      <c r="AA13" s="1">
        <f t="shared" ca="1" si="7"/>
        <v>1.228</v>
      </c>
      <c r="AB13" s="1">
        <f t="shared" ca="1" si="7"/>
        <v>4.0750000000000002</v>
      </c>
      <c r="AC13" s="1">
        <f t="shared" ca="1" si="7"/>
        <v>3.3140000000000001</v>
      </c>
      <c r="AD13" s="1">
        <f t="shared" ca="1" si="7"/>
        <v>2.6579999999999999</v>
      </c>
      <c r="AE13" s="1">
        <f t="shared" ca="1" si="7"/>
        <v>0.59499999999999997</v>
      </c>
      <c r="AF13" s="1">
        <f t="shared" ca="1" si="7"/>
        <v>2.2310000000000003</v>
      </c>
      <c r="AG13" s="1">
        <f t="shared" ca="1" si="7"/>
        <v>0.499</v>
      </c>
      <c r="AH13" s="1">
        <f t="shared" ca="1" si="7"/>
        <v>0.16400000000000001</v>
      </c>
      <c r="AI13" s="1">
        <f t="shared" ca="1" si="7"/>
        <v>1.6890000000000001</v>
      </c>
      <c r="AJ13" s="1">
        <f t="shared" ca="1" si="7"/>
        <v>1.36</v>
      </c>
      <c r="AK13" s="1">
        <f t="shared" ca="1" si="7"/>
        <v>0.68100000000000005</v>
      </c>
      <c r="AL13" s="1">
        <f t="shared" ca="1" si="7"/>
        <v>0.76600000000000001</v>
      </c>
      <c r="AM13" s="1">
        <f t="shared" ref="AM13:AW13" ca="1" si="8">SUM(AM19:AM25)</f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9">E13/SUM($D$13:$AJ$13)</f>
        <v>1.9751468488919049E-2</v>
      </c>
      <c r="F14" s="42">
        <f t="shared" ca="1" si="9"/>
        <v>1.8768575507242983E-2</v>
      </c>
      <c r="G14" s="42">
        <f t="shared" ca="1" si="9"/>
        <v>3.9081697128548363E-3</v>
      </c>
      <c r="H14" s="42">
        <f t="shared" ca="1" si="9"/>
        <v>2.246612529545295E-3</v>
      </c>
      <c r="I14" s="42">
        <f t="shared" ca="1" si="9"/>
        <v>8.8928412627834585E-3</v>
      </c>
      <c r="J14" s="42">
        <f t="shared" ca="1" si="9"/>
        <v>2.8854929676347382E-2</v>
      </c>
      <c r="K14" s="42">
        <f t="shared" ca="1" si="9"/>
        <v>0.10996700287847229</v>
      </c>
      <c r="L14" s="42">
        <f t="shared" ca="1" si="9"/>
        <v>2.0944981395239989E-3</v>
      </c>
      <c r="M14" s="42">
        <f t="shared" ca="1" si="9"/>
        <v>4.3762139898434393E-3</v>
      </c>
      <c r="N14" s="42">
        <f t="shared" ca="1" si="9"/>
        <v>1.9646158526596614E-2</v>
      </c>
      <c r="O14" s="42">
        <f t="shared" ca="1" si="9"/>
        <v>2.2314010905431652E-2</v>
      </c>
      <c r="P14" s="42">
        <f t="shared" ca="1" si="9"/>
        <v>2.270014743394725E-3</v>
      </c>
      <c r="Q14" s="42">
        <f t="shared" ca="1" si="9"/>
        <v>7.7695349980108118E-3</v>
      </c>
      <c r="R14" s="42">
        <f t="shared" ca="1" si="9"/>
        <v>1.2871217617186584E-4</v>
      </c>
      <c r="S14" s="42">
        <f t="shared" ca="1" si="9"/>
        <v>5.264328005429314E-2</v>
      </c>
      <c r="T14" s="42">
        <f t="shared" ca="1" si="9"/>
        <v>1.8370737871802674E-3</v>
      </c>
      <c r="U14" s="42">
        <f t="shared" ca="1" si="9"/>
        <v>1.6170929769956235E-2</v>
      </c>
      <c r="V14" s="42">
        <f t="shared" ref="V14:AJ14" ca="1" si="10">V13/SUM($D$13:$AJ$13)</f>
        <v>3.3394959163136825E-2</v>
      </c>
      <c r="W14" s="42">
        <f t="shared" ca="1" si="10"/>
        <v>2.9919730406496453E-2</v>
      </c>
      <c r="X14" s="42">
        <f t="shared" ca="1" si="10"/>
        <v>6.5011350073716986E-2</v>
      </c>
      <c r="Y14" s="42">
        <f t="shared" ca="1" si="10"/>
        <v>0.31602349582270484</v>
      </c>
      <c r="Z14" s="42">
        <f t="shared" ca="1" si="10"/>
        <v>1.5094427932882452E-3</v>
      </c>
      <c r="AA14" s="42">
        <f t="shared" ca="1" si="10"/>
        <v>1.4368959303550114E-2</v>
      </c>
      <c r="AB14" s="42">
        <f t="shared" ca="1" si="10"/>
        <v>4.7682010718213944E-2</v>
      </c>
      <c r="AC14" s="42">
        <f t="shared" ca="1" si="10"/>
        <v>3.8777468348505768E-2</v>
      </c>
      <c r="AD14" s="42">
        <f t="shared" ca="1" si="10"/>
        <v>3.1101542205892674E-2</v>
      </c>
      <c r="AE14" s="42">
        <f t="shared" ca="1" si="10"/>
        <v>6.9621586202054707E-3</v>
      </c>
      <c r="AF14" s="42">
        <f t="shared" ca="1" si="10"/>
        <v>2.6105169549039343E-2</v>
      </c>
      <c r="AG14" s="42">
        <f t="shared" ref="AG14" ca="1" si="11">AG13/SUM($D$13:$AJ$13)</f>
        <v>5.8388523554328241E-3</v>
      </c>
      <c r="AH14" s="42">
        <f t="shared" ca="1" si="10"/>
        <v>1.9189815356532728E-3</v>
      </c>
      <c r="AI14" s="42">
        <f t="shared" ca="1" si="10"/>
        <v>1.9763169595843767E-2</v>
      </c>
      <c r="AJ14" s="42">
        <f t="shared" ca="1" si="10"/>
        <v>1.5913505417612505E-2</v>
      </c>
      <c r="AK14" s="42">
        <f t="shared" ref="AK14:AW14" ca="1" si="12">AK13/SUM($D$13:$AJ$13)</f>
        <v>7.9684538157309692E-3</v>
      </c>
      <c r="AL14" s="42">
        <f t="shared" ref="AL14" ca="1" si="13">AL13/SUM($D$13:$AJ$13)</f>
        <v>8.9630479043317501E-3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4">E11/E14</f>
        <v>1.0049886691399359</v>
      </c>
      <c r="F17" s="1">
        <f t="shared" ca="1" si="14"/>
        <v>1.008455957175586</v>
      </c>
      <c r="G17" s="1">
        <f t="shared" ca="1" si="14"/>
        <v>1.0051284602709289</v>
      </c>
      <c r="H17" s="1">
        <f t="shared" ca="1" si="14"/>
        <v>0.99050412207966598</v>
      </c>
      <c r="I17" s="1">
        <f t="shared" ca="1" si="14"/>
        <v>1.0025475575257232</v>
      </c>
      <c r="J17" s="1">
        <f t="shared" ca="1" si="14"/>
        <v>1.0170895522287644</v>
      </c>
      <c r="K17" s="1">
        <f t="shared" ca="1" si="14"/>
        <v>1.0047455140046748</v>
      </c>
      <c r="L17" s="1">
        <f t="shared" ca="1" si="14"/>
        <v>0.99573699691140682</v>
      </c>
      <c r="M17" s="1">
        <f t="shared" ca="1" si="14"/>
        <v>0.99915054009172521</v>
      </c>
      <c r="N17" s="1">
        <f t="shared" ca="1" si="14"/>
        <v>1.005479535832696</v>
      </c>
      <c r="O17" s="1">
        <f t="shared" ca="1" si="14"/>
        <v>1.0035743895441109</v>
      </c>
      <c r="P17" s="1">
        <f t="shared" ca="1" si="14"/>
        <v>0.98719295592279244</v>
      </c>
      <c r="Q17" s="1">
        <f t="shared" ca="1" si="14"/>
        <v>0.98259875425164644</v>
      </c>
      <c r="R17" s="1">
        <f t="shared" ca="1" si="14"/>
        <v>0.99808254071735436</v>
      </c>
      <c r="S17" s="1">
        <f t="shared" ca="1" si="14"/>
        <v>1.0096370421931917</v>
      </c>
      <c r="T17" s="1">
        <f t="shared" ca="1" si="14"/>
        <v>1.0052398111392113</v>
      </c>
      <c r="U17" s="1">
        <f t="shared" ca="1" si="14"/>
        <v>0.98423007480267566</v>
      </c>
      <c r="V17" s="1">
        <f t="shared" ref="V17:AJ17" ca="1" si="15">V11/V14</f>
        <v>1.00762590852934</v>
      </c>
      <c r="W17" s="1">
        <f t="shared" ca="1" si="15"/>
        <v>1.0272437370616476</v>
      </c>
      <c r="X17" s="1">
        <f t="shared" ca="1" si="15"/>
        <v>1.0166139883212748</v>
      </c>
      <c r="Y17" s="1">
        <f t="shared" ca="1" si="15"/>
        <v>1.0200256388213425</v>
      </c>
      <c r="Z17" s="1">
        <f t="shared" ca="1" si="15"/>
        <v>1.0042841243531513</v>
      </c>
      <c r="AA17" s="1">
        <f t="shared" ca="1" si="15"/>
        <v>0.95774134571780623</v>
      </c>
      <c r="AB17" s="1">
        <f t="shared" ca="1" si="15"/>
        <v>1.0003593774936506</v>
      </c>
      <c r="AC17" s="1">
        <f t="shared" ca="1" si="15"/>
        <v>1.0075362517698239</v>
      </c>
      <c r="AD17" s="1">
        <f t="shared" ca="1" si="15"/>
        <v>1.0159709903537013</v>
      </c>
      <c r="AE17" s="1">
        <f t="shared" ca="1" si="15"/>
        <v>1.0043476200007293</v>
      </c>
      <c r="AF17" s="1">
        <f t="shared" ca="1" si="15"/>
        <v>0.6277851685628274</v>
      </c>
      <c r="AG17" s="1">
        <f t="shared" ref="AG17" ca="1" si="16">AG11/AG14</f>
        <v>1.0073806628886048</v>
      </c>
      <c r="AH17" s="1">
        <f t="shared" ca="1" si="15"/>
        <v>1.0044453247231619</v>
      </c>
      <c r="AI17" s="1">
        <f t="shared" ca="1" si="15"/>
        <v>0.96684189727457737</v>
      </c>
      <c r="AJ17" s="1">
        <f t="shared" ca="1" si="15"/>
        <v>1.0058660840844833</v>
      </c>
      <c r="AK17" s="1">
        <f t="shared" ref="AK17:AW17" ca="1" si="17">AK11/AK14</f>
        <v>0.92750901078903247</v>
      </c>
      <c r="AL17" s="1">
        <f t="shared" ca="1" si="17"/>
        <v>0.36840840566768895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0.02</v>
      </c>
      <c r="H19" s="40">
        <f t="shared" ca="1" si="19"/>
        <v>4.0000000000000001E-3</v>
      </c>
      <c r="I19" s="40">
        <f t="shared" ca="1" si="19"/>
        <v>4.2000000000000003E-2</v>
      </c>
      <c r="J19" s="40">
        <f t="shared" ca="1" si="19"/>
        <v>0.57499999999999996</v>
      </c>
      <c r="K19" s="40">
        <f t="shared" ca="1" si="19"/>
        <v>3.2000000000000001E-2</v>
      </c>
      <c r="L19" s="40">
        <f t="shared" ca="1" si="19"/>
        <v>7.0000000000000001E-3</v>
      </c>
      <c r="M19" s="40">
        <f t="shared" ca="1" si="19"/>
        <v>1.9E-2</v>
      </c>
      <c r="N19" s="40">
        <f t="shared" ca="1" si="19"/>
        <v>0.12</v>
      </c>
      <c r="O19" s="40">
        <f t="shared" ca="1" si="19"/>
        <v>0.09</v>
      </c>
      <c r="P19" s="40">
        <f t="shared" ca="1" si="19"/>
        <v>8.0000000000000002E-3</v>
      </c>
      <c r="Q19" s="40">
        <f t="shared" ca="1" si="19"/>
        <v>0.03</v>
      </c>
      <c r="R19" s="40">
        <f t="shared" ca="1" si="19"/>
        <v>1E-3</v>
      </c>
      <c r="S19" s="40">
        <f t="shared" ca="1" si="19"/>
        <v>3.0000000000000001E-3</v>
      </c>
      <c r="T19" s="40">
        <f t="shared" ca="1" si="19"/>
        <v>8.0000000000000002E-3</v>
      </c>
      <c r="U19" s="40">
        <f t="shared" ca="1" si="19"/>
        <v>0.06</v>
      </c>
      <c r="V19" s="40">
        <f t="shared" ref="V19:AW19" ca="1" si="20">ROUND(V4*V28/V36,3)</f>
        <v>1E-3</v>
      </c>
      <c r="W19" s="40">
        <f t="shared" ca="1" si="20"/>
        <v>6.6000000000000003E-2</v>
      </c>
      <c r="X19" s="40">
        <f t="shared" ca="1" si="20"/>
        <v>0</v>
      </c>
      <c r="Y19" s="40">
        <f t="shared" ca="1" si="20"/>
        <v>9.5000000000000001E-2</v>
      </c>
      <c r="Z19" s="40">
        <f t="shared" ca="1" si="20"/>
        <v>0.02</v>
      </c>
      <c r="AA19" s="40">
        <f t="shared" ca="1" si="20"/>
        <v>0.04</v>
      </c>
      <c r="AB19" s="40">
        <f t="shared" ca="1" si="20"/>
        <v>0.249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0.13400000000000001</v>
      </c>
      <c r="AG19" s="40">
        <f t="shared" ca="1" si="20"/>
        <v>8.2000000000000003E-2</v>
      </c>
      <c r="AH19" s="40">
        <f t="shared" ca="1" si="20"/>
        <v>7.0000000000000001E-3</v>
      </c>
      <c r="AI19" s="40">
        <f t="shared" ca="1" si="20"/>
        <v>6.0000000000000001E-3</v>
      </c>
      <c r="AJ19" s="40">
        <f t="shared" ca="1" si="20"/>
        <v>0.06</v>
      </c>
      <c r="AK19" s="40">
        <f t="shared" ca="1" si="20"/>
        <v>0</v>
      </c>
      <c r="AL19" s="40">
        <f t="shared" ca="1" si="20"/>
        <v>1.4999999999999999E-2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1.9</v>
      </c>
      <c r="E21" s="40">
        <f t="shared" ref="E21:U21" ca="1" si="23">ROUND(E6*E30/E38,3)</f>
        <v>1.6879999999999999</v>
      </c>
      <c r="F21" s="40">
        <f t="shared" ca="1" si="23"/>
        <v>1.071</v>
      </c>
      <c r="G21" s="40">
        <f t="shared" ca="1" si="23"/>
        <v>0.29499999999999998</v>
      </c>
      <c r="H21" s="40">
        <f t="shared" ca="1" si="23"/>
        <v>0.109</v>
      </c>
      <c r="I21" s="40">
        <f t="shared" ca="1" si="23"/>
        <v>0.624</v>
      </c>
      <c r="J21" s="40">
        <f t="shared" ca="1" si="23"/>
        <v>1.2669999999999999</v>
      </c>
      <c r="K21" s="40">
        <f t="shared" ca="1" si="23"/>
        <v>3.3149999999999999</v>
      </c>
      <c r="L21" s="40">
        <f t="shared" ca="1" si="23"/>
        <v>0.13700000000000001</v>
      </c>
      <c r="M21" s="40">
        <f t="shared" ca="1" si="23"/>
        <v>0.29399999999999998</v>
      </c>
      <c r="N21" s="40">
        <f t="shared" ca="1" si="23"/>
        <v>1.4650000000000001</v>
      </c>
      <c r="O21" s="40">
        <f t="shared" ca="1" si="23"/>
        <v>1.5820000000000001</v>
      </c>
      <c r="P21" s="40">
        <f t="shared" ca="1" si="23"/>
        <v>0.128</v>
      </c>
      <c r="Q21" s="40">
        <f t="shared" ca="1" si="23"/>
        <v>0.45900000000000002</v>
      </c>
      <c r="R21" s="40">
        <f t="shared" ca="1" si="23"/>
        <v>8.9999999999999993E-3</v>
      </c>
      <c r="S21" s="40">
        <f t="shared" ca="1" si="23"/>
        <v>4.3310000000000004</v>
      </c>
      <c r="T21" s="40">
        <f t="shared" ca="1" si="23"/>
        <v>0.14000000000000001</v>
      </c>
      <c r="U21" s="40">
        <f t="shared" ca="1" si="23"/>
        <v>1.0249999999999999</v>
      </c>
      <c r="V21" s="40">
        <f t="shared" ca="1" si="21"/>
        <v>1.2350000000000001</v>
      </c>
      <c r="W21" s="40">
        <f t="shared" ca="1" si="21"/>
        <v>1.3009999999999999</v>
      </c>
      <c r="X21" s="40">
        <f t="shared" ca="1" si="21"/>
        <v>1.919</v>
      </c>
      <c r="Y21" s="40">
        <f t="shared" ca="1" si="21"/>
        <v>2.9169999999999998</v>
      </c>
      <c r="Z21" s="40">
        <f t="shared" ca="1" si="21"/>
        <v>0.10100000000000001</v>
      </c>
      <c r="AA21" s="40">
        <f t="shared" ca="1" si="21"/>
        <v>0.67500000000000004</v>
      </c>
      <c r="AB21" s="40">
        <f t="shared" ca="1" si="21"/>
        <v>3.5059999999999998</v>
      </c>
      <c r="AC21" s="40">
        <f t="shared" ca="1" si="21"/>
        <v>0.63200000000000001</v>
      </c>
      <c r="AD21" s="40">
        <f t="shared" ca="1" si="21"/>
        <v>1.091</v>
      </c>
      <c r="AE21" s="40">
        <f t="shared" ca="1" si="21"/>
        <v>0.59299999999999997</v>
      </c>
      <c r="AF21" s="40">
        <f t="shared" ca="1" si="21"/>
        <v>1.9570000000000001</v>
      </c>
      <c r="AG21" s="40">
        <f t="shared" ca="1" si="21"/>
        <v>0.36699999999999999</v>
      </c>
      <c r="AH21" s="40">
        <f t="shared" ca="1" si="21"/>
        <v>0.13</v>
      </c>
      <c r="AI21" s="40">
        <f t="shared" ca="1" si="21"/>
        <v>1.054</v>
      </c>
      <c r="AJ21" s="40">
        <f t="shared" ca="1" si="21"/>
        <v>1.155</v>
      </c>
      <c r="AK21" s="40">
        <f t="shared" ca="1" si="21"/>
        <v>0.16400000000000001</v>
      </c>
      <c r="AL21" s="40">
        <f t="shared" ca="1" si="21"/>
        <v>0.56999999999999995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0.45700000000000002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0.504</v>
      </c>
      <c r="G23" s="40">
        <f t="shared" ca="1" si="25"/>
        <v>1.7999999999999999E-2</v>
      </c>
      <c r="H23" s="40">
        <f t="shared" ca="1" si="25"/>
        <v>4.3999999999999997E-2</v>
      </c>
      <c r="I23" s="40">
        <f t="shared" ca="1" si="25"/>
        <v>7.0999999999999994E-2</v>
      </c>
      <c r="J23" s="40">
        <f t="shared" ca="1" si="25"/>
        <v>0.48499999999999999</v>
      </c>
      <c r="K23" s="40">
        <f t="shared" ca="1" si="25"/>
        <v>4.4740000000000002</v>
      </c>
      <c r="L23" s="40">
        <f t="shared" ca="1" si="25"/>
        <v>1.7999999999999999E-2</v>
      </c>
      <c r="M23" s="40">
        <f t="shared" ca="1" si="25"/>
        <v>4.2000000000000003E-2</v>
      </c>
      <c r="N23" s="40">
        <f t="shared" ca="1" si="25"/>
        <v>8.6999999999999994E-2</v>
      </c>
      <c r="O23" s="40">
        <f t="shared" ca="1" si="25"/>
        <v>0.192</v>
      </c>
      <c r="P23" s="40">
        <f t="shared" ca="1" si="25"/>
        <v>0.03</v>
      </c>
      <c r="Q23" s="40">
        <f t="shared" ca="1" si="25"/>
        <v>6.5000000000000002E-2</v>
      </c>
      <c r="R23" s="40">
        <f t="shared" ca="1" si="25"/>
        <v>1E-3</v>
      </c>
      <c r="S23" s="40">
        <f t="shared" ca="1" si="25"/>
        <v>0</v>
      </c>
      <c r="T23" s="40">
        <f t="shared" ca="1" si="25"/>
        <v>8.9999999999999993E-3</v>
      </c>
      <c r="U23" s="40">
        <f t="shared" ca="1" si="25"/>
        <v>8.6999999999999994E-2</v>
      </c>
      <c r="V23" s="40">
        <f t="shared" ca="1" si="21"/>
        <v>1.476</v>
      </c>
      <c r="W23" s="40">
        <f t="shared" ca="1" si="21"/>
        <v>0.92300000000000004</v>
      </c>
      <c r="X23" s="40">
        <f t="shared" ca="1" si="21"/>
        <v>3.6280000000000001</v>
      </c>
      <c r="Y23" s="40">
        <f t="shared" ca="1" si="21"/>
        <v>23.763000000000002</v>
      </c>
      <c r="Z23" s="40">
        <f t="shared" ca="1" si="21"/>
        <v>7.0000000000000001E-3</v>
      </c>
      <c r="AA23" s="40">
        <f t="shared" ca="1" si="21"/>
        <v>9.0999999999999998E-2</v>
      </c>
      <c r="AB23" s="40">
        <f t="shared" ca="1" si="21"/>
        <v>0</v>
      </c>
      <c r="AC23" s="40">
        <f t="shared" ca="1" si="21"/>
        <v>2.3780000000000001</v>
      </c>
      <c r="AD23" s="40">
        <f t="shared" ca="1" si="21"/>
        <v>1.5669999999999999</v>
      </c>
      <c r="AE23" s="40">
        <f t="shared" ca="1" si="21"/>
        <v>0</v>
      </c>
      <c r="AF23" s="40">
        <f t="shared" ca="1" si="21"/>
        <v>0.115</v>
      </c>
      <c r="AG23" s="40">
        <f t="shared" ca="1" si="21"/>
        <v>0.05</v>
      </c>
      <c r="AH23" s="40">
        <f t="shared" ca="1" si="21"/>
        <v>2.7E-2</v>
      </c>
      <c r="AI23" s="40">
        <f t="shared" ca="1" si="21"/>
        <v>0.153</v>
      </c>
      <c r="AJ23" s="40">
        <f t="shared" ca="1" si="21"/>
        <v>0.13700000000000001</v>
      </c>
      <c r="AK23" s="40">
        <f t="shared" ca="1" si="21"/>
        <v>0.11899999999999999</v>
      </c>
      <c r="AL23" s="40">
        <f t="shared" ca="1" si="21"/>
        <v>4.9000000000000002E-2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0.13200000000000001</v>
      </c>
      <c r="E24" s="40">
        <f t="shared" ref="E24:U24" ca="1" si="26">ROUND(E9*E33/E41,3)</f>
        <v>0</v>
      </c>
      <c r="F24" s="40">
        <f t="shared" ca="1" si="26"/>
        <v>2.5000000000000001E-2</v>
      </c>
      <c r="G24" s="40">
        <f t="shared" ca="1" si="26"/>
        <v>1E-3</v>
      </c>
      <c r="H24" s="40">
        <f t="shared" ca="1" si="26"/>
        <v>3.3000000000000002E-2</v>
      </c>
      <c r="I24" s="40">
        <f t="shared" ca="1" si="26"/>
        <v>2.3E-2</v>
      </c>
      <c r="J24" s="40">
        <f t="shared" ca="1" si="26"/>
        <v>0</v>
      </c>
      <c r="K24" s="40">
        <f t="shared" ca="1" si="26"/>
        <v>0.104</v>
      </c>
      <c r="L24" s="40">
        <f t="shared" ca="1" si="26"/>
        <v>1.7000000000000001E-2</v>
      </c>
      <c r="M24" s="40">
        <f t="shared" ca="1" si="26"/>
        <v>1.9E-2</v>
      </c>
      <c r="N24" s="40">
        <f t="shared" ca="1" si="26"/>
        <v>7.0000000000000001E-3</v>
      </c>
      <c r="O24" s="40">
        <f t="shared" ca="1" si="26"/>
        <v>4.2999999999999997E-2</v>
      </c>
      <c r="P24" s="40">
        <f t="shared" ca="1" si="26"/>
        <v>2.8000000000000001E-2</v>
      </c>
      <c r="Q24" s="40">
        <f t="shared" ca="1" si="26"/>
        <v>0.11</v>
      </c>
      <c r="R24" s="40">
        <f t="shared" ca="1" si="26"/>
        <v>0</v>
      </c>
      <c r="S24" s="40">
        <f t="shared" ca="1" si="26"/>
        <v>1.2999999999999999E-2</v>
      </c>
      <c r="T24" s="40">
        <f t="shared" ca="1" si="26"/>
        <v>0</v>
      </c>
      <c r="U24" s="40">
        <f t="shared" ca="1" si="26"/>
        <v>0.21</v>
      </c>
      <c r="V24" s="40">
        <f t="shared" ca="1" si="21"/>
        <v>0.14099999999999999</v>
      </c>
      <c r="W24" s="40">
        <f t="shared" ca="1" si="21"/>
        <v>0</v>
      </c>
      <c r="X24" s="40">
        <f t="shared" ca="1" si="21"/>
        <v>8.9999999999999993E-3</v>
      </c>
      <c r="Y24" s="40">
        <f t="shared" ca="1" si="21"/>
        <v>0.224</v>
      </c>
      <c r="Z24" s="40">
        <f t="shared" ca="1" si="21"/>
        <v>1E-3</v>
      </c>
      <c r="AA24" s="40">
        <f t="shared" ca="1" si="21"/>
        <v>0.42199999999999999</v>
      </c>
      <c r="AB24" s="40">
        <f t="shared" ca="1" si="21"/>
        <v>0.23</v>
      </c>
      <c r="AC24" s="40">
        <f t="shared" ca="1" si="21"/>
        <v>0.28199999999999997</v>
      </c>
      <c r="AD24" s="40">
        <f t="shared" ca="1" si="21"/>
        <v>0</v>
      </c>
      <c r="AE24" s="40">
        <f t="shared" ca="1" si="21"/>
        <v>2E-3</v>
      </c>
      <c r="AF24" s="40">
        <f t="shared" ca="1" si="21"/>
        <v>2.5000000000000001E-2</v>
      </c>
      <c r="AG24" s="40">
        <f t="shared" ca="1" si="21"/>
        <v>0</v>
      </c>
      <c r="AH24" s="40">
        <f t="shared" ca="1" si="21"/>
        <v>0</v>
      </c>
      <c r="AI24" s="40">
        <f t="shared" ca="1" si="21"/>
        <v>0.47599999999999998</v>
      </c>
      <c r="AJ24" s="40">
        <f t="shared" ca="1" si="21"/>
        <v>8.0000000000000002E-3</v>
      </c>
      <c r="AK24" s="40">
        <f t="shared" ca="1" si="21"/>
        <v>0.39500000000000002</v>
      </c>
      <c r="AL24" s="40">
        <f t="shared" ca="1" si="21"/>
        <v>0.13200000000000001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2.5000000000000001E-2</v>
      </c>
      <c r="E25" s="40">
        <f t="shared" ref="E25:U25" ca="1" si="27">ROUND(E10*E34/E42,3)</f>
        <v>0</v>
      </c>
      <c r="F25" s="40">
        <f t="shared" ca="1" si="27"/>
        <v>4.0000000000000001E-3</v>
      </c>
      <c r="G25" s="40">
        <f t="shared" ca="1" si="27"/>
        <v>0</v>
      </c>
      <c r="H25" s="40">
        <f t="shared" ca="1" si="27"/>
        <v>2E-3</v>
      </c>
      <c r="I25" s="40">
        <f t="shared" ca="1" si="27"/>
        <v>0</v>
      </c>
      <c r="J25" s="40">
        <f t="shared" ca="1" si="27"/>
        <v>0.13900000000000001</v>
      </c>
      <c r="K25" s="40">
        <f t="shared" ca="1" si="27"/>
        <v>1.016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0.152</v>
      </c>
      <c r="T25" s="40">
        <f t="shared" ca="1" si="27"/>
        <v>0</v>
      </c>
      <c r="U25" s="40">
        <f t="shared" ca="1" si="27"/>
        <v>0</v>
      </c>
      <c r="V25" s="40">
        <f t="shared" ca="1" si="21"/>
        <v>1E-3</v>
      </c>
      <c r="W25" s="40">
        <f t="shared" ca="1" si="21"/>
        <v>0.26700000000000002</v>
      </c>
      <c r="X25" s="40">
        <f t="shared" ca="1" si="21"/>
        <v>0</v>
      </c>
      <c r="Y25" s="40">
        <f t="shared" ca="1" si="21"/>
        <v>8.9999999999999993E-3</v>
      </c>
      <c r="Z25" s="40">
        <f t="shared" ca="1" si="21"/>
        <v>0</v>
      </c>
      <c r="AA25" s="40">
        <f t="shared" ca="1" si="21"/>
        <v>0</v>
      </c>
      <c r="AB25" s="40">
        <f t="shared" ca="1" si="21"/>
        <v>0.09</v>
      </c>
      <c r="AC25" s="40">
        <f t="shared" ca="1" si="21"/>
        <v>2.1999999999999999E-2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3.0000000000000001E-3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0.3796260246253445</v>
      </c>
      <c r="E28">
        <f t="shared" si="28"/>
        <v>0.3796260246253445</v>
      </c>
      <c r="F28">
        <f t="shared" si="28"/>
        <v>0.3796260246253445</v>
      </c>
      <c r="G28">
        <f t="shared" si="28"/>
        <v>0.3796260246253445</v>
      </c>
      <c r="H28">
        <f t="shared" si="28"/>
        <v>0.3796260246253445</v>
      </c>
      <c r="I28">
        <f t="shared" si="28"/>
        <v>0.3796260246253445</v>
      </c>
      <c r="J28">
        <f t="shared" si="28"/>
        <v>0.3796260246253445</v>
      </c>
      <c r="K28">
        <f t="shared" si="28"/>
        <v>0.3796260246253445</v>
      </c>
      <c r="L28">
        <f t="shared" si="28"/>
        <v>0.3796260246253445</v>
      </c>
      <c r="M28">
        <f t="shared" si="28"/>
        <v>0.3796260246253445</v>
      </c>
      <c r="N28">
        <f t="shared" si="28"/>
        <v>0.3796260246253445</v>
      </c>
      <c r="O28">
        <f t="shared" si="28"/>
        <v>0.3796260246253445</v>
      </c>
      <c r="P28">
        <f t="shared" si="28"/>
        <v>0.3796260246253445</v>
      </c>
      <c r="Q28">
        <f t="shared" si="28"/>
        <v>0.3796260246253445</v>
      </c>
      <c r="R28">
        <f t="shared" si="28"/>
        <v>0.3796260246253445</v>
      </c>
      <c r="S28">
        <f t="shared" si="28"/>
        <v>0.3796260246253445</v>
      </c>
      <c r="T28">
        <f t="shared" si="28"/>
        <v>0.3796260246253445</v>
      </c>
      <c r="U28">
        <f t="shared" si="28"/>
        <v>0.3796260246253445</v>
      </c>
      <c r="V28">
        <f t="shared" si="28"/>
        <v>0.3796260246253445</v>
      </c>
      <c r="W28">
        <f t="shared" si="28"/>
        <v>0.3796260246253445</v>
      </c>
      <c r="X28">
        <f t="shared" si="28"/>
        <v>0.3796260246253445</v>
      </c>
      <c r="Y28">
        <f t="shared" si="28"/>
        <v>0.3796260246253445</v>
      </c>
      <c r="Z28">
        <f t="shared" si="28"/>
        <v>0.3796260246253445</v>
      </c>
      <c r="AA28">
        <f t="shared" si="28"/>
        <v>0.3796260246253445</v>
      </c>
      <c r="AB28">
        <f t="shared" si="28"/>
        <v>0.3796260246253445</v>
      </c>
      <c r="AC28">
        <f t="shared" si="28"/>
        <v>0.3796260246253445</v>
      </c>
      <c r="AD28">
        <f t="shared" ref="AD28:AS34" si="29">$AX28*AD$27</f>
        <v>0.3796260246253445</v>
      </c>
      <c r="AE28">
        <f t="shared" si="29"/>
        <v>0.3796260246253445</v>
      </c>
      <c r="AF28">
        <f t="shared" si="29"/>
        <v>0.3796260246253445</v>
      </c>
      <c r="AG28">
        <f t="shared" si="29"/>
        <v>0.3796260246253445</v>
      </c>
      <c r="AH28">
        <f t="shared" si="29"/>
        <v>0.3796260246253445</v>
      </c>
      <c r="AI28">
        <f t="shared" si="29"/>
        <v>0.3796260246253445</v>
      </c>
      <c r="AJ28">
        <f t="shared" si="29"/>
        <v>0.3796260246253445</v>
      </c>
      <c r="AK28">
        <f t="shared" si="29"/>
        <v>0.3796260246253445</v>
      </c>
      <c r="AL28">
        <f t="shared" si="29"/>
        <v>0.3796260246253445</v>
      </c>
      <c r="AM28">
        <f t="shared" si="29"/>
        <v>0.3796260246253445</v>
      </c>
      <c r="AN28">
        <f t="shared" si="29"/>
        <v>0.3796260246253445</v>
      </c>
      <c r="AO28">
        <f t="shared" si="29"/>
        <v>0.3796260246253445</v>
      </c>
      <c r="AP28">
        <f t="shared" si="29"/>
        <v>0.3796260246253445</v>
      </c>
      <c r="AQ28">
        <f t="shared" si="29"/>
        <v>0.3796260246253445</v>
      </c>
      <c r="AR28">
        <f t="shared" si="29"/>
        <v>0.3796260246253445</v>
      </c>
      <c r="AS28">
        <f t="shared" si="29"/>
        <v>0.3796260246253445</v>
      </c>
      <c r="AT28">
        <f t="shared" ref="AK28:AW34" si="30">$AX28*AT$27</f>
        <v>0.3796260246253445</v>
      </c>
      <c r="AU28">
        <f t="shared" si="30"/>
        <v>0.3796260246253445</v>
      </c>
      <c r="AV28">
        <f t="shared" si="30"/>
        <v>0.3796260246253445</v>
      </c>
      <c r="AW28">
        <f t="shared" si="30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0.37271323693220426</v>
      </c>
      <c r="E29">
        <f t="shared" si="28"/>
        <v>0.37271323693220426</v>
      </c>
      <c r="F29">
        <f t="shared" si="28"/>
        <v>0.37271323693220426</v>
      </c>
      <c r="G29">
        <f t="shared" si="28"/>
        <v>0.37271323693220426</v>
      </c>
      <c r="H29">
        <f t="shared" si="28"/>
        <v>0.37271323693220426</v>
      </c>
      <c r="I29">
        <f t="shared" si="28"/>
        <v>0.37271323693220426</v>
      </c>
      <c r="J29">
        <f t="shared" si="28"/>
        <v>0.37271323693220426</v>
      </c>
      <c r="K29">
        <f t="shared" si="28"/>
        <v>0.37271323693220426</v>
      </c>
      <c r="L29">
        <f t="shared" si="28"/>
        <v>0.37271323693220426</v>
      </c>
      <c r="M29">
        <f t="shared" si="28"/>
        <v>0.37271323693220426</v>
      </c>
      <c r="N29">
        <f t="shared" si="28"/>
        <v>0.37271323693220426</v>
      </c>
      <c r="O29">
        <f t="shared" si="28"/>
        <v>0.37271323693220426</v>
      </c>
      <c r="P29">
        <f t="shared" si="28"/>
        <v>0.37271323693220426</v>
      </c>
      <c r="Q29">
        <f t="shared" si="28"/>
        <v>0.37271323693220426</v>
      </c>
      <c r="R29">
        <f t="shared" si="28"/>
        <v>0.37271323693220426</v>
      </c>
      <c r="S29">
        <f t="shared" si="28"/>
        <v>0.37271323693220426</v>
      </c>
      <c r="T29">
        <f t="shared" si="28"/>
        <v>0.37271323693220426</v>
      </c>
      <c r="U29">
        <f t="shared" si="28"/>
        <v>0.37271323693220426</v>
      </c>
      <c r="V29">
        <f t="shared" si="28"/>
        <v>0.37271323693220426</v>
      </c>
      <c r="W29">
        <f t="shared" si="28"/>
        <v>0.37271323693220426</v>
      </c>
      <c r="X29">
        <f t="shared" si="28"/>
        <v>0.37271323693220426</v>
      </c>
      <c r="Y29">
        <f t="shared" si="28"/>
        <v>0.37271323693220426</v>
      </c>
      <c r="Z29">
        <f t="shared" si="28"/>
        <v>0.37271323693220426</v>
      </c>
      <c r="AA29">
        <f t="shared" si="28"/>
        <v>0.37271323693220426</v>
      </c>
      <c r="AB29">
        <f t="shared" si="28"/>
        <v>0.37271323693220426</v>
      </c>
      <c r="AC29">
        <f t="shared" si="28"/>
        <v>0.37271323693220426</v>
      </c>
      <c r="AD29">
        <f t="shared" si="29"/>
        <v>0.37271323693220426</v>
      </c>
      <c r="AE29">
        <f t="shared" si="29"/>
        <v>0.37271323693220426</v>
      </c>
      <c r="AF29">
        <f t="shared" si="29"/>
        <v>0.37271323693220426</v>
      </c>
      <c r="AG29">
        <f t="shared" si="29"/>
        <v>0.37271323693220426</v>
      </c>
      <c r="AH29">
        <f t="shared" si="29"/>
        <v>0.37271323693220426</v>
      </c>
      <c r="AI29">
        <f t="shared" si="29"/>
        <v>0.37271323693220426</v>
      </c>
      <c r="AJ29">
        <f t="shared" si="29"/>
        <v>0.37271323693220426</v>
      </c>
      <c r="AK29">
        <f t="shared" si="30"/>
        <v>0.37271323693220426</v>
      </c>
      <c r="AL29">
        <f t="shared" si="29"/>
        <v>0.37271323693220426</v>
      </c>
      <c r="AM29">
        <f t="shared" si="30"/>
        <v>0.37271323693220426</v>
      </c>
      <c r="AN29">
        <f t="shared" si="30"/>
        <v>0.37271323693220426</v>
      </c>
      <c r="AO29">
        <f t="shared" si="30"/>
        <v>0.37271323693220426</v>
      </c>
      <c r="AP29">
        <f t="shared" si="30"/>
        <v>0.37271323693220426</v>
      </c>
      <c r="AQ29">
        <f t="shared" si="30"/>
        <v>0.37271323693220426</v>
      </c>
      <c r="AR29">
        <f t="shared" si="30"/>
        <v>0.37271323693220426</v>
      </c>
      <c r="AS29">
        <f t="shared" si="30"/>
        <v>0.37271323693220426</v>
      </c>
      <c r="AT29">
        <f t="shared" si="30"/>
        <v>0.37271323693220426</v>
      </c>
      <c r="AU29">
        <f t="shared" si="30"/>
        <v>0.37271323693220426</v>
      </c>
      <c r="AV29">
        <f t="shared" si="30"/>
        <v>0.37271323693220426</v>
      </c>
      <c r="AW29">
        <f t="shared" si="30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0.3796260246253445</v>
      </c>
      <c r="E30">
        <f t="shared" si="28"/>
        <v>0.3796260246253445</v>
      </c>
      <c r="F30">
        <f t="shared" si="28"/>
        <v>0.3796260246253445</v>
      </c>
      <c r="G30">
        <f t="shared" si="28"/>
        <v>0.3796260246253445</v>
      </c>
      <c r="H30">
        <f t="shared" si="28"/>
        <v>0.3796260246253445</v>
      </c>
      <c r="I30">
        <f t="shared" si="28"/>
        <v>0.3796260246253445</v>
      </c>
      <c r="J30">
        <f t="shared" si="28"/>
        <v>0.3796260246253445</v>
      </c>
      <c r="K30">
        <f t="shared" si="28"/>
        <v>0.3796260246253445</v>
      </c>
      <c r="L30">
        <f t="shared" si="28"/>
        <v>0.3796260246253445</v>
      </c>
      <c r="M30">
        <f t="shared" si="28"/>
        <v>0.3796260246253445</v>
      </c>
      <c r="N30">
        <f t="shared" si="28"/>
        <v>0.3796260246253445</v>
      </c>
      <c r="O30">
        <f t="shared" si="28"/>
        <v>0.3796260246253445</v>
      </c>
      <c r="P30">
        <f t="shared" si="28"/>
        <v>0.3796260246253445</v>
      </c>
      <c r="Q30">
        <f t="shared" si="28"/>
        <v>0.3796260246253445</v>
      </c>
      <c r="R30">
        <f t="shared" si="28"/>
        <v>0.3796260246253445</v>
      </c>
      <c r="S30">
        <f t="shared" si="28"/>
        <v>0.3796260246253445</v>
      </c>
      <c r="T30">
        <f t="shared" si="28"/>
        <v>0.3796260246253445</v>
      </c>
      <c r="U30">
        <f t="shared" si="28"/>
        <v>0.3796260246253445</v>
      </c>
      <c r="V30">
        <f t="shared" si="28"/>
        <v>0.3796260246253445</v>
      </c>
      <c r="W30">
        <f t="shared" si="28"/>
        <v>0.3796260246253445</v>
      </c>
      <c r="X30">
        <f t="shared" si="28"/>
        <v>0.3796260246253445</v>
      </c>
      <c r="Y30">
        <f t="shared" si="28"/>
        <v>0.3796260246253445</v>
      </c>
      <c r="Z30">
        <f t="shared" si="28"/>
        <v>0.3796260246253445</v>
      </c>
      <c r="AA30">
        <f t="shared" si="28"/>
        <v>0.3796260246253445</v>
      </c>
      <c r="AB30">
        <f t="shared" si="28"/>
        <v>0.3796260246253445</v>
      </c>
      <c r="AC30">
        <f t="shared" si="28"/>
        <v>0.3796260246253445</v>
      </c>
      <c r="AD30">
        <f t="shared" si="29"/>
        <v>0.3796260246253445</v>
      </c>
      <c r="AE30">
        <f t="shared" si="29"/>
        <v>0.3796260246253445</v>
      </c>
      <c r="AF30">
        <f t="shared" si="29"/>
        <v>0.3796260246253445</v>
      </c>
      <c r="AG30">
        <f t="shared" si="29"/>
        <v>0.3796260246253445</v>
      </c>
      <c r="AH30">
        <f t="shared" si="29"/>
        <v>0.3796260246253445</v>
      </c>
      <c r="AI30">
        <f t="shared" si="29"/>
        <v>0.3796260246253445</v>
      </c>
      <c r="AJ30">
        <f t="shared" si="29"/>
        <v>0.3796260246253445</v>
      </c>
      <c r="AK30">
        <f t="shared" si="30"/>
        <v>0.3796260246253445</v>
      </c>
      <c r="AL30">
        <f t="shared" si="29"/>
        <v>0.3796260246253445</v>
      </c>
      <c r="AM30">
        <f t="shared" si="30"/>
        <v>0.3796260246253445</v>
      </c>
      <c r="AN30">
        <f t="shared" si="30"/>
        <v>0.3796260246253445</v>
      </c>
      <c r="AO30">
        <f t="shared" si="30"/>
        <v>0.3796260246253445</v>
      </c>
      <c r="AP30">
        <f t="shared" si="30"/>
        <v>0.3796260246253445</v>
      </c>
      <c r="AQ30">
        <f t="shared" si="30"/>
        <v>0.3796260246253445</v>
      </c>
      <c r="AR30">
        <f t="shared" si="30"/>
        <v>0.3796260246253445</v>
      </c>
      <c r="AS30">
        <f t="shared" si="30"/>
        <v>0.3796260246253445</v>
      </c>
      <c r="AT30">
        <f t="shared" si="30"/>
        <v>0.3796260246253445</v>
      </c>
      <c r="AU30">
        <f t="shared" si="30"/>
        <v>0.3796260246253445</v>
      </c>
      <c r="AV30">
        <f t="shared" si="30"/>
        <v>0.3796260246253445</v>
      </c>
      <c r="AW30">
        <f t="shared" si="30"/>
        <v>0.3796260246253445</v>
      </c>
      <c r="AX30" s="56">
        <v>0.3796260246253445</v>
      </c>
      <c r="AY30" t="s">
        <v>348</v>
      </c>
      <c r="AZ30" s="95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0.74542647386440852</v>
      </c>
      <c r="E31">
        <f t="shared" si="28"/>
        <v>0.74542647386440852</v>
      </c>
      <c r="F31">
        <f t="shared" si="28"/>
        <v>0.74542647386440852</v>
      </c>
      <c r="G31">
        <f t="shared" si="28"/>
        <v>0.74542647386440852</v>
      </c>
      <c r="H31">
        <f t="shared" si="28"/>
        <v>0.74542647386440852</v>
      </c>
      <c r="I31">
        <f t="shared" si="28"/>
        <v>0.74542647386440852</v>
      </c>
      <c r="J31">
        <f t="shared" si="28"/>
        <v>0.74542647386440852</v>
      </c>
      <c r="K31">
        <f t="shared" si="28"/>
        <v>0.74542647386440852</v>
      </c>
      <c r="L31">
        <f t="shared" si="28"/>
        <v>0.74542647386440852</v>
      </c>
      <c r="M31">
        <f t="shared" si="28"/>
        <v>0.74542647386440852</v>
      </c>
      <c r="N31">
        <f t="shared" si="28"/>
        <v>0.74542647386440852</v>
      </c>
      <c r="O31">
        <f t="shared" si="28"/>
        <v>0.74542647386440852</v>
      </c>
      <c r="P31">
        <f t="shared" si="28"/>
        <v>0.74542647386440852</v>
      </c>
      <c r="Q31">
        <f t="shared" si="28"/>
        <v>0.74542647386440852</v>
      </c>
      <c r="R31">
        <f t="shared" si="28"/>
        <v>0.74542647386440852</v>
      </c>
      <c r="S31">
        <f t="shared" si="28"/>
        <v>0.74542647386440852</v>
      </c>
      <c r="T31">
        <f t="shared" si="28"/>
        <v>0.74542647386440852</v>
      </c>
      <c r="U31">
        <f t="shared" si="28"/>
        <v>0.74542647386440852</v>
      </c>
      <c r="V31">
        <f t="shared" si="28"/>
        <v>0.74542647386440852</v>
      </c>
      <c r="W31">
        <f t="shared" si="28"/>
        <v>0.74542647386440852</v>
      </c>
      <c r="X31">
        <f t="shared" si="28"/>
        <v>0.74542647386440852</v>
      </c>
      <c r="Y31">
        <f t="shared" si="28"/>
        <v>0.74542647386440852</v>
      </c>
      <c r="Z31">
        <f t="shared" si="28"/>
        <v>0.74542647386440852</v>
      </c>
      <c r="AA31">
        <f t="shared" si="28"/>
        <v>0.74542647386440852</v>
      </c>
      <c r="AB31">
        <f t="shared" si="28"/>
        <v>0.74542647386440852</v>
      </c>
      <c r="AC31">
        <f t="shared" si="28"/>
        <v>0.74542647386440852</v>
      </c>
      <c r="AD31">
        <f t="shared" si="29"/>
        <v>0.74542647386440852</v>
      </c>
      <c r="AE31">
        <f t="shared" si="29"/>
        <v>0.74542647386440852</v>
      </c>
      <c r="AF31">
        <f t="shared" si="29"/>
        <v>0.74542647386440852</v>
      </c>
      <c r="AG31">
        <f t="shared" si="29"/>
        <v>0.74542647386440852</v>
      </c>
      <c r="AH31">
        <f t="shared" si="29"/>
        <v>0.74542647386440852</v>
      </c>
      <c r="AI31">
        <f t="shared" si="29"/>
        <v>0.74542647386440852</v>
      </c>
      <c r="AJ31">
        <f t="shared" si="29"/>
        <v>0.74542647386440852</v>
      </c>
      <c r="AK31">
        <f t="shared" si="30"/>
        <v>0.74542647386440852</v>
      </c>
      <c r="AL31">
        <f t="shared" si="29"/>
        <v>0.74542647386440852</v>
      </c>
      <c r="AM31">
        <f t="shared" si="30"/>
        <v>0.74542647386440852</v>
      </c>
      <c r="AN31">
        <f t="shared" si="30"/>
        <v>0.74542647386440852</v>
      </c>
      <c r="AO31">
        <f t="shared" si="30"/>
        <v>0.74542647386440852</v>
      </c>
      <c r="AP31">
        <f t="shared" si="30"/>
        <v>0.74542647386440852</v>
      </c>
      <c r="AQ31">
        <f t="shared" si="30"/>
        <v>0.74542647386440852</v>
      </c>
      <c r="AR31">
        <f t="shared" si="30"/>
        <v>0.74542647386440852</v>
      </c>
      <c r="AS31">
        <f t="shared" si="30"/>
        <v>0.74542647386440852</v>
      </c>
      <c r="AT31">
        <f t="shared" si="30"/>
        <v>0.74542647386440852</v>
      </c>
      <c r="AU31">
        <f t="shared" si="30"/>
        <v>0.74542647386440852</v>
      </c>
      <c r="AV31">
        <f t="shared" si="30"/>
        <v>0.74542647386440852</v>
      </c>
      <c r="AW31">
        <f t="shared" si="30"/>
        <v>0.74542647386440852</v>
      </c>
      <c r="AX31" s="56">
        <f>AX32*2</f>
        <v>0.74542647386440852</v>
      </c>
      <c r="AY31" t="s">
        <v>348</v>
      </c>
      <c r="AZ31" s="1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0.37271323693220426</v>
      </c>
      <c r="E32">
        <f t="shared" si="28"/>
        <v>0.37271323693220426</v>
      </c>
      <c r="F32">
        <f t="shared" si="28"/>
        <v>0.37271323693220426</v>
      </c>
      <c r="G32">
        <f t="shared" si="28"/>
        <v>0.37271323693220426</v>
      </c>
      <c r="H32">
        <f t="shared" si="28"/>
        <v>0.37271323693220426</v>
      </c>
      <c r="I32">
        <f t="shared" si="28"/>
        <v>0.37271323693220426</v>
      </c>
      <c r="J32">
        <f t="shared" si="28"/>
        <v>0.37271323693220426</v>
      </c>
      <c r="K32">
        <f t="shared" si="28"/>
        <v>0.37271323693220426</v>
      </c>
      <c r="L32">
        <f t="shared" si="28"/>
        <v>0.37271323693220426</v>
      </c>
      <c r="M32">
        <f t="shared" si="28"/>
        <v>0.37271323693220426</v>
      </c>
      <c r="N32">
        <f t="shared" si="28"/>
        <v>0.37271323693220426</v>
      </c>
      <c r="O32">
        <f t="shared" si="28"/>
        <v>0.37271323693220426</v>
      </c>
      <c r="P32">
        <f t="shared" si="28"/>
        <v>0.37271323693220426</v>
      </c>
      <c r="Q32">
        <f t="shared" si="28"/>
        <v>0.37271323693220426</v>
      </c>
      <c r="R32">
        <f t="shared" si="28"/>
        <v>0.37271323693220426</v>
      </c>
      <c r="S32">
        <f t="shared" si="28"/>
        <v>0.37271323693220426</v>
      </c>
      <c r="T32">
        <f t="shared" si="28"/>
        <v>0.37271323693220426</v>
      </c>
      <c r="U32">
        <f t="shared" si="28"/>
        <v>0.37271323693220426</v>
      </c>
      <c r="V32">
        <f t="shared" si="28"/>
        <v>0.37271323693220426</v>
      </c>
      <c r="W32">
        <f t="shared" si="28"/>
        <v>0.37271323693220426</v>
      </c>
      <c r="X32">
        <f t="shared" si="28"/>
        <v>0.37271323693220426</v>
      </c>
      <c r="Y32">
        <f t="shared" si="28"/>
        <v>0.37271323693220426</v>
      </c>
      <c r="Z32">
        <f t="shared" si="28"/>
        <v>0.37271323693220426</v>
      </c>
      <c r="AA32">
        <f t="shared" si="28"/>
        <v>0.37271323693220426</v>
      </c>
      <c r="AB32">
        <f t="shared" si="28"/>
        <v>0.37271323693220426</v>
      </c>
      <c r="AC32">
        <f t="shared" si="28"/>
        <v>0.37271323693220426</v>
      </c>
      <c r="AD32">
        <f t="shared" si="29"/>
        <v>0.37271323693220426</v>
      </c>
      <c r="AE32">
        <f t="shared" si="29"/>
        <v>0.37271323693220426</v>
      </c>
      <c r="AF32">
        <f t="shared" si="29"/>
        <v>0.37271323693220426</v>
      </c>
      <c r="AG32">
        <f t="shared" si="29"/>
        <v>0.37271323693220426</v>
      </c>
      <c r="AH32">
        <f t="shared" si="29"/>
        <v>0.37271323693220426</v>
      </c>
      <c r="AI32">
        <f t="shared" si="29"/>
        <v>0.37271323693220426</v>
      </c>
      <c r="AJ32">
        <f t="shared" si="29"/>
        <v>0.37271323693220426</v>
      </c>
      <c r="AK32">
        <f t="shared" si="30"/>
        <v>0.37271323693220426</v>
      </c>
      <c r="AL32">
        <f t="shared" si="29"/>
        <v>0.37271323693220426</v>
      </c>
      <c r="AM32">
        <f t="shared" si="30"/>
        <v>0.37271323693220426</v>
      </c>
      <c r="AN32">
        <f t="shared" si="30"/>
        <v>0.37271323693220426</v>
      </c>
      <c r="AO32">
        <f t="shared" si="30"/>
        <v>0.37271323693220426</v>
      </c>
      <c r="AP32">
        <f t="shared" si="30"/>
        <v>0.37271323693220426</v>
      </c>
      <c r="AQ32">
        <f t="shared" si="30"/>
        <v>0.37271323693220426</v>
      </c>
      <c r="AR32">
        <f t="shared" si="30"/>
        <v>0.37271323693220426</v>
      </c>
      <c r="AS32">
        <f t="shared" si="30"/>
        <v>0.37271323693220426</v>
      </c>
      <c r="AT32">
        <f t="shared" si="30"/>
        <v>0.37271323693220426</v>
      </c>
      <c r="AU32">
        <f t="shared" si="30"/>
        <v>0.37271323693220426</v>
      </c>
      <c r="AV32">
        <f t="shared" si="30"/>
        <v>0.37271323693220426</v>
      </c>
      <c r="AW32">
        <f t="shared" si="30"/>
        <v>0.37271323693220426</v>
      </c>
      <c r="AX32" s="56">
        <v>0.37271323693220426</v>
      </c>
      <c r="AY32" t="s">
        <v>348</v>
      </c>
      <c r="AZ32" s="1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0.44075733528719357</v>
      </c>
      <c r="E33">
        <f t="shared" si="28"/>
        <v>0.44075733528719357</v>
      </c>
      <c r="F33">
        <f t="shared" si="28"/>
        <v>0.44075733528719357</v>
      </c>
      <c r="G33">
        <f t="shared" si="28"/>
        <v>0.44075733528719357</v>
      </c>
      <c r="H33">
        <f t="shared" si="28"/>
        <v>0.44075733528719357</v>
      </c>
      <c r="I33">
        <f t="shared" si="28"/>
        <v>0.44075733528719357</v>
      </c>
      <c r="J33">
        <f t="shared" si="28"/>
        <v>0.44075733528719357</v>
      </c>
      <c r="K33">
        <f t="shared" si="28"/>
        <v>0.44075733528719357</v>
      </c>
      <c r="L33">
        <f t="shared" si="28"/>
        <v>0.44075733528719357</v>
      </c>
      <c r="M33">
        <f t="shared" si="28"/>
        <v>0.44075733528719357</v>
      </c>
      <c r="N33">
        <f t="shared" si="28"/>
        <v>0.44075733528719357</v>
      </c>
      <c r="O33">
        <f t="shared" si="28"/>
        <v>0.44075733528719357</v>
      </c>
      <c r="P33">
        <f t="shared" si="28"/>
        <v>0.44075733528719357</v>
      </c>
      <c r="Q33">
        <f t="shared" si="28"/>
        <v>0.44075733528719357</v>
      </c>
      <c r="R33">
        <f t="shared" si="28"/>
        <v>0.44075733528719357</v>
      </c>
      <c r="S33">
        <f t="shared" si="28"/>
        <v>0.44075733528719357</v>
      </c>
      <c r="T33">
        <f t="shared" si="28"/>
        <v>0.44075733528719357</v>
      </c>
      <c r="U33">
        <f t="shared" si="28"/>
        <v>0.44075733528719357</v>
      </c>
      <c r="V33">
        <f t="shared" si="28"/>
        <v>0.44075733528719357</v>
      </c>
      <c r="W33">
        <f t="shared" si="28"/>
        <v>0.44075733528719357</v>
      </c>
      <c r="X33">
        <f t="shared" si="28"/>
        <v>0.44075733528719357</v>
      </c>
      <c r="Y33">
        <f t="shared" si="28"/>
        <v>0.44075733528719357</v>
      </c>
      <c r="Z33">
        <f t="shared" si="28"/>
        <v>0.44075733528719357</v>
      </c>
      <c r="AA33">
        <f t="shared" si="28"/>
        <v>0.44075733528719357</v>
      </c>
      <c r="AB33">
        <f t="shared" si="28"/>
        <v>0.44075733528719357</v>
      </c>
      <c r="AC33">
        <f t="shared" si="28"/>
        <v>0.44075733528719357</v>
      </c>
      <c r="AD33">
        <f t="shared" si="29"/>
        <v>0.44075733528719357</v>
      </c>
      <c r="AE33">
        <f t="shared" si="29"/>
        <v>0.44075733528719357</v>
      </c>
      <c r="AF33">
        <f t="shared" si="29"/>
        <v>0.44075733528719357</v>
      </c>
      <c r="AG33">
        <f t="shared" si="29"/>
        <v>0.44075733528719357</v>
      </c>
      <c r="AH33">
        <f t="shared" si="29"/>
        <v>0.44075733528719357</v>
      </c>
      <c r="AI33">
        <f t="shared" si="29"/>
        <v>0.44075733528719357</v>
      </c>
      <c r="AJ33">
        <f t="shared" si="29"/>
        <v>0.44075733528719357</v>
      </c>
      <c r="AK33">
        <f t="shared" si="30"/>
        <v>0.44075733528719357</v>
      </c>
      <c r="AL33">
        <f t="shared" si="29"/>
        <v>0.44075733528719357</v>
      </c>
      <c r="AM33">
        <f t="shared" si="30"/>
        <v>0.44075733528719357</v>
      </c>
      <c r="AN33">
        <f t="shared" si="30"/>
        <v>0.44075733528719357</v>
      </c>
      <c r="AO33">
        <f t="shared" si="30"/>
        <v>0.44075733528719357</v>
      </c>
      <c r="AP33">
        <f t="shared" si="30"/>
        <v>0.44075733528719357</v>
      </c>
      <c r="AQ33">
        <f t="shared" si="30"/>
        <v>0.44075733528719357</v>
      </c>
      <c r="AR33">
        <f t="shared" si="30"/>
        <v>0.44075733528719357</v>
      </c>
      <c r="AS33">
        <f t="shared" si="30"/>
        <v>0.44075733528719357</v>
      </c>
      <c r="AT33">
        <f t="shared" si="30"/>
        <v>0.44075733528719357</v>
      </c>
      <c r="AU33">
        <f t="shared" si="30"/>
        <v>0.44075733528719357</v>
      </c>
      <c r="AV33">
        <f t="shared" si="30"/>
        <v>0.44075733528719357</v>
      </c>
      <c r="AW33">
        <f t="shared" si="30"/>
        <v>0.44075733528719357</v>
      </c>
      <c r="AX33" s="56">
        <v>0.44075733528719357</v>
      </c>
      <c r="AY33" t="s">
        <v>348</v>
      </c>
      <c r="AZ33" s="1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0.32948443032272562</v>
      </c>
      <c r="E34">
        <f t="shared" si="28"/>
        <v>0.32948443032272562</v>
      </c>
      <c r="F34">
        <f t="shared" si="28"/>
        <v>0.32948443032272562</v>
      </c>
      <c r="G34">
        <f t="shared" si="28"/>
        <v>0.32948443032272562</v>
      </c>
      <c r="H34">
        <f t="shared" si="28"/>
        <v>0.32948443032272562</v>
      </c>
      <c r="I34">
        <f t="shared" si="28"/>
        <v>0.32948443032272562</v>
      </c>
      <c r="J34">
        <f t="shared" si="28"/>
        <v>0.32948443032272562</v>
      </c>
      <c r="K34">
        <f t="shared" si="28"/>
        <v>0.32948443032272562</v>
      </c>
      <c r="L34">
        <f t="shared" si="28"/>
        <v>0.32948443032272562</v>
      </c>
      <c r="M34">
        <f t="shared" si="28"/>
        <v>0.32948443032272562</v>
      </c>
      <c r="N34">
        <f t="shared" si="28"/>
        <v>0.32948443032272562</v>
      </c>
      <c r="O34">
        <f t="shared" si="28"/>
        <v>0.32948443032272562</v>
      </c>
      <c r="P34">
        <f t="shared" si="28"/>
        <v>0.32948443032272562</v>
      </c>
      <c r="Q34">
        <f t="shared" si="28"/>
        <v>0.32948443032272562</v>
      </c>
      <c r="R34">
        <f t="shared" si="28"/>
        <v>0.32948443032272562</v>
      </c>
      <c r="S34">
        <f t="shared" si="28"/>
        <v>0.32948443032272562</v>
      </c>
      <c r="T34">
        <f t="shared" si="28"/>
        <v>0.32948443032272562</v>
      </c>
      <c r="U34">
        <f t="shared" si="28"/>
        <v>0.32948443032272562</v>
      </c>
      <c r="V34">
        <f t="shared" si="28"/>
        <v>0.32948443032272562</v>
      </c>
      <c r="W34">
        <f t="shared" si="28"/>
        <v>0.32948443032272562</v>
      </c>
      <c r="X34">
        <f t="shared" si="28"/>
        <v>0.32948443032272562</v>
      </c>
      <c r="Y34">
        <f t="shared" si="28"/>
        <v>0.32948443032272562</v>
      </c>
      <c r="Z34">
        <f t="shared" si="28"/>
        <v>0.32948443032272562</v>
      </c>
      <c r="AA34">
        <f t="shared" si="28"/>
        <v>0.32948443032272562</v>
      </c>
      <c r="AB34">
        <f t="shared" si="28"/>
        <v>0.32948443032272562</v>
      </c>
      <c r="AC34">
        <f t="shared" si="28"/>
        <v>0.32948443032272562</v>
      </c>
      <c r="AD34">
        <f t="shared" si="29"/>
        <v>0.32948443032272562</v>
      </c>
      <c r="AE34">
        <f t="shared" si="29"/>
        <v>0.32948443032272562</v>
      </c>
      <c r="AF34">
        <f t="shared" si="29"/>
        <v>0.32948443032272562</v>
      </c>
      <c r="AG34">
        <f t="shared" si="29"/>
        <v>0.32948443032272562</v>
      </c>
      <c r="AH34">
        <f t="shared" si="29"/>
        <v>0.32948443032272562</v>
      </c>
      <c r="AI34">
        <f t="shared" si="29"/>
        <v>0.32948443032272562</v>
      </c>
      <c r="AJ34">
        <f t="shared" si="29"/>
        <v>0.32948443032272562</v>
      </c>
      <c r="AK34">
        <f t="shared" si="30"/>
        <v>0.32948443032272562</v>
      </c>
      <c r="AL34">
        <f t="shared" si="29"/>
        <v>0.32948443032272562</v>
      </c>
      <c r="AM34">
        <f t="shared" si="30"/>
        <v>0.32948443032272562</v>
      </c>
      <c r="AN34">
        <f t="shared" si="30"/>
        <v>0.32948443032272562</v>
      </c>
      <c r="AO34">
        <f t="shared" si="30"/>
        <v>0.32948443032272562</v>
      </c>
      <c r="AP34">
        <f t="shared" si="30"/>
        <v>0.32948443032272562</v>
      </c>
      <c r="AQ34">
        <f t="shared" si="30"/>
        <v>0.32948443032272562</v>
      </c>
      <c r="AR34">
        <f t="shared" si="30"/>
        <v>0.32948443032272562</v>
      </c>
      <c r="AS34">
        <f t="shared" si="30"/>
        <v>0.32948443032272562</v>
      </c>
      <c r="AT34">
        <f t="shared" si="30"/>
        <v>0.32948443032272562</v>
      </c>
      <c r="AU34">
        <f t="shared" si="30"/>
        <v>0.32948443032272562</v>
      </c>
      <c r="AV34">
        <f t="shared" si="30"/>
        <v>0.32948443032272562</v>
      </c>
      <c r="AW34">
        <f t="shared" si="30"/>
        <v>0.32948443032272562</v>
      </c>
      <c r="AX34" s="56">
        <v>0.32948443032272562</v>
      </c>
      <c r="AY34" t="s">
        <v>348</v>
      </c>
      <c r="AZ34" s="1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3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3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3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3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3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3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39">SUMPRODUCT(E36:E42,E19:E25)</f>
        <v>67.52</v>
      </c>
      <c r="F45" s="2">
        <f t="shared" ca="1" si="39"/>
        <v>64.16</v>
      </c>
      <c r="G45" s="2">
        <f t="shared" ca="1" si="39"/>
        <v>13.36</v>
      </c>
      <c r="H45" s="2">
        <f t="shared" ca="1" si="39"/>
        <v>7.6800000000000006</v>
      </c>
      <c r="I45" s="2">
        <f t="shared" ca="1" si="39"/>
        <v>30.4</v>
      </c>
      <c r="J45" s="2">
        <f t="shared" ca="1" si="39"/>
        <v>98.639999999999986</v>
      </c>
      <c r="K45" s="2">
        <f t="shared" ca="1" si="39"/>
        <v>375.92</v>
      </c>
      <c r="L45" s="2">
        <f t="shared" ca="1" si="39"/>
        <v>7.16</v>
      </c>
      <c r="M45" s="2">
        <f t="shared" ca="1" si="39"/>
        <v>14.959999999999999</v>
      </c>
      <c r="N45" s="2">
        <f t="shared" ca="1" si="39"/>
        <v>67.16</v>
      </c>
      <c r="O45" s="2">
        <f t="shared" ca="1" si="39"/>
        <v>76.28</v>
      </c>
      <c r="P45" s="2">
        <f t="shared" ca="1" si="39"/>
        <v>7.7600000000000007</v>
      </c>
      <c r="Q45" s="2">
        <f t="shared" ca="1" si="39"/>
        <v>26.560000000000002</v>
      </c>
      <c r="R45" s="2">
        <f t="shared" ca="1" si="39"/>
        <v>0.43999999999999995</v>
      </c>
      <c r="S45" s="2">
        <f t="shared" ca="1" si="39"/>
        <v>179.96000000000004</v>
      </c>
      <c r="T45" s="2">
        <f t="shared" ca="1" si="39"/>
        <v>6.2800000000000011</v>
      </c>
      <c r="U45" s="2">
        <f t="shared" ca="1" si="39"/>
        <v>55.279999999999994</v>
      </c>
      <c r="V45" s="2">
        <f t="shared" ref="V45:AJ45" ca="1" si="40">SUMPRODUCT(V36:V42,V19:V25)</f>
        <v>114.16000000000001</v>
      </c>
      <c r="W45" s="2">
        <f t="shared" ca="1" si="40"/>
        <v>102.28</v>
      </c>
      <c r="X45" s="2">
        <f t="shared" ca="1" si="40"/>
        <v>222.24</v>
      </c>
      <c r="Y45" s="2">
        <f t="shared" ca="1" si="40"/>
        <v>1080.32</v>
      </c>
      <c r="Z45" s="2">
        <f t="shared" ca="1" si="40"/>
        <v>5.16</v>
      </c>
      <c r="AA45" s="2">
        <f t="shared" ca="1" si="40"/>
        <v>49.120000000000005</v>
      </c>
      <c r="AB45" s="2">
        <f t="shared" ca="1" si="40"/>
        <v>162.99999999999997</v>
      </c>
      <c r="AC45" s="2">
        <f t="shared" ca="1" si="40"/>
        <v>132.56</v>
      </c>
      <c r="AD45" s="2">
        <f t="shared" ca="1" si="40"/>
        <v>106.32</v>
      </c>
      <c r="AE45" s="2">
        <f t="shared" ca="1" si="40"/>
        <v>23.799999999999997</v>
      </c>
      <c r="AF45" s="2">
        <f t="shared" ca="1" si="40"/>
        <v>55.775000000000006</v>
      </c>
      <c r="AG45" s="2">
        <f t="shared" ref="AG45" ca="1" si="41">SUMPRODUCT(AG36:AG42,AG19:AG25)</f>
        <v>19.96</v>
      </c>
      <c r="AH45" s="2">
        <f t="shared" ca="1" si="40"/>
        <v>6.5600000000000005</v>
      </c>
      <c r="AI45" s="2">
        <f t="shared" ca="1" si="40"/>
        <v>67.56</v>
      </c>
      <c r="AJ45" s="2">
        <f t="shared" ca="1" si="40"/>
        <v>54.4</v>
      </c>
      <c r="AK45" s="2">
        <f t="shared" ref="AK45:AW45" ca="1" si="42">SUMPRODUCT(AK36:AK42,AK19:AK25)</f>
        <v>27.240000000000002</v>
      </c>
      <c r="AL45" s="2">
        <f t="shared" ca="1" si="42"/>
        <v>11.489999999999998</v>
      </c>
      <c r="AM45" s="2">
        <f t="shared" ca="1" si="42"/>
        <v>0</v>
      </c>
      <c r="AN45" s="2">
        <f t="shared" ca="1" si="42"/>
        <v>0</v>
      </c>
      <c r="AO45" s="2">
        <f t="shared" ca="1" si="42"/>
        <v>0</v>
      </c>
      <c r="AP45" s="2">
        <f t="shared" ca="1" si="42"/>
        <v>0</v>
      </c>
      <c r="AQ45" s="2">
        <f t="shared" ca="1" si="42"/>
        <v>0</v>
      </c>
      <c r="AR45" s="2">
        <f t="shared" ca="1" si="42"/>
        <v>0</v>
      </c>
      <c r="AS45" s="2">
        <f t="shared" ca="1" si="42"/>
        <v>0</v>
      </c>
      <c r="AT45" s="2">
        <f t="shared" ca="1" si="42"/>
        <v>0</v>
      </c>
      <c r="AU45" s="2">
        <f t="shared" ca="1" si="42"/>
        <v>0</v>
      </c>
      <c r="AV45" s="2">
        <f t="shared" ca="1" si="42"/>
        <v>0</v>
      </c>
      <c r="AW45" s="2">
        <f t="shared" ca="1" si="42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2" max="52" width="12" bestFit="1" customWidth="1"/>
    <col min="57" max="57" width="12" bestFit="1" customWidth="1"/>
  </cols>
  <sheetData>
    <row r="1" spans="1:61" ht="14.65" thickBot="1">
      <c r="A1" s="49">
        <f>1-'Trucks-lcv'!$A$1</f>
        <v>0.5</v>
      </c>
      <c r="X1" s="2"/>
    </row>
    <row r="2" spans="1:61" ht="14.6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4.25"/>
  <cols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" bestFit="1" customWidth="1"/>
    <col min="28" max="29" width="5.59765625" bestFit="1" customWidth="1"/>
    <col min="30" max="30" width="7.265625" bestFit="1" customWidth="1"/>
    <col min="31" max="31" width="6.59765625" bestFit="1" customWidth="1"/>
    <col min="32" max="32" width="5.398437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8" width="4.59765625" bestFit="1" customWidth="1"/>
    <col min="9" max="24" width="4.59765625" customWidth="1"/>
    <col min="25" max="25" width="4.59765625" bestFit="1" customWidth="1"/>
    <col min="26" max="26" width="4.86328125" bestFit="1" customWidth="1"/>
    <col min="27" max="27" width="5" bestFit="1" customWidth="1"/>
    <col min="28" max="32" width="4.59765625" bestFit="1" customWidth="1"/>
    <col min="33" max="33" width="5" bestFit="1" customWidth="1"/>
    <col min="34" max="34" width="4.86328125" bestFit="1" customWidth="1"/>
    <col min="35" max="35" width="5" bestFit="1" customWidth="1"/>
    <col min="36" max="37" width="4.59765625" bestFit="1" customWidth="1"/>
    <col min="38" max="38" width="5.1328125" bestFit="1" customWidth="1"/>
    <col min="39" max="41" width="5.1328125" customWidth="1"/>
    <col min="42" max="42" width="4.1328125" bestFit="1" customWidth="1"/>
    <col min="43" max="53" width="5.1328125" customWidth="1"/>
    <col min="54" max="54" width="4.73046875" bestFit="1" customWidth="1"/>
    <col min="55" max="55" width="9.73046875" bestFit="1" customWidth="1"/>
    <col min="56" max="101" width="4.59765625" customWidth="1"/>
    <col min="103" max="103" width="4.59765625" bestFit="1" customWidth="1"/>
    <col min="104" max="119" width="4.59765625" customWidth="1"/>
    <col min="120" max="120" width="4.59765625" bestFit="1" customWidth="1"/>
    <col min="121" max="121" width="4.86328125" bestFit="1" customWidth="1"/>
    <col min="122" max="127" width="4.59765625" bestFit="1" customWidth="1"/>
    <col min="128" max="128" width="5" bestFit="1" customWidth="1"/>
    <col min="129" max="129" width="4.86328125" bestFit="1" customWidth="1"/>
    <col min="130" max="130" width="5" bestFit="1" customWidth="1"/>
    <col min="131" max="132" width="4.59765625" bestFit="1" customWidth="1"/>
    <col min="133" max="133" width="5.1328125" bestFit="1" customWidth="1"/>
    <col min="134" max="148" width="5.1328125" customWidth="1"/>
    <col min="150" max="150" width="12.3984375" bestFit="1" customWidth="1"/>
    <col min="151" max="151" width="5" bestFit="1" customWidth="1"/>
    <col min="152" max="152" width="11.398437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H12" sqref="H12"/>
    </sheetView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9" width="4.59765625" bestFit="1" customWidth="1"/>
    <col min="10" max="10" width="4.86328125" bestFit="1" customWidth="1"/>
    <col min="11" max="11" width="5" bestFit="1" customWidth="1"/>
    <col min="12" max="16" width="4.59765625" bestFit="1" customWidth="1"/>
    <col min="17" max="17" width="5" bestFit="1" customWidth="1"/>
    <col min="18" max="18" width="4.86328125" bestFit="1" customWidth="1"/>
    <col min="19" max="19" width="5" bestFit="1" customWidth="1"/>
    <col min="20" max="21" width="4.59765625" bestFit="1" customWidth="1"/>
    <col min="22" max="22" width="5.1328125" bestFit="1" customWidth="1"/>
    <col min="23" max="23" width="4.73046875" bestFit="1" customWidth="1"/>
    <col min="24" max="24" width="9.73046875" bestFit="1" customWidth="1"/>
    <col min="25" max="25" width="12.265625" bestFit="1" customWidth="1"/>
    <col min="26" max="26" width="4.3984375" bestFit="1" customWidth="1"/>
    <col min="27" max="27" width="4.1328125" bestFit="1" customWidth="1"/>
    <col min="28" max="29" width="5" bestFit="1" customWidth="1"/>
    <col min="30" max="32" width="4" bestFit="1" customWidth="1"/>
    <col min="33" max="34" width="5" bestFit="1" customWidth="1"/>
    <col min="35" max="35" width="4.3984375" bestFit="1" customWidth="1"/>
    <col min="36" max="36" width="5" bestFit="1" customWidth="1"/>
    <col min="37" max="37" width="4.1328125" bestFit="1" customWidth="1"/>
    <col min="38" max="39" width="5" bestFit="1" customWidth="1"/>
    <col min="41" max="42" width="4.59765625" bestFit="1" customWidth="1"/>
    <col min="43" max="43" width="4.86328125" bestFit="1" customWidth="1"/>
    <col min="44" max="49" width="4.59765625" bestFit="1" customWidth="1"/>
    <col min="50" max="50" width="5" bestFit="1" customWidth="1"/>
    <col min="51" max="51" width="4.86328125" bestFit="1" customWidth="1"/>
    <col min="52" max="52" width="5" bestFit="1" customWidth="1"/>
    <col min="53" max="54" width="4.59765625" bestFit="1" customWidth="1"/>
    <col min="55" max="55" width="5.1328125" bestFit="1" customWidth="1"/>
    <col min="57" max="57" width="12.3984375" bestFit="1" customWidth="1"/>
    <col min="58" max="58" width="5" bestFit="1" customWidth="1"/>
    <col min="59" max="59" width="11.398437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zoomScaleNormal="100" workbookViewId="0">
      <selection activeCell="B45" sqref="B45"/>
    </sheetView>
  </sheetViews>
  <sheetFormatPr defaultRowHeight="14.25"/>
  <cols>
    <col min="2" max="2" width="4.73046875" bestFit="1" customWidth="1"/>
    <col min="3" max="3" width="12" bestFit="1" customWidth="1"/>
    <col min="6" max="6" width="13.1328125" bestFit="1" customWidth="1"/>
    <col min="7" max="7" width="16.265625" bestFit="1" customWidth="1"/>
    <col min="8" max="8" width="12.265625" bestFit="1" customWidth="1"/>
    <col min="9" max="9" width="8.86328125" bestFit="1" customWidth="1"/>
    <col min="10" max="10" width="7.265625" bestFit="1" customWidth="1"/>
    <col min="11" max="11" width="6.73046875" bestFit="1" customWidth="1"/>
    <col min="12" max="12" width="8.86328125" bestFit="1" customWidth="1"/>
    <col min="13" max="13" width="5.86328125" bestFit="1" customWidth="1"/>
    <col min="14" max="14" width="6" bestFit="1" customWidth="1"/>
    <col min="15" max="15" width="10" bestFit="1" customWidth="1"/>
    <col min="16" max="16" width="11.86328125" bestFit="1" customWidth="1"/>
    <col min="17" max="17" width="6.86328125" bestFit="1" customWidth="1"/>
    <col min="18" max="18" width="9.1328125" bestFit="1" customWidth="1"/>
    <col min="19" max="19" width="10.73046875" bestFit="1" customWidth="1"/>
    <col min="20" max="20" width="11.3984375" bestFit="1" customWidth="1"/>
    <col min="21" max="21" width="7.3984375" bestFit="1" customWidth="1"/>
    <col min="22" max="22" width="5.3984375" bestFit="1" customWidth="1"/>
    <col min="23" max="23" width="7.265625" bestFit="1" customWidth="1"/>
    <col min="24" max="24" width="8.265625" bestFit="1" customWidth="1"/>
    <col min="25" max="25" width="6" bestFit="1" customWidth="1"/>
    <col min="26" max="26" width="6.59765625" bestFit="1" customWidth="1"/>
    <col min="27" max="27" width="8.1328125" bestFit="1" customWidth="1"/>
    <col min="28" max="28" width="9.1328125" bestFit="1" customWidth="1"/>
    <col min="29" max="29" width="7.86328125" bestFit="1" customWidth="1"/>
    <col min="30" max="30" width="7.1328125" bestFit="1" customWidth="1"/>
    <col min="31" max="31" width="5.59765625" bestFit="1" customWidth="1"/>
    <col min="32" max="32" width="6.59765625" bestFit="1" customWidth="1"/>
    <col min="33" max="33" width="11.59765625" bestFit="1" customWidth="1"/>
    <col min="34" max="34" width="11.265625" bestFit="1" customWidth="1"/>
    <col min="35" max="35" width="8.86328125" bestFit="1" customWidth="1"/>
    <col min="36" max="36" width="11" bestFit="1" customWidth="1"/>
    <col min="37" max="37" width="11.3984375" bestFit="1" customWidth="1"/>
    <col min="38" max="38" width="7" bestFit="1" customWidth="1"/>
    <col min="39" max="39" width="4.59765625" bestFit="1" customWidth="1"/>
    <col min="40" max="40" width="8" bestFit="1" customWidth="1"/>
    <col min="41" max="41" width="12.3984375" bestFit="1" customWidth="1"/>
    <col min="42" max="42" width="4.86328125" bestFit="1" customWidth="1"/>
    <col min="43" max="43" width="5.1328125" bestFit="1" customWidth="1"/>
    <col min="44" max="44" width="5.86328125" bestFit="1" customWidth="1"/>
    <col min="45" max="46" width="3.86328125" bestFit="1" customWidth="1"/>
    <col min="47" max="47" width="4" bestFit="1" customWidth="1"/>
    <col min="48" max="48" width="4.265625" bestFit="1" customWidth="1"/>
    <col min="49" max="50" width="4.132812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4.6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topLeftCell="CH1" zoomScaleNormal="100" workbookViewId="0">
      <selection activeCell="DB36" sqref="DB36"/>
    </sheetView>
  </sheetViews>
  <sheetFormatPr defaultRowHeight="14.25"/>
  <cols>
    <col min="1" max="1" width="5" bestFit="1" customWidth="1"/>
    <col min="3" max="3" width="18.59765625" bestFit="1" customWidth="1"/>
    <col min="4" max="4" width="9.3984375" bestFit="1" customWidth="1"/>
    <col min="5" max="5" width="9.3984375" customWidth="1"/>
    <col min="6" max="6" width="11.1328125" bestFit="1" customWidth="1"/>
    <col min="7" max="7" width="4.3984375" bestFit="1" customWidth="1"/>
    <col min="8" max="23" width="4.3984375" customWidth="1"/>
    <col min="24" max="24" width="4.59765625" bestFit="1" customWidth="1"/>
    <col min="25" max="25" width="4.86328125" bestFit="1" customWidth="1"/>
    <col min="26" max="31" width="4.59765625" bestFit="1" customWidth="1"/>
    <col min="32" max="32" width="5" bestFit="1" customWidth="1"/>
    <col min="33" max="33" width="4.86328125" bestFit="1" customWidth="1"/>
    <col min="34" max="34" width="5" bestFit="1" customWidth="1"/>
    <col min="35" max="36" width="4.59765625" bestFit="1" customWidth="1"/>
    <col min="37" max="37" width="5.1328125" bestFit="1" customWidth="1"/>
    <col min="38" max="38" width="6.86328125" bestFit="1" customWidth="1"/>
    <col min="39" max="52" width="5.1328125" customWidth="1"/>
    <col min="53" max="53" width="5.59765625" bestFit="1" customWidth="1"/>
    <col min="54" max="54" width="8.1328125" bestFit="1" customWidth="1"/>
    <col min="56" max="56" width="16.3984375" bestFit="1" customWidth="1"/>
    <col min="57" max="57" width="6.59765625" bestFit="1" customWidth="1"/>
    <col min="58" max="73" width="6.59765625" customWidth="1"/>
    <col min="74" max="77" width="6.59765625" bestFit="1" customWidth="1"/>
    <col min="78" max="78" width="5.59765625" bestFit="1" customWidth="1"/>
    <col min="79" max="79" width="6.59765625" bestFit="1" customWidth="1"/>
    <col min="80" max="80" width="6.3984375" bestFit="1" customWidth="1"/>
    <col min="81" max="84" width="6.59765625" bestFit="1" customWidth="1"/>
    <col min="85" max="85" width="5.59765625" bestFit="1" customWidth="1"/>
    <col min="86" max="86" width="7.59765625" bestFit="1" customWidth="1"/>
    <col min="87" max="87" width="6.59765625" bestFit="1" customWidth="1"/>
    <col min="88" max="102" width="6.59765625" customWidth="1"/>
    <col min="106" max="106" width="6.59765625" bestFit="1" customWidth="1"/>
    <col min="107" max="122" width="6.59765625" customWidth="1"/>
    <col min="123" max="133" width="6.59765625" bestFit="1" customWidth="1"/>
    <col min="134" max="134" width="6" bestFit="1" customWidth="1"/>
    <col min="135" max="135" width="7.59765625" bestFit="1" customWidth="1"/>
    <col min="136" max="136" width="6.59765625" bestFit="1" customWidth="1"/>
    <col min="137" max="151" width="6.59765625" customWidth="1"/>
    <col min="154" max="154" width="18.59765625" bestFit="1" customWidth="1"/>
    <col min="155" max="155" width="42.73046875" bestFit="1" customWidth="1"/>
    <col min="156" max="156" width="5.86328125" bestFit="1" customWidth="1"/>
    <col min="157" max="157" width="7.86328125" bestFit="1" customWidth="1"/>
    <col min="158" max="158" width="5" bestFit="1" customWidth="1"/>
    <col min="159" max="159" width="10.265625" bestFit="1" customWidth="1"/>
    <col min="160" max="160" width="7.8632812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4.6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4.6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3046875" defaultRowHeight="12.75"/>
  <cols>
    <col min="1" max="1" width="4.59765625" style="67" customWidth="1"/>
    <col min="2" max="2" width="5.73046875" style="67" customWidth="1"/>
    <col min="3" max="3" width="18.3984375" style="67" customWidth="1"/>
    <col min="4" max="4" width="15.73046875" style="67" customWidth="1"/>
    <col min="5" max="5" width="17" style="67" customWidth="1"/>
    <col min="6" max="6" width="12.3984375" style="67" bestFit="1" customWidth="1"/>
    <col min="7" max="7" width="16.265625" style="67" bestFit="1" customWidth="1"/>
    <col min="8" max="16384" width="8.73046875" style="67"/>
  </cols>
  <sheetData>
    <row r="1" spans="2:8" ht="13.15" thickBot="1"/>
    <row r="2" spans="2:8" ht="39" customHeight="1" thickBot="1">
      <c r="C2" s="101" t="s">
        <v>366</v>
      </c>
      <c r="D2" s="102"/>
      <c r="E2" s="103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.15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 ht="13.15">
      <c r="B15" s="104" t="s">
        <v>383</v>
      </c>
      <c r="C15" s="104"/>
    </row>
    <row r="16" spans="2:8" ht="30" customHeight="1">
      <c r="B16" s="81" t="s">
        <v>371</v>
      </c>
      <c r="C16" s="105" t="s">
        <v>384</v>
      </c>
      <c r="D16" s="105"/>
      <c r="E16" s="105"/>
      <c r="F16" s="105"/>
      <c r="G16" s="105"/>
    </row>
    <row r="17" spans="2:11" ht="42" customHeight="1">
      <c r="B17" s="81" t="s">
        <v>373</v>
      </c>
      <c r="C17" s="105" t="s">
        <v>385</v>
      </c>
      <c r="D17" s="105"/>
      <c r="E17" s="105"/>
      <c r="F17" s="105"/>
      <c r="G17" s="105"/>
    </row>
    <row r="18" spans="2:11" ht="30.4" customHeight="1">
      <c r="B18" s="81" t="s">
        <v>376</v>
      </c>
      <c r="C18" s="105" t="s">
        <v>386</v>
      </c>
      <c r="D18" s="105"/>
      <c r="E18" s="105"/>
      <c r="F18" s="105"/>
      <c r="G18" s="105"/>
    </row>
    <row r="19" spans="2:11" ht="27.6" customHeight="1">
      <c r="B19" s="81" t="s">
        <v>379</v>
      </c>
      <c r="C19" s="105" t="s">
        <v>387</v>
      </c>
      <c r="D19" s="105"/>
      <c r="E19" s="105"/>
      <c r="F19" s="105"/>
      <c r="G19" s="105"/>
    </row>
    <row r="21" spans="2:11" ht="13.15">
      <c r="B21" s="82" t="s">
        <v>388</v>
      </c>
    </row>
    <row r="22" spans="2:11" ht="43.5" customHeight="1">
      <c r="B22" s="106" t="s">
        <v>389</v>
      </c>
      <c r="C22" s="106"/>
      <c r="D22" s="106"/>
      <c r="E22" s="106"/>
      <c r="F22" s="106"/>
      <c r="G22" s="106"/>
      <c r="H22" s="76"/>
    </row>
    <row r="23" spans="2:11" ht="16.5" customHeight="1">
      <c r="B23" s="106" t="s">
        <v>390</v>
      </c>
      <c r="C23" s="106"/>
      <c r="D23" s="106"/>
      <c r="E23" s="106"/>
      <c r="F23" s="106"/>
      <c r="G23" s="106"/>
      <c r="H23" s="76"/>
    </row>
    <row r="24" spans="2:11" ht="16.5" customHeight="1">
      <c r="B24" s="106" t="s">
        <v>391</v>
      </c>
      <c r="C24" s="106"/>
      <c r="D24" s="106"/>
      <c r="E24" s="106"/>
      <c r="F24" s="106"/>
      <c r="G24" s="106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7" t="s">
        <v>392</v>
      </c>
      <c r="C26" s="107"/>
      <c r="D26" s="76"/>
      <c r="E26" s="76"/>
      <c r="F26" s="76"/>
      <c r="G26" s="76"/>
      <c r="H26" s="76"/>
      <c r="J26" s="83"/>
      <c r="K26" s="84"/>
    </row>
    <row r="27" spans="2:11" ht="16.5" customHeight="1">
      <c r="B27" s="108" t="s">
        <v>393</v>
      </c>
      <c r="C27" s="108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0" t="s">
        <v>395</v>
      </c>
      <c r="C30" s="100"/>
      <c r="D30" s="100"/>
      <c r="E30" s="100"/>
      <c r="F30" s="100"/>
      <c r="G30" s="100"/>
      <c r="H30" s="86"/>
    </row>
    <row r="36" spans="10:10">
      <c r="J36" s="87"/>
    </row>
    <row r="58" spans="3:3" ht="15">
      <c r="C58" s="88"/>
    </row>
    <row r="61" spans="3:3" ht="15.4">
      <c r="C61" s="89"/>
    </row>
    <row r="62" spans="3:3" ht="15">
      <c r="C62" s="88"/>
    </row>
    <row r="63" spans="3:3" ht="15.4">
      <c r="C63" s="89"/>
    </row>
    <row r="64" spans="3:3" ht="15">
      <c r="C64" s="88"/>
    </row>
    <row r="65" spans="3:3" ht="15.4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tabSelected="1" zoomScaleNormal="100" workbookViewId="0">
      <selection activeCell="F21" sqref="F21"/>
    </sheetView>
  </sheetViews>
  <sheetFormatPr defaultRowHeight="14.25"/>
  <cols>
    <col min="1" max="1" width="8.73046875" bestFit="1" customWidth="1"/>
    <col min="2" max="2" width="7.1328125" bestFit="1" customWidth="1"/>
    <col min="3" max="3" width="12.265625" bestFit="1" customWidth="1"/>
    <col min="4" max="4" width="9.3984375" bestFit="1" customWidth="1"/>
    <col min="5" max="5" width="16.3984375" bestFit="1" customWidth="1"/>
    <col min="6" max="6" width="5" bestFit="1" customWidth="1"/>
    <col min="7" max="7" width="4" bestFit="1" customWidth="1"/>
    <col min="8" max="8" width="4.3984375" customWidth="1"/>
    <col min="9" max="9" width="11.265625" bestFit="1" customWidth="1"/>
    <col min="10" max="10" width="12.265625" bestFit="1" customWidth="1"/>
    <col min="11" max="11" width="27.1328125" bestFit="1" customWidth="1"/>
    <col min="12" max="12" width="4.59765625" bestFit="1" customWidth="1"/>
    <col min="13" max="13" width="5" bestFit="1" customWidth="1"/>
    <col min="14" max="14" width="8.59765625" bestFit="1" customWidth="1"/>
    <col min="15" max="22" width="4.3984375" customWidth="1"/>
    <col min="23" max="23" width="4.59765625" bestFit="1" customWidth="1"/>
    <col min="24" max="24" width="4.86328125" bestFit="1" customWidth="1"/>
    <col min="25" max="30" width="4.59765625" bestFit="1" customWidth="1"/>
    <col min="31" max="31" width="5" bestFit="1" customWidth="1"/>
    <col min="32" max="32" width="4.86328125" bestFit="1" customWidth="1"/>
    <col min="33" max="33" width="5" bestFit="1" customWidth="1"/>
    <col min="34" max="35" width="4.59765625" bestFit="1" customWidth="1"/>
    <col min="36" max="36" width="5.1328125" bestFit="1" customWidth="1"/>
    <col min="37" max="37" width="6.86328125" bestFit="1" customWidth="1"/>
    <col min="38" max="51" width="5.1328125" customWidth="1"/>
    <col min="52" max="52" width="5.59765625" bestFit="1" customWidth="1"/>
    <col min="53" max="53" width="8.1328125" bestFit="1" customWidth="1"/>
    <col min="55" max="55" width="16.3984375" bestFit="1" customWidth="1"/>
    <col min="56" max="56" width="6.59765625" bestFit="1" customWidth="1"/>
    <col min="57" max="72" width="6.59765625" customWidth="1"/>
    <col min="73" max="76" width="6.59765625" bestFit="1" customWidth="1"/>
    <col min="77" max="77" width="5.59765625" bestFit="1" customWidth="1"/>
    <col min="78" max="78" width="6.59765625" bestFit="1" customWidth="1"/>
    <col min="79" max="79" width="6.3984375" bestFit="1" customWidth="1"/>
    <col min="80" max="83" width="6.59765625" bestFit="1" customWidth="1"/>
    <col min="84" max="84" width="5.59765625" bestFit="1" customWidth="1"/>
    <col min="85" max="85" width="7.59765625" bestFit="1" customWidth="1"/>
    <col min="86" max="86" width="6.59765625" bestFit="1" customWidth="1"/>
    <col min="87" max="101" width="6.59765625" customWidth="1"/>
    <col min="105" max="105" width="6.59765625" bestFit="1" customWidth="1"/>
    <col min="106" max="121" width="6.59765625" customWidth="1"/>
    <col min="122" max="132" width="6.59765625" bestFit="1" customWidth="1"/>
    <col min="133" max="133" width="6" bestFit="1" customWidth="1"/>
    <col min="134" max="134" width="7.59765625" bestFit="1" customWidth="1"/>
    <col min="135" max="135" width="6.59765625" bestFit="1" customWidth="1"/>
    <col min="136" max="150" width="6.59765625" customWidth="1"/>
    <col min="153" max="153" width="18.59765625" bestFit="1" customWidth="1"/>
    <col min="154" max="154" width="42.73046875" bestFit="1" customWidth="1"/>
    <col min="155" max="155" width="5.86328125" bestFit="1" customWidth="1"/>
    <col min="156" max="156" width="7.86328125" bestFit="1" customWidth="1"/>
    <col min="157" max="157" width="5" bestFit="1" customWidth="1"/>
    <col min="158" max="158" width="10.265625" bestFit="1" customWidth="1"/>
    <col min="159" max="159" width="7.8632812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4.6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222</v>
      </c>
      <c r="J20" t="s">
        <v>143</v>
      </c>
    </row>
    <row r="21" spans="5:10">
      <c r="E21" t="s">
        <v>466</v>
      </c>
      <c r="F21">
        <v>2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4</v>
      </c>
      <c r="J26" t="s">
        <v>143</v>
      </c>
    </row>
    <row r="27" spans="5:10">
      <c r="E27" t="s">
        <v>530</v>
      </c>
      <c r="F27">
        <v>1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2021-06-29T05:47:23Z</dcterms:created>
  <dcterms:modified xsi:type="dcterms:W3CDTF">2025-06-21T12:51:27Z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